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" yWindow="-12" windowWidth="23076" windowHeight="5136" activeTab="2"/>
  </bookViews>
  <sheets>
    <sheet name="CF+BC (0.5)(sig=0.2)" sheetId="1" r:id="rId1"/>
    <sheet name="Stochastic" sheetId="2" r:id="rId2"/>
    <sheet name="CF+BC (0.5)(sig=0.2) (2)" sheetId="4" r:id="rId3"/>
  </sheets>
  <externalReferences>
    <externalReference r:id="rId4"/>
  </externalReferences>
  <definedNames>
    <definedName name="alpha" localSheetId="0">'CF+BC (0.5)(sig=0.2)'!$AD$5</definedName>
    <definedName name="alpha" localSheetId="2">'CF+BC (0.5)(sig=0.2) (2)'!$AD$5</definedName>
    <definedName name="alpha">Stochastic!$D$4</definedName>
    <definedName name="alpha_T" localSheetId="0">'CF+BC (0.5)(sig=0.2)'!$B$4</definedName>
    <definedName name="alpha_T" localSheetId="2">'CF+BC (0.5)(sig=0.2) (2)'!$B$4</definedName>
    <definedName name="alpha_T">#REF!</definedName>
    <definedName name="alpha_TRUE" localSheetId="2">#REF!</definedName>
    <definedName name="alpha_TRUE">#REF!</definedName>
    <definedName name="alphatilde" localSheetId="0">'CF+BC (0.5)(sig=0.2)'!$AH$5</definedName>
    <definedName name="alphatilde" localSheetId="2">'CF+BC (0.5)(sig=0.2) (2)'!$AH$5</definedName>
    <definedName name="alphatilde">#REF!</definedName>
    <definedName name="alphatilde_T" localSheetId="0">'CF+BC (0.5)(sig=0.2)'!$D$3</definedName>
    <definedName name="alphatilde_T" localSheetId="2">'CF+BC (0.5)(sig=0.2) (2)'!$D$3</definedName>
    <definedName name="alphatilde_T">#REF!</definedName>
    <definedName name="gamma" localSheetId="0">'CF+BC (0.5)(sig=0.2)'!$AC$5</definedName>
    <definedName name="gamma" localSheetId="2">'CF+BC (0.5)(sig=0.2) (2)'!$AC$5</definedName>
    <definedName name="gamma">Stochastic!$D$5</definedName>
    <definedName name="gamma_T" localSheetId="0">'CF+BC (0.5)(sig=0.2)'!$B$3</definedName>
    <definedName name="gamma_T" localSheetId="2">'CF+BC (0.5)(sig=0.2) (2)'!$B$3</definedName>
    <definedName name="gamma_T">#REF!</definedName>
    <definedName name="kappa" localSheetId="0">'CF+BC (0.5)(sig=0.2)'!$AF$5</definedName>
    <definedName name="kappa" localSheetId="2">'CF+BC (0.5)(sig=0.2) (2)'!$AF$5</definedName>
    <definedName name="kappa">#REF!</definedName>
    <definedName name="kappa_T" localSheetId="0">'CF+BC (0.5)(sig=0.2)'!$D$5</definedName>
    <definedName name="kappa_T" localSheetId="2">'CF+BC (0.5)(sig=0.2) (2)'!$D$5</definedName>
    <definedName name="kappa_T">#REF!</definedName>
    <definedName name="n" localSheetId="0">'CF+BC (0.5)(sig=0.2)'!$AK$5</definedName>
    <definedName name="n" localSheetId="2">'CF+BC (0.5)(sig=0.2) (2)'!$AK$5</definedName>
    <definedName name="_xlnm.Print_Area" localSheetId="1">Stochastic!$A$1:$N$54</definedName>
    <definedName name="rho" localSheetId="0">'CF+BC (0.5)(sig=0.2)'!$AE$5</definedName>
    <definedName name="rho" localSheetId="2">'CF+BC (0.5)(sig=0.2) (2)'!$AE$5</definedName>
    <definedName name="rho">Stochastic!$D$3</definedName>
    <definedName name="rho_T" localSheetId="0">'CF+BC (0.5)(sig=0.2)'!$B$5</definedName>
    <definedName name="rho_T" localSheetId="2">'CF+BC (0.5)(sig=0.2) (2)'!$B$5</definedName>
    <definedName name="rho_T">#REF!</definedName>
    <definedName name="sig_eps" localSheetId="0">'CF+BC (0.5)(sig=0.2)'!$AL$5</definedName>
    <definedName name="sig_eps" localSheetId="2">'CF+BC (0.5)(sig=0.2) (2)'!$AL$5</definedName>
    <definedName name="sig_eps">#REF!</definedName>
    <definedName name="sig_epsalt">'[1]CF+BC (0.5)(sig=1)  (4 par)'!$AO$5</definedName>
    <definedName name="sigma_eps_T" localSheetId="0">'CF+BC (0.5)(sig=0.2)'!$B$6</definedName>
    <definedName name="sigma_eps_T" localSheetId="2">'CF+BC (0.5)(sig=0.2) (2)'!$B$6</definedName>
    <definedName name="sigma_eps_T">#REF!</definedName>
    <definedName name="solver_adj" localSheetId="0" hidden="1">'CF+BC (0.5)(sig=0.2)'!$AD$5,'CF+BC (0.5)(sig=0.2)'!$AE$5,'CF+BC (0.5)(sig=0.2)'!$AC$5</definedName>
    <definedName name="solver_adj" localSheetId="2" hidden="1">'CF+BC (0.5)(sig=0.2) (2)'!$AD$5,'CF+BC (0.5)(sig=0.2) (2)'!$AE$5,'CF+BC (0.5)(sig=0.2) (2)'!$AC$5</definedName>
    <definedName name="solver_cvg" localSheetId="0" hidden="1">0.0001</definedName>
    <definedName name="solver_cvg" localSheetId="2" hidden="1">0.0001</definedName>
    <definedName name="solver_drv" localSheetId="0" hidden="1">1</definedName>
    <definedName name="solver_drv" localSheetId="2" hidden="1">1</definedName>
    <definedName name="solver_eng" localSheetId="0" hidden="1">1</definedName>
    <definedName name="solver_eng" localSheetId="2" hidden="1">1</definedName>
    <definedName name="solver_est" localSheetId="0" hidden="1">1</definedName>
    <definedName name="solver_est" localSheetId="2" hidden="1">1</definedName>
    <definedName name="solver_itr" localSheetId="0" hidden="1">2147483647</definedName>
    <definedName name="solver_itr" localSheetId="2" hidden="1">2147483647</definedName>
    <definedName name="solver_lhs1" localSheetId="0" hidden="1">'CF+BC (0.5)(sig=0.2)'!$AC$5</definedName>
    <definedName name="solver_lhs1" localSheetId="2" hidden="1">'CF+BC (0.5)(sig=0.2) (2)'!$AE$5</definedName>
    <definedName name="solver_lhs2" localSheetId="0" hidden="1">'CF+BC (0.5)(sig=0.2)'!$AC$5</definedName>
    <definedName name="solver_lhs2" localSheetId="2" hidden="1">'CF+BC (0.5)(sig=0.2) (2)'!$AE$5</definedName>
    <definedName name="solver_lhs3" localSheetId="0" hidden="1">'CF+BC (0.5)(sig=0.2)'!$AC$5</definedName>
    <definedName name="solver_lhs3" localSheetId="2" hidden="1">'CF+BC (0.5)(sig=0.2) (2)'!$AC$5</definedName>
    <definedName name="solver_mip" localSheetId="0" hidden="1">2147483647</definedName>
    <definedName name="solver_mip" localSheetId="2" hidden="1">2147483647</definedName>
    <definedName name="solver_mni" localSheetId="0" hidden="1">30</definedName>
    <definedName name="solver_mni" localSheetId="2" hidden="1">30</definedName>
    <definedName name="solver_mrt" localSheetId="0" hidden="1">0.075</definedName>
    <definedName name="solver_mrt" localSheetId="2" hidden="1">0.075</definedName>
    <definedName name="solver_msl" localSheetId="0" hidden="1">2</definedName>
    <definedName name="solver_msl" localSheetId="2" hidden="1">2</definedName>
    <definedName name="solver_neg" localSheetId="0" hidden="1">2</definedName>
    <definedName name="solver_neg" localSheetId="2" hidden="1">2</definedName>
    <definedName name="solver_nod" localSheetId="0" hidden="1">2147483647</definedName>
    <definedName name="solver_nod" localSheetId="2" hidden="1">2147483647</definedName>
    <definedName name="solver_num" localSheetId="0" hidden="1">0</definedName>
    <definedName name="solver_num" localSheetId="2" hidden="1">0</definedName>
    <definedName name="solver_nwt" localSheetId="0" hidden="1">1</definedName>
    <definedName name="solver_nwt" localSheetId="2" hidden="1">1</definedName>
    <definedName name="solver_opt" localSheetId="0" hidden="1">'CF+BC (0.5)(sig=0.2)'!$AJ$5</definedName>
    <definedName name="solver_opt" localSheetId="2" hidden="1">'CF+BC (0.5)(sig=0.2) (2)'!$AJ$5</definedName>
    <definedName name="solver_pre" localSheetId="0" hidden="1">0.000001</definedName>
    <definedName name="solver_pre" localSheetId="2" hidden="1">0.000001</definedName>
    <definedName name="solver_rbv" localSheetId="0" hidden="1">1</definedName>
    <definedName name="solver_rbv" localSheetId="2" hidden="1">1</definedName>
    <definedName name="solver_rel1" localSheetId="0" hidden="1">2</definedName>
    <definedName name="solver_rel1" localSheetId="2" hidden="1">3</definedName>
    <definedName name="solver_rel2" localSheetId="0" hidden="1">3</definedName>
    <definedName name="solver_rel2" localSheetId="2" hidden="1">3</definedName>
    <definedName name="solver_rel3" localSheetId="0" hidden="1">3</definedName>
    <definedName name="solver_rel3" localSheetId="2" hidden="1">3</definedName>
    <definedName name="solver_rhs1" localSheetId="0" hidden="1">1</definedName>
    <definedName name="solver_rhs1" localSheetId="2" hidden="1">0</definedName>
    <definedName name="solver_rhs2" localSheetId="0" hidden="1">0</definedName>
    <definedName name="solver_rhs2" localSheetId="2" hidden="1">0</definedName>
    <definedName name="solver_rhs3" localSheetId="0" hidden="1">0</definedName>
    <definedName name="solver_rhs3" localSheetId="2" hidden="1">0</definedName>
    <definedName name="solver_rlx" localSheetId="0" hidden="1">2</definedName>
    <definedName name="solver_rlx" localSheetId="2" hidden="1">2</definedName>
    <definedName name="solver_rsd" localSheetId="0" hidden="1">0</definedName>
    <definedName name="solver_rsd" localSheetId="2" hidden="1">0</definedName>
    <definedName name="solver_scl" localSheetId="0" hidden="1">1</definedName>
    <definedName name="solver_scl" localSheetId="2" hidden="1">1</definedName>
    <definedName name="solver_sho" localSheetId="0" hidden="1">2</definedName>
    <definedName name="solver_sho" localSheetId="2" hidden="1">2</definedName>
    <definedName name="solver_ssz" localSheetId="0" hidden="1">100</definedName>
    <definedName name="solver_ssz" localSheetId="2" hidden="1">100</definedName>
    <definedName name="solver_tim" localSheetId="0" hidden="1">2147483647</definedName>
    <definedName name="solver_tim" localSheetId="2" hidden="1">2147483647</definedName>
    <definedName name="solver_tol" localSheetId="0" hidden="1">0.01</definedName>
    <definedName name="solver_tol" localSheetId="2" hidden="1">0.01</definedName>
    <definedName name="solver_typ" localSheetId="0" hidden="1">2</definedName>
    <definedName name="solver_typ" localSheetId="2" hidden="1">2</definedName>
    <definedName name="solver_val" localSheetId="0" hidden="1">0</definedName>
    <definedName name="solver_val" localSheetId="2" hidden="1">0</definedName>
    <definedName name="solver_ver" localSheetId="0" hidden="1">3</definedName>
    <definedName name="solver_ver" localSheetId="2" hidden="1">3</definedName>
    <definedName name="xinf">Stochastic!$B$2</definedName>
    <definedName name="Y_inf" localSheetId="0">'CF+BC (0.5)(sig=0.2)'!$AG$5</definedName>
    <definedName name="Y_inf" localSheetId="2">'CF+BC (0.5)(sig=0.2) (2)'!$AG$5</definedName>
    <definedName name="Y_inf">#REF!</definedName>
    <definedName name="Y_inf_T" localSheetId="0">'CF+BC (0.5)(sig=0.2)'!$D$4</definedName>
    <definedName name="Y_inf_T" localSheetId="2">'CF+BC (0.5)(sig=0.2) (2)'!$D$4</definedName>
    <definedName name="Y_inf_T">#REF!</definedName>
    <definedName name="Yinf">Stochastic!$B$3</definedName>
  </definedNames>
  <calcPr calcId="145621" calcMode="manual"/>
</workbook>
</file>

<file path=xl/calcChain.xml><?xml version="1.0" encoding="utf-8"?>
<calcChain xmlns="http://schemas.openxmlformats.org/spreadsheetml/2006/main">
  <c r="AX10" i="4" l="1"/>
  <c r="AX9" i="4"/>
  <c r="AX8" i="4"/>
  <c r="AJ5" i="1" l="1"/>
  <c r="T8" i="1" l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O8" i="1"/>
  <c r="S9" i="4"/>
  <c r="S10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109" i="4"/>
  <c r="S110" i="4"/>
  <c r="S111" i="4"/>
  <c r="S112" i="4"/>
  <c r="S113" i="4"/>
  <c r="S114" i="4"/>
  <c r="S115" i="4"/>
  <c r="S116" i="4"/>
  <c r="S117" i="4"/>
  <c r="S118" i="4"/>
  <c r="S119" i="4"/>
  <c r="S120" i="4"/>
  <c r="S121" i="4"/>
  <c r="S122" i="4"/>
  <c r="S123" i="4"/>
  <c r="S124" i="4"/>
  <c r="S125" i="4"/>
  <c r="S126" i="4"/>
  <c r="S127" i="4"/>
  <c r="S128" i="4"/>
  <c r="S129" i="4"/>
  <c r="S130" i="4"/>
  <c r="S131" i="4"/>
  <c r="S132" i="4"/>
  <c r="S133" i="4"/>
  <c r="S134" i="4"/>
  <c r="S135" i="4"/>
  <c r="S136" i="4"/>
  <c r="S137" i="4"/>
  <c r="S138" i="4"/>
  <c r="S139" i="4"/>
  <c r="S140" i="4"/>
  <c r="S141" i="4"/>
  <c r="S142" i="4"/>
  <c r="S143" i="4"/>
  <c r="S144" i="4"/>
  <c r="S145" i="4"/>
  <c r="S146" i="4"/>
  <c r="S147" i="4"/>
  <c r="S148" i="4"/>
  <c r="S149" i="4"/>
  <c r="S150" i="4"/>
  <c r="S151" i="4"/>
  <c r="S152" i="4"/>
  <c r="S153" i="4"/>
  <c r="S154" i="4"/>
  <c r="S155" i="4"/>
  <c r="S156" i="4"/>
  <c r="S157" i="4"/>
  <c r="S158" i="4"/>
  <c r="S159" i="4"/>
  <c r="S160" i="4"/>
  <c r="S161" i="4"/>
  <c r="S162" i="4"/>
  <c r="S163" i="4"/>
  <c r="S164" i="4"/>
  <c r="S165" i="4"/>
  <c r="S166" i="4"/>
  <c r="S167" i="4"/>
  <c r="S168" i="4"/>
  <c r="S169" i="4"/>
  <c r="S170" i="4"/>
  <c r="S171" i="4"/>
  <c r="S172" i="4"/>
  <c r="S173" i="4"/>
  <c r="S174" i="4"/>
  <c r="S175" i="4"/>
  <c r="S176" i="4"/>
  <c r="S177" i="4"/>
  <c r="S178" i="4"/>
  <c r="S179" i="4"/>
  <c r="S180" i="4"/>
  <c r="S181" i="4"/>
  <c r="S182" i="4"/>
  <c r="S183" i="4"/>
  <c r="S184" i="4"/>
  <c r="S185" i="4"/>
  <c r="S186" i="4"/>
  <c r="S187" i="4"/>
  <c r="S188" i="4"/>
  <c r="S189" i="4"/>
  <c r="S190" i="4"/>
  <c r="S191" i="4"/>
  <c r="S192" i="4"/>
  <c r="S193" i="4"/>
  <c r="S194" i="4"/>
  <c r="S195" i="4"/>
  <c r="S196" i="4"/>
  <c r="S197" i="4"/>
  <c r="S198" i="4"/>
  <c r="S199" i="4"/>
  <c r="S200" i="4"/>
  <c r="S201" i="4"/>
  <c r="S202" i="4"/>
  <c r="S203" i="4"/>
  <c r="S204" i="4"/>
  <c r="S205" i="4"/>
  <c r="S206" i="4"/>
  <c r="S207" i="4"/>
  <c r="S208" i="4"/>
  <c r="S209" i="4"/>
  <c r="S210" i="4"/>
  <c r="S211" i="4"/>
  <c r="S212" i="4"/>
  <c r="S213" i="4"/>
  <c r="S214" i="4"/>
  <c r="S215" i="4"/>
  <c r="S216" i="4"/>
  <c r="S217" i="4"/>
  <c r="S218" i="4"/>
  <c r="S219" i="4"/>
  <c r="S220" i="4"/>
  <c r="S221" i="4"/>
  <c r="S222" i="4"/>
  <c r="S223" i="4"/>
  <c r="S224" i="4"/>
  <c r="S225" i="4"/>
  <c r="S226" i="4"/>
  <c r="S227" i="4"/>
  <c r="S228" i="4"/>
  <c r="S229" i="4"/>
  <c r="S230" i="4"/>
  <c r="S231" i="4"/>
  <c r="S232" i="4"/>
  <c r="S233" i="4"/>
  <c r="S234" i="4"/>
  <c r="S235" i="4"/>
  <c r="S236" i="4"/>
  <c r="S237" i="4"/>
  <c r="S238" i="4"/>
  <c r="S239" i="4"/>
  <c r="S240" i="4"/>
  <c r="S241" i="4"/>
  <c r="S242" i="4"/>
  <c r="S243" i="4"/>
  <c r="S244" i="4"/>
  <c r="S245" i="4"/>
  <c r="S246" i="4"/>
  <c r="S247" i="4"/>
  <c r="S248" i="4"/>
  <c r="S249" i="4"/>
  <c r="S250" i="4"/>
  <c r="S251" i="4"/>
  <c r="S252" i="4"/>
  <c r="S253" i="4"/>
  <c r="S254" i="4"/>
  <c r="S255" i="4"/>
  <c r="S256" i="4"/>
  <c r="S257" i="4"/>
  <c r="S258" i="4"/>
  <c r="S259" i="4"/>
  <c r="S260" i="4"/>
  <c r="S261" i="4"/>
  <c r="S262" i="4"/>
  <c r="S263" i="4"/>
  <c r="S264" i="4"/>
  <c r="S265" i="4"/>
  <c r="S266" i="4"/>
  <c r="S267" i="4"/>
  <c r="S268" i="4"/>
  <c r="S269" i="4"/>
  <c r="S270" i="4"/>
  <c r="S271" i="4"/>
  <c r="S272" i="4"/>
  <c r="S273" i="4"/>
  <c r="S274" i="4"/>
  <c r="S275" i="4"/>
  <c r="S276" i="4"/>
  <c r="S277" i="4"/>
  <c r="S278" i="4"/>
  <c r="S279" i="4"/>
  <c r="S280" i="4"/>
  <c r="S281" i="4"/>
  <c r="S282" i="4"/>
  <c r="S283" i="4"/>
  <c r="S284" i="4"/>
  <c r="S285" i="4"/>
  <c r="S286" i="4"/>
  <c r="S287" i="4"/>
  <c r="S288" i="4"/>
  <c r="S289" i="4"/>
  <c r="S290" i="4"/>
  <c r="S291" i="4"/>
  <c r="S292" i="4"/>
  <c r="S293" i="4"/>
  <c r="S294" i="4"/>
  <c r="S295" i="4"/>
  <c r="S296" i="4"/>
  <c r="S297" i="4"/>
  <c r="S298" i="4"/>
  <c r="S299" i="4"/>
  <c r="S300" i="4"/>
  <c r="S301" i="4"/>
  <c r="S302" i="4"/>
  <c r="S303" i="4"/>
  <c r="S304" i="4"/>
  <c r="S305" i="4"/>
  <c r="S306" i="4"/>
  <c r="S307" i="4"/>
  <c r="S308" i="4"/>
  <c r="S309" i="4"/>
  <c r="S310" i="4"/>
  <c r="S311" i="4"/>
  <c r="S312" i="4"/>
  <c r="S313" i="4"/>
  <c r="S314" i="4"/>
  <c r="S315" i="4"/>
  <c r="S316" i="4"/>
  <c r="S317" i="4"/>
  <c r="S318" i="4"/>
  <c r="S319" i="4"/>
  <c r="S320" i="4"/>
  <c r="S321" i="4"/>
  <c r="S322" i="4"/>
  <c r="S323" i="4"/>
  <c r="S324" i="4"/>
  <c r="S325" i="4"/>
  <c r="S326" i="4"/>
  <c r="S327" i="4"/>
  <c r="S8" i="4"/>
  <c r="M9" i="4" l="1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V327" i="4" l="1"/>
  <c r="I327" i="4"/>
  <c r="K327" i="4" s="1"/>
  <c r="L327" i="4" s="1"/>
  <c r="V326" i="4"/>
  <c r="I326" i="4"/>
  <c r="K326" i="4" s="1"/>
  <c r="V325" i="4"/>
  <c r="I325" i="4"/>
  <c r="K325" i="4" s="1"/>
  <c r="V324" i="4"/>
  <c r="I324" i="4"/>
  <c r="K324" i="4" s="1"/>
  <c r="L324" i="4" s="1"/>
  <c r="V323" i="4"/>
  <c r="I323" i="4"/>
  <c r="K323" i="4" s="1"/>
  <c r="V322" i="4"/>
  <c r="I322" i="4"/>
  <c r="K322" i="4" s="1"/>
  <c r="V321" i="4"/>
  <c r="I321" i="4"/>
  <c r="K321" i="4" s="1"/>
  <c r="V320" i="4"/>
  <c r="I320" i="4"/>
  <c r="K320" i="4" s="1"/>
  <c r="V319" i="4"/>
  <c r="I319" i="4"/>
  <c r="K319" i="4" s="1"/>
  <c r="V318" i="4"/>
  <c r="I318" i="4"/>
  <c r="K318" i="4" s="1"/>
  <c r="V317" i="4"/>
  <c r="I317" i="4"/>
  <c r="K317" i="4" s="1"/>
  <c r="V316" i="4"/>
  <c r="I316" i="4"/>
  <c r="K316" i="4" s="1"/>
  <c r="L316" i="4" s="1"/>
  <c r="V315" i="4"/>
  <c r="I315" i="4"/>
  <c r="K315" i="4" s="1"/>
  <c r="L315" i="4" s="1"/>
  <c r="V314" i="4"/>
  <c r="I314" i="4"/>
  <c r="K314" i="4" s="1"/>
  <c r="V313" i="4"/>
  <c r="I313" i="4"/>
  <c r="K313" i="4" s="1"/>
  <c r="V312" i="4"/>
  <c r="I312" i="4"/>
  <c r="K312" i="4" s="1"/>
  <c r="V311" i="4"/>
  <c r="I311" i="4"/>
  <c r="K311" i="4" s="1"/>
  <c r="L311" i="4" s="1"/>
  <c r="V310" i="4"/>
  <c r="I310" i="4"/>
  <c r="K310" i="4" s="1"/>
  <c r="V309" i="4"/>
  <c r="I309" i="4"/>
  <c r="K309" i="4" s="1"/>
  <c r="V308" i="4"/>
  <c r="I308" i="4"/>
  <c r="K308" i="4" s="1"/>
  <c r="L308" i="4" s="1"/>
  <c r="V307" i="4"/>
  <c r="I307" i="4"/>
  <c r="K307" i="4" s="1"/>
  <c r="V306" i="4"/>
  <c r="I306" i="4"/>
  <c r="K306" i="4" s="1"/>
  <c r="V305" i="4"/>
  <c r="I305" i="4"/>
  <c r="K305" i="4" s="1"/>
  <c r="V304" i="4"/>
  <c r="I304" i="4"/>
  <c r="K304" i="4" s="1"/>
  <c r="V303" i="4"/>
  <c r="I303" i="4"/>
  <c r="K303" i="4" s="1"/>
  <c r="L303" i="4" s="1"/>
  <c r="V302" i="4"/>
  <c r="I302" i="4"/>
  <c r="K302" i="4" s="1"/>
  <c r="V301" i="4"/>
  <c r="I301" i="4"/>
  <c r="K301" i="4" s="1"/>
  <c r="V300" i="4"/>
  <c r="I300" i="4"/>
  <c r="K300" i="4" s="1"/>
  <c r="L300" i="4" s="1"/>
  <c r="V299" i="4"/>
  <c r="I299" i="4"/>
  <c r="K299" i="4" s="1"/>
  <c r="L299" i="4" s="1"/>
  <c r="V298" i="4"/>
  <c r="I298" i="4"/>
  <c r="K298" i="4" s="1"/>
  <c r="V297" i="4"/>
  <c r="I297" i="4"/>
  <c r="K297" i="4" s="1"/>
  <c r="V296" i="4"/>
  <c r="I296" i="4"/>
  <c r="K296" i="4" s="1"/>
  <c r="V295" i="4"/>
  <c r="I295" i="4"/>
  <c r="K295" i="4" s="1"/>
  <c r="V294" i="4"/>
  <c r="I294" i="4"/>
  <c r="K294" i="4" s="1"/>
  <c r="V293" i="4"/>
  <c r="I293" i="4"/>
  <c r="K293" i="4" s="1"/>
  <c r="V292" i="4"/>
  <c r="I292" i="4"/>
  <c r="K292" i="4" s="1"/>
  <c r="L292" i="4" s="1"/>
  <c r="V291" i="4"/>
  <c r="I291" i="4"/>
  <c r="K291" i="4" s="1"/>
  <c r="V290" i="4"/>
  <c r="I290" i="4"/>
  <c r="K290" i="4" s="1"/>
  <c r="V289" i="4"/>
  <c r="I289" i="4"/>
  <c r="K289" i="4" s="1"/>
  <c r="O289" i="4" s="1"/>
  <c r="P289" i="4" s="1"/>
  <c r="T289" i="4" s="1"/>
  <c r="V288" i="4"/>
  <c r="I288" i="4"/>
  <c r="K288" i="4" s="1"/>
  <c r="V287" i="4"/>
  <c r="I287" i="4"/>
  <c r="K287" i="4" s="1"/>
  <c r="L287" i="4" s="1"/>
  <c r="V286" i="4"/>
  <c r="I286" i="4"/>
  <c r="K286" i="4" s="1"/>
  <c r="V285" i="4"/>
  <c r="I285" i="4"/>
  <c r="K285" i="4" s="1"/>
  <c r="V284" i="4"/>
  <c r="I284" i="4"/>
  <c r="K284" i="4" s="1"/>
  <c r="L284" i="4" s="1"/>
  <c r="V283" i="4"/>
  <c r="I283" i="4"/>
  <c r="K283" i="4" s="1"/>
  <c r="L283" i="4" s="1"/>
  <c r="V282" i="4"/>
  <c r="I282" i="4"/>
  <c r="K282" i="4" s="1"/>
  <c r="V281" i="4"/>
  <c r="I281" i="4"/>
  <c r="K281" i="4" s="1"/>
  <c r="L281" i="4" s="1"/>
  <c r="V280" i="4"/>
  <c r="I280" i="4"/>
  <c r="K280" i="4" s="1"/>
  <c r="V279" i="4"/>
  <c r="I279" i="4"/>
  <c r="K279" i="4" s="1"/>
  <c r="L279" i="4" s="1"/>
  <c r="V278" i="4"/>
  <c r="I278" i="4"/>
  <c r="K278" i="4" s="1"/>
  <c r="L278" i="4" s="1"/>
  <c r="V277" i="4"/>
  <c r="I277" i="4"/>
  <c r="K277" i="4" s="1"/>
  <c r="V276" i="4"/>
  <c r="I276" i="4"/>
  <c r="K276" i="4" s="1"/>
  <c r="V275" i="4"/>
  <c r="I275" i="4"/>
  <c r="K275" i="4" s="1"/>
  <c r="V274" i="4"/>
  <c r="I274" i="4"/>
  <c r="K274" i="4" s="1"/>
  <c r="V273" i="4"/>
  <c r="I273" i="4"/>
  <c r="K273" i="4" s="1"/>
  <c r="L273" i="4" s="1"/>
  <c r="V272" i="4"/>
  <c r="I272" i="4"/>
  <c r="K272" i="4" s="1"/>
  <c r="L272" i="4" s="1"/>
  <c r="V271" i="4"/>
  <c r="I271" i="4"/>
  <c r="K271" i="4" s="1"/>
  <c r="V270" i="4"/>
  <c r="I270" i="4"/>
  <c r="K270" i="4" s="1"/>
  <c r="L270" i="4" s="1"/>
  <c r="V269" i="4"/>
  <c r="I269" i="4"/>
  <c r="K269" i="4" s="1"/>
  <c r="L269" i="4" s="1"/>
  <c r="V268" i="4"/>
  <c r="I268" i="4"/>
  <c r="K268" i="4" s="1"/>
  <c r="V267" i="4"/>
  <c r="I267" i="4"/>
  <c r="K267" i="4" s="1"/>
  <c r="V266" i="4"/>
  <c r="I266" i="4"/>
  <c r="K266" i="4" s="1"/>
  <c r="V265" i="4"/>
  <c r="I265" i="4"/>
  <c r="K265" i="4" s="1"/>
  <c r="L265" i="4" s="1"/>
  <c r="V264" i="4"/>
  <c r="I264" i="4"/>
  <c r="K264" i="4" s="1"/>
  <c r="V263" i="4"/>
  <c r="I263" i="4"/>
  <c r="K263" i="4" s="1"/>
  <c r="V262" i="4"/>
  <c r="I262" i="4"/>
  <c r="K262" i="4" s="1"/>
  <c r="L262" i="4" s="1"/>
  <c r="V261" i="4"/>
  <c r="I261" i="4"/>
  <c r="K261" i="4" s="1"/>
  <c r="L261" i="4" s="1"/>
  <c r="V260" i="4"/>
  <c r="I260" i="4"/>
  <c r="K260" i="4" s="1"/>
  <c r="V259" i="4"/>
  <c r="I259" i="4"/>
  <c r="K259" i="4" s="1"/>
  <c r="V258" i="4"/>
  <c r="I258" i="4"/>
  <c r="K258" i="4" s="1"/>
  <c r="V257" i="4"/>
  <c r="I257" i="4"/>
  <c r="K257" i="4" s="1"/>
  <c r="V256" i="4"/>
  <c r="I256" i="4"/>
  <c r="K256" i="4" s="1"/>
  <c r="V255" i="4"/>
  <c r="I255" i="4"/>
  <c r="K255" i="4" s="1"/>
  <c r="L255" i="4" s="1"/>
  <c r="V254" i="4"/>
  <c r="I254" i="4"/>
  <c r="K254" i="4" s="1"/>
  <c r="L254" i="4" s="1"/>
  <c r="V253" i="4"/>
  <c r="I253" i="4"/>
  <c r="K253" i="4" s="1"/>
  <c r="L253" i="4" s="1"/>
  <c r="V252" i="4"/>
  <c r="K252" i="4"/>
  <c r="I252" i="4"/>
  <c r="V251" i="4"/>
  <c r="I251" i="4"/>
  <c r="K251" i="4" s="1"/>
  <c r="V250" i="4"/>
  <c r="I250" i="4"/>
  <c r="K250" i="4" s="1"/>
  <c r="V249" i="4"/>
  <c r="I249" i="4"/>
  <c r="K249" i="4" s="1"/>
  <c r="L249" i="4" s="1"/>
  <c r="V248" i="4"/>
  <c r="I248" i="4"/>
  <c r="K248" i="4" s="1"/>
  <c r="V247" i="4"/>
  <c r="I247" i="4"/>
  <c r="K247" i="4" s="1"/>
  <c r="V246" i="4"/>
  <c r="I246" i="4"/>
  <c r="K246" i="4" s="1"/>
  <c r="L246" i="4" s="1"/>
  <c r="V245" i="4"/>
  <c r="I245" i="4"/>
  <c r="K245" i="4" s="1"/>
  <c r="V244" i="4"/>
  <c r="I244" i="4"/>
  <c r="K244" i="4" s="1"/>
  <c r="L244" i="4" s="1"/>
  <c r="V243" i="4"/>
  <c r="I243" i="4"/>
  <c r="K243" i="4" s="1"/>
  <c r="V242" i="4"/>
  <c r="I242" i="4"/>
  <c r="K242" i="4" s="1"/>
  <c r="V241" i="4"/>
  <c r="I241" i="4"/>
  <c r="K241" i="4" s="1"/>
  <c r="V240" i="4"/>
  <c r="I240" i="4"/>
  <c r="K240" i="4" s="1"/>
  <c r="V239" i="4"/>
  <c r="I239" i="4"/>
  <c r="K239" i="4" s="1"/>
  <c r="V238" i="4"/>
  <c r="I238" i="4"/>
  <c r="K238" i="4" s="1"/>
  <c r="V237" i="4"/>
  <c r="I237" i="4"/>
  <c r="K237" i="4" s="1"/>
  <c r="V236" i="4"/>
  <c r="I236" i="4"/>
  <c r="K236" i="4" s="1"/>
  <c r="L236" i="4" s="1"/>
  <c r="V235" i="4"/>
  <c r="I235" i="4"/>
  <c r="K235" i="4" s="1"/>
  <c r="V234" i="4"/>
  <c r="I234" i="4"/>
  <c r="K234" i="4" s="1"/>
  <c r="V233" i="4"/>
  <c r="I233" i="4"/>
  <c r="K233" i="4" s="1"/>
  <c r="V232" i="4"/>
  <c r="I232" i="4"/>
  <c r="K232" i="4" s="1"/>
  <c r="V231" i="4"/>
  <c r="I231" i="4"/>
  <c r="K231" i="4" s="1"/>
  <c r="L231" i="4" s="1"/>
  <c r="V230" i="4"/>
  <c r="I230" i="4"/>
  <c r="K230" i="4" s="1"/>
  <c r="L230" i="4" s="1"/>
  <c r="V229" i="4"/>
  <c r="I229" i="4"/>
  <c r="K229" i="4" s="1"/>
  <c r="V228" i="4"/>
  <c r="I228" i="4"/>
  <c r="K228" i="4" s="1"/>
  <c r="L228" i="4" s="1"/>
  <c r="V227" i="4"/>
  <c r="I227" i="4"/>
  <c r="K227" i="4" s="1"/>
  <c r="L227" i="4" s="1"/>
  <c r="V226" i="4"/>
  <c r="I226" i="4"/>
  <c r="K226" i="4" s="1"/>
  <c r="V225" i="4"/>
  <c r="I225" i="4"/>
  <c r="K225" i="4" s="1"/>
  <c r="L225" i="4" s="1"/>
  <c r="V224" i="4"/>
  <c r="I224" i="4"/>
  <c r="K224" i="4" s="1"/>
  <c r="V223" i="4"/>
  <c r="I223" i="4"/>
  <c r="K223" i="4" s="1"/>
  <c r="L223" i="4" s="1"/>
  <c r="V222" i="4"/>
  <c r="I222" i="4"/>
  <c r="K222" i="4" s="1"/>
  <c r="V221" i="4"/>
  <c r="I221" i="4"/>
  <c r="K221" i="4" s="1"/>
  <c r="L221" i="4" s="1"/>
  <c r="V220" i="4"/>
  <c r="I220" i="4"/>
  <c r="K220" i="4" s="1"/>
  <c r="V219" i="4"/>
  <c r="I219" i="4"/>
  <c r="K219" i="4" s="1"/>
  <c r="L219" i="4" s="1"/>
  <c r="V218" i="4"/>
  <c r="I218" i="4"/>
  <c r="K218" i="4" s="1"/>
  <c r="V217" i="4"/>
  <c r="I217" i="4"/>
  <c r="K217" i="4" s="1"/>
  <c r="L217" i="4" s="1"/>
  <c r="V216" i="4"/>
  <c r="I216" i="4"/>
  <c r="K216" i="4" s="1"/>
  <c r="V215" i="4"/>
  <c r="I215" i="4"/>
  <c r="K215" i="4" s="1"/>
  <c r="V214" i="4"/>
  <c r="I214" i="4"/>
  <c r="K214" i="4" s="1"/>
  <c r="V213" i="4"/>
  <c r="I213" i="4"/>
  <c r="K213" i="4" s="1"/>
  <c r="L213" i="4" s="1"/>
  <c r="V212" i="4"/>
  <c r="I212" i="4"/>
  <c r="K212" i="4" s="1"/>
  <c r="V211" i="4"/>
  <c r="I211" i="4"/>
  <c r="K211" i="4" s="1"/>
  <c r="V210" i="4"/>
  <c r="I210" i="4"/>
  <c r="K210" i="4" s="1"/>
  <c r="V209" i="4"/>
  <c r="I209" i="4"/>
  <c r="K209" i="4" s="1"/>
  <c r="V208" i="4"/>
  <c r="I208" i="4"/>
  <c r="K208" i="4" s="1"/>
  <c r="V207" i="4"/>
  <c r="I207" i="4"/>
  <c r="K207" i="4" s="1"/>
  <c r="L207" i="4" s="1"/>
  <c r="V206" i="4"/>
  <c r="I206" i="4"/>
  <c r="K206" i="4" s="1"/>
  <c r="V205" i="4"/>
  <c r="I205" i="4"/>
  <c r="K205" i="4" s="1"/>
  <c r="V204" i="4"/>
  <c r="I204" i="4"/>
  <c r="K204" i="4" s="1"/>
  <c r="V203" i="4"/>
  <c r="I203" i="4"/>
  <c r="K203" i="4" s="1"/>
  <c r="V202" i="4"/>
  <c r="I202" i="4"/>
  <c r="K202" i="4" s="1"/>
  <c r="V201" i="4"/>
  <c r="I201" i="4"/>
  <c r="K201" i="4" s="1"/>
  <c r="L201" i="4" s="1"/>
  <c r="V200" i="4"/>
  <c r="I200" i="4"/>
  <c r="K200" i="4" s="1"/>
  <c r="V199" i="4"/>
  <c r="I199" i="4"/>
  <c r="K199" i="4" s="1"/>
  <c r="L199" i="4" s="1"/>
  <c r="V198" i="4"/>
  <c r="I198" i="4"/>
  <c r="K198" i="4" s="1"/>
  <c r="V197" i="4"/>
  <c r="I197" i="4"/>
  <c r="K197" i="4" s="1"/>
  <c r="L197" i="4" s="1"/>
  <c r="V196" i="4"/>
  <c r="I196" i="4"/>
  <c r="K196" i="4" s="1"/>
  <c r="V195" i="4"/>
  <c r="I195" i="4"/>
  <c r="K195" i="4" s="1"/>
  <c r="V194" i="4"/>
  <c r="I194" i="4"/>
  <c r="K194" i="4" s="1"/>
  <c r="V193" i="4"/>
  <c r="I193" i="4"/>
  <c r="K193" i="4" s="1"/>
  <c r="L193" i="4" s="1"/>
  <c r="V192" i="4"/>
  <c r="I192" i="4"/>
  <c r="K192" i="4" s="1"/>
  <c r="L192" i="4" s="1"/>
  <c r="V191" i="4"/>
  <c r="I191" i="4"/>
  <c r="K191" i="4" s="1"/>
  <c r="V190" i="4"/>
  <c r="I190" i="4"/>
  <c r="K190" i="4" s="1"/>
  <c r="V189" i="4"/>
  <c r="I189" i="4"/>
  <c r="K189" i="4" s="1"/>
  <c r="L189" i="4" s="1"/>
  <c r="V188" i="4"/>
  <c r="I188" i="4"/>
  <c r="K188" i="4" s="1"/>
  <c r="L188" i="4" s="1"/>
  <c r="V187" i="4"/>
  <c r="I187" i="4"/>
  <c r="K187" i="4" s="1"/>
  <c r="L187" i="4" s="1"/>
  <c r="V186" i="4"/>
  <c r="I186" i="4"/>
  <c r="K186" i="4" s="1"/>
  <c r="V185" i="4"/>
  <c r="I185" i="4"/>
  <c r="K185" i="4" s="1"/>
  <c r="V184" i="4"/>
  <c r="I184" i="4"/>
  <c r="K184" i="4" s="1"/>
  <c r="L184" i="4" s="1"/>
  <c r="V183" i="4"/>
  <c r="I183" i="4"/>
  <c r="K183" i="4" s="1"/>
  <c r="L183" i="4" s="1"/>
  <c r="V182" i="4"/>
  <c r="I182" i="4"/>
  <c r="K182" i="4" s="1"/>
  <c r="V181" i="4"/>
  <c r="I181" i="4"/>
  <c r="K181" i="4" s="1"/>
  <c r="V180" i="4"/>
  <c r="I180" i="4"/>
  <c r="K180" i="4" s="1"/>
  <c r="L180" i="4" s="1"/>
  <c r="V179" i="4"/>
  <c r="I179" i="4"/>
  <c r="K179" i="4" s="1"/>
  <c r="V178" i="4"/>
  <c r="I178" i="4"/>
  <c r="K178" i="4" s="1"/>
  <c r="V177" i="4"/>
  <c r="I177" i="4"/>
  <c r="K177" i="4" s="1"/>
  <c r="V176" i="4"/>
  <c r="I176" i="4"/>
  <c r="K176" i="4" s="1"/>
  <c r="V175" i="4"/>
  <c r="I175" i="4"/>
  <c r="K175" i="4" s="1"/>
  <c r="V174" i="4"/>
  <c r="I174" i="4"/>
  <c r="K174" i="4" s="1"/>
  <c r="L174" i="4" s="1"/>
  <c r="V173" i="4"/>
  <c r="I173" i="4"/>
  <c r="K173" i="4" s="1"/>
  <c r="V172" i="4"/>
  <c r="I172" i="4"/>
  <c r="K172" i="4" s="1"/>
  <c r="V171" i="4"/>
  <c r="I171" i="4"/>
  <c r="K171" i="4" s="1"/>
  <c r="V170" i="4"/>
  <c r="I170" i="4"/>
  <c r="K170" i="4" s="1"/>
  <c r="V169" i="4"/>
  <c r="I169" i="4"/>
  <c r="K169" i="4" s="1"/>
  <c r="L169" i="4" s="1"/>
  <c r="V168" i="4"/>
  <c r="I168" i="4"/>
  <c r="K168" i="4" s="1"/>
  <c r="V167" i="4"/>
  <c r="I167" i="4"/>
  <c r="K167" i="4" s="1"/>
  <c r="V166" i="4"/>
  <c r="I166" i="4"/>
  <c r="K166" i="4" s="1"/>
  <c r="V165" i="4"/>
  <c r="I165" i="4"/>
  <c r="K165" i="4" s="1"/>
  <c r="L165" i="4" s="1"/>
  <c r="V164" i="4"/>
  <c r="I164" i="4"/>
  <c r="K164" i="4" s="1"/>
  <c r="V163" i="4"/>
  <c r="I163" i="4"/>
  <c r="K163" i="4" s="1"/>
  <c r="V162" i="4"/>
  <c r="I162" i="4"/>
  <c r="K162" i="4" s="1"/>
  <c r="V161" i="4"/>
  <c r="I161" i="4"/>
  <c r="K161" i="4" s="1"/>
  <c r="V160" i="4"/>
  <c r="I160" i="4"/>
  <c r="K160" i="4" s="1"/>
  <c r="V159" i="4"/>
  <c r="I159" i="4"/>
  <c r="K159" i="4" s="1"/>
  <c r="V158" i="4"/>
  <c r="I158" i="4"/>
  <c r="K158" i="4" s="1"/>
  <c r="V157" i="4"/>
  <c r="I157" i="4"/>
  <c r="K157" i="4" s="1"/>
  <c r="L157" i="4" s="1"/>
  <c r="V156" i="4"/>
  <c r="I156" i="4"/>
  <c r="K156" i="4" s="1"/>
  <c r="L156" i="4" s="1"/>
  <c r="V155" i="4"/>
  <c r="I155" i="4"/>
  <c r="K155" i="4" s="1"/>
  <c r="L155" i="4" s="1"/>
  <c r="V154" i="4"/>
  <c r="I154" i="4"/>
  <c r="K154" i="4" s="1"/>
  <c r="V153" i="4"/>
  <c r="I153" i="4"/>
  <c r="K153" i="4" s="1"/>
  <c r="L153" i="4" s="1"/>
  <c r="V152" i="4"/>
  <c r="I152" i="4"/>
  <c r="K152" i="4" s="1"/>
  <c r="L152" i="4" s="1"/>
  <c r="V151" i="4"/>
  <c r="I151" i="4"/>
  <c r="K151" i="4" s="1"/>
  <c r="V150" i="4"/>
  <c r="I150" i="4"/>
  <c r="K150" i="4" s="1"/>
  <c r="O150" i="4" s="1"/>
  <c r="P150" i="4" s="1"/>
  <c r="T150" i="4" s="1"/>
  <c r="V149" i="4"/>
  <c r="I149" i="4"/>
  <c r="K149" i="4" s="1"/>
  <c r="L149" i="4" s="1"/>
  <c r="V148" i="4"/>
  <c r="I148" i="4"/>
  <c r="K148" i="4" s="1"/>
  <c r="L148" i="4" s="1"/>
  <c r="V147" i="4"/>
  <c r="I147" i="4"/>
  <c r="K147" i="4" s="1"/>
  <c r="V146" i="4"/>
  <c r="I146" i="4"/>
  <c r="K146" i="4" s="1"/>
  <c r="V145" i="4"/>
  <c r="I145" i="4"/>
  <c r="K145" i="4" s="1"/>
  <c r="V144" i="4"/>
  <c r="I144" i="4"/>
  <c r="K144" i="4" s="1"/>
  <c r="V143" i="4"/>
  <c r="I143" i="4"/>
  <c r="K143" i="4" s="1"/>
  <c r="V142" i="4"/>
  <c r="I142" i="4"/>
  <c r="K142" i="4" s="1"/>
  <c r="L142" i="4" s="1"/>
  <c r="V141" i="4"/>
  <c r="I141" i="4"/>
  <c r="K141" i="4" s="1"/>
  <c r="V140" i="4"/>
  <c r="I140" i="4"/>
  <c r="K140" i="4" s="1"/>
  <c r="V139" i="4"/>
  <c r="I139" i="4"/>
  <c r="K139" i="4" s="1"/>
  <c r="L139" i="4" s="1"/>
  <c r="V138" i="4"/>
  <c r="I138" i="4"/>
  <c r="K138" i="4" s="1"/>
  <c r="V137" i="4"/>
  <c r="I137" i="4"/>
  <c r="K137" i="4" s="1"/>
  <c r="V136" i="4"/>
  <c r="I136" i="4"/>
  <c r="K136" i="4" s="1"/>
  <c r="V135" i="4"/>
  <c r="I135" i="4"/>
  <c r="K135" i="4" s="1"/>
  <c r="V134" i="4"/>
  <c r="I134" i="4"/>
  <c r="K134" i="4" s="1"/>
  <c r="V133" i="4"/>
  <c r="I133" i="4"/>
  <c r="K133" i="4" s="1"/>
  <c r="L133" i="4" s="1"/>
  <c r="V132" i="4"/>
  <c r="I132" i="4"/>
  <c r="K132" i="4" s="1"/>
  <c r="V131" i="4"/>
  <c r="I131" i="4"/>
  <c r="K131" i="4" s="1"/>
  <c r="L131" i="4" s="1"/>
  <c r="V130" i="4"/>
  <c r="I130" i="4"/>
  <c r="K130" i="4" s="1"/>
  <c r="V129" i="4"/>
  <c r="I129" i="4"/>
  <c r="K129" i="4" s="1"/>
  <c r="V128" i="4"/>
  <c r="I128" i="4"/>
  <c r="K128" i="4" s="1"/>
  <c r="L128" i="4" s="1"/>
  <c r="V127" i="4"/>
  <c r="I127" i="4"/>
  <c r="K127" i="4" s="1"/>
  <c r="L127" i="4" s="1"/>
  <c r="V126" i="4"/>
  <c r="I126" i="4"/>
  <c r="K126" i="4" s="1"/>
  <c r="L126" i="4" s="1"/>
  <c r="V125" i="4"/>
  <c r="I125" i="4"/>
  <c r="K125" i="4" s="1"/>
  <c r="L125" i="4" s="1"/>
  <c r="V124" i="4"/>
  <c r="I124" i="4"/>
  <c r="K124" i="4" s="1"/>
  <c r="V123" i="4"/>
  <c r="I123" i="4"/>
  <c r="K123" i="4" s="1"/>
  <c r="V122" i="4"/>
  <c r="I122" i="4"/>
  <c r="K122" i="4" s="1"/>
  <c r="V121" i="4"/>
  <c r="I121" i="4"/>
  <c r="K121" i="4" s="1"/>
  <c r="V120" i="4"/>
  <c r="I120" i="4"/>
  <c r="K120" i="4" s="1"/>
  <c r="V119" i="4"/>
  <c r="I119" i="4"/>
  <c r="K119" i="4" s="1"/>
  <c r="V118" i="4"/>
  <c r="I118" i="4"/>
  <c r="K118" i="4" s="1"/>
  <c r="V117" i="4"/>
  <c r="I117" i="4"/>
  <c r="K117" i="4" s="1"/>
  <c r="L117" i="4" s="1"/>
  <c r="V116" i="4"/>
  <c r="I116" i="4"/>
  <c r="K116" i="4" s="1"/>
  <c r="V115" i="4"/>
  <c r="I115" i="4"/>
  <c r="K115" i="4" s="1"/>
  <c r="L115" i="4" s="1"/>
  <c r="V114" i="4"/>
  <c r="I114" i="4"/>
  <c r="K114" i="4" s="1"/>
  <c r="V113" i="4"/>
  <c r="I113" i="4"/>
  <c r="K113" i="4" s="1"/>
  <c r="V112" i="4"/>
  <c r="I112" i="4"/>
  <c r="K112" i="4" s="1"/>
  <c r="V111" i="4"/>
  <c r="I111" i="4"/>
  <c r="K111" i="4" s="1"/>
  <c r="V110" i="4"/>
  <c r="I110" i="4"/>
  <c r="K110" i="4" s="1"/>
  <c r="V109" i="4"/>
  <c r="I109" i="4"/>
  <c r="K109" i="4" s="1"/>
  <c r="V108" i="4"/>
  <c r="I108" i="4"/>
  <c r="K108" i="4" s="1"/>
  <c r="V107" i="4"/>
  <c r="I107" i="4"/>
  <c r="K107" i="4" s="1"/>
  <c r="L107" i="4" s="1"/>
  <c r="V106" i="4"/>
  <c r="I106" i="4"/>
  <c r="K106" i="4" s="1"/>
  <c r="V105" i="4"/>
  <c r="I105" i="4"/>
  <c r="K105" i="4" s="1"/>
  <c r="V104" i="4"/>
  <c r="I104" i="4"/>
  <c r="K104" i="4" s="1"/>
  <c r="V103" i="4"/>
  <c r="I103" i="4"/>
  <c r="K103" i="4" s="1"/>
  <c r="L103" i="4" s="1"/>
  <c r="V102" i="4"/>
  <c r="I102" i="4"/>
  <c r="K102" i="4" s="1"/>
  <c r="V101" i="4"/>
  <c r="I101" i="4"/>
  <c r="K101" i="4" s="1"/>
  <c r="O101" i="4" s="1"/>
  <c r="P101" i="4" s="1"/>
  <c r="T101" i="4" s="1"/>
  <c r="V100" i="4"/>
  <c r="I100" i="4"/>
  <c r="K100" i="4" s="1"/>
  <c r="V99" i="4"/>
  <c r="I99" i="4"/>
  <c r="K99" i="4" s="1"/>
  <c r="V98" i="4"/>
  <c r="I98" i="4"/>
  <c r="K98" i="4" s="1"/>
  <c r="V97" i="4"/>
  <c r="I97" i="4"/>
  <c r="K97" i="4" s="1"/>
  <c r="L97" i="4" s="1"/>
  <c r="V96" i="4"/>
  <c r="I96" i="4"/>
  <c r="K96" i="4" s="1"/>
  <c r="L96" i="4" s="1"/>
  <c r="V95" i="4"/>
  <c r="I95" i="4"/>
  <c r="K95" i="4" s="1"/>
  <c r="V94" i="4"/>
  <c r="I94" i="4"/>
  <c r="K94" i="4" s="1"/>
  <c r="V93" i="4"/>
  <c r="I93" i="4"/>
  <c r="K93" i="4" s="1"/>
  <c r="L93" i="4" s="1"/>
  <c r="V92" i="4"/>
  <c r="I92" i="4"/>
  <c r="K92" i="4" s="1"/>
  <c r="V91" i="4"/>
  <c r="I91" i="4"/>
  <c r="K91" i="4" s="1"/>
  <c r="V90" i="4"/>
  <c r="I90" i="4"/>
  <c r="K90" i="4" s="1"/>
  <c r="V89" i="4"/>
  <c r="I89" i="4"/>
  <c r="K89" i="4" s="1"/>
  <c r="V88" i="4"/>
  <c r="I88" i="4"/>
  <c r="K88" i="4" s="1"/>
  <c r="L88" i="4" s="1"/>
  <c r="V87" i="4"/>
  <c r="I87" i="4"/>
  <c r="K87" i="4" s="1"/>
  <c r="L87" i="4" s="1"/>
  <c r="V86" i="4"/>
  <c r="U86" i="4"/>
  <c r="I86" i="4"/>
  <c r="K86" i="4" s="1"/>
  <c r="V85" i="4"/>
  <c r="I85" i="4"/>
  <c r="K85" i="4" s="1"/>
  <c r="V84" i="4"/>
  <c r="I84" i="4"/>
  <c r="K84" i="4" s="1"/>
  <c r="V83" i="4"/>
  <c r="I83" i="4"/>
  <c r="K83" i="4" s="1"/>
  <c r="V82" i="4"/>
  <c r="I82" i="4"/>
  <c r="K82" i="4" s="1"/>
  <c r="V81" i="4"/>
  <c r="I81" i="4"/>
  <c r="K81" i="4" s="1"/>
  <c r="V80" i="4"/>
  <c r="I80" i="4"/>
  <c r="K80" i="4" s="1"/>
  <c r="L80" i="4" s="1"/>
  <c r="V79" i="4"/>
  <c r="I79" i="4"/>
  <c r="K79" i="4" s="1"/>
  <c r="V78" i="4"/>
  <c r="I78" i="4"/>
  <c r="K78" i="4" s="1"/>
  <c r="V77" i="4"/>
  <c r="I77" i="4"/>
  <c r="K77" i="4" s="1"/>
  <c r="V76" i="4"/>
  <c r="I76" i="4"/>
  <c r="K76" i="4" s="1"/>
  <c r="V75" i="4"/>
  <c r="I75" i="4"/>
  <c r="K75" i="4" s="1"/>
  <c r="V74" i="4"/>
  <c r="I74" i="4"/>
  <c r="K74" i="4" s="1"/>
  <c r="V73" i="4"/>
  <c r="I73" i="4"/>
  <c r="K73" i="4" s="1"/>
  <c r="V72" i="4"/>
  <c r="I72" i="4"/>
  <c r="K72" i="4" s="1"/>
  <c r="V71" i="4"/>
  <c r="I71" i="4"/>
  <c r="K71" i="4" s="1"/>
  <c r="V70" i="4"/>
  <c r="I70" i="4"/>
  <c r="K70" i="4" s="1"/>
  <c r="L70" i="4" s="1"/>
  <c r="V69" i="4"/>
  <c r="I69" i="4"/>
  <c r="K69" i="4" s="1"/>
  <c r="L69" i="4" s="1"/>
  <c r="V68" i="4"/>
  <c r="I68" i="4"/>
  <c r="K68" i="4" s="1"/>
  <c r="V67" i="4"/>
  <c r="I67" i="4"/>
  <c r="K67" i="4" s="1"/>
  <c r="V66" i="4"/>
  <c r="I66" i="4"/>
  <c r="K66" i="4" s="1"/>
  <c r="V65" i="4"/>
  <c r="I65" i="4"/>
  <c r="K65" i="4" s="1"/>
  <c r="V64" i="4"/>
  <c r="I64" i="4"/>
  <c r="K64" i="4" s="1"/>
  <c r="V63" i="4"/>
  <c r="I63" i="4"/>
  <c r="K63" i="4" s="1"/>
  <c r="V62" i="4"/>
  <c r="I62" i="4"/>
  <c r="K62" i="4" s="1"/>
  <c r="V61" i="4"/>
  <c r="I61" i="4"/>
  <c r="K61" i="4" s="1"/>
  <c r="V60" i="4"/>
  <c r="I60" i="4"/>
  <c r="K60" i="4" s="1"/>
  <c r="V59" i="4"/>
  <c r="I59" i="4"/>
  <c r="K59" i="4" s="1"/>
  <c r="L59" i="4" s="1"/>
  <c r="V58" i="4"/>
  <c r="I58" i="4"/>
  <c r="K58" i="4" s="1"/>
  <c r="V57" i="4"/>
  <c r="I57" i="4"/>
  <c r="K57" i="4" s="1"/>
  <c r="L57" i="4" s="1"/>
  <c r="V56" i="4"/>
  <c r="I56" i="4"/>
  <c r="K56" i="4" s="1"/>
  <c r="L56" i="4" s="1"/>
  <c r="V55" i="4"/>
  <c r="I55" i="4"/>
  <c r="K55" i="4" s="1"/>
  <c r="V54" i="4"/>
  <c r="I54" i="4"/>
  <c r="K54" i="4" s="1"/>
  <c r="V53" i="4"/>
  <c r="I53" i="4"/>
  <c r="K53" i="4" s="1"/>
  <c r="V52" i="4"/>
  <c r="I52" i="4"/>
  <c r="K52" i="4" s="1"/>
  <c r="L52" i="4" s="1"/>
  <c r="V51" i="4"/>
  <c r="I51" i="4"/>
  <c r="K51" i="4" s="1"/>
  <c r="V50" i="4"/>
  <c r="I50" i="4"/>
  <c r="K50" i="4" s="1"/>
  <c r="V49" i="4"/>
  <c r="I49" i="4"/>
  <c r="K49" i="4" s="1"/>
  <c r="V48" i="4"/>
  <c r="I48" i="4"/>
  <c r="K48" i="4" s="1"/>
  <c r="L48" i="4" s="1"/>
  <c r="V47" i="4"/>
  <c r="I47" i="4"/>
  <c r="K47" i="4" s="1"/>
  <c r="L47" i="4" s="1"/>
  <c r="V46" i="4"/>
  <c r="I46" i="4"/>
  <c r="K46" i="4" s="1"/>
  <c r="L46" i="4" s="1"/>
  <c r="V45" i="4"/>
  <c r="I45" i="4"/>
  <c r="K45" i="4" s="1"/>
  <c r="V44" i="4"/>
  <c r="I44" i="4"/>
  <c r="K44" i="4" s="1"/>
  <c r="V43" i="4"/>
  <c r="I43" i="4"/>
  <c r="K43" i="4" s="1"/>
  <c r="V42" i="4"/>
  <c r="I42" i="4"/>
  <c r="K42" i="4" s="1"/>
  <c r="V41" i="4"/>
  <c r="I41" i="4"/>
  <c r="K41" i="4" s="1"/>
  <c r="O41" i="4" s="1"/>
  <c r="P41" i="4" s="1"/>
  <c r="T41" i="4" s="1"/>
  <c r="V40" i="4"/>
  <c r="I40" i="4"/>
  <c r="K40" i="4" s="1"/>
  <c r="V39" i="4"/>
  <c r="I39" i="4"/>
  <c r="K39" i="4" s="1"/>
  <c r="V38" i="4"/>
  <c r="I38" i="4"/>
  <c r="K38" i="4" s="1"/>
  <c r="L38" i="4" s="1"/>
  <c r="V37" i="4"/>
  <c r="I37" i="4"/>
  <c r="K37" i="4" s="1"/>
  <c r="V36" i="4"/>
  <c r="I36" i="4"/>
  <c r="K36" i="4" s="1"/>
  <c r="V35" i="4"/>
  <c r="I35" i="4"/>
  <c r="K35" i="4" s="1"/>
  <c r="L35" i="4" s="1"/>
  <c r="V34" i="4"/>
  <c r="I34" i="4"/>
  <c r="K34" i="4" s="1"/>
  <c r="L34" i="4" s="1"/>
  <c r="V33" i="4"/>
  <c r="I33" i="4"/>
  <c r="K33" i="4" s="1"/>
  <c r="V32" i="4"/>
  <c r="I32" i="4"/>
  <c r="K32" i="4" s="1"/>
  <c r="L32" i="4" s="1"/>
  <c r="V31" i="4"/>
  <c r="I31" i="4"/>
  <c r="K31" i="4" s="1"/>
  <c r="V30" i="4"/>
  <c r="I30" i="4"/>
  <c r="K30" i="4" s="1"/>
  <c r="V29" i="4"/>
  <c r="I29" i="4"/>
  <c r="K29" i="4" s="1"/>
  <c r="V28" i="4"/>
  <c r="I28" i="4"/>
  <c r="K28" i="4" s="1"/>
  <c r="V27" i="4"/>
  <c r="I27" i="4"/>
  <c r="K27" i="4" s="1"/>
  <c r="L27" i="4" s="1"/>
  <c r="V26" i="4"/>
  <c r="I26" i="4"/>
  <c r="K26" i="4" s="1"/>
  <c r="L26" i="4" s="1"/>
  <c r="V25" i="4"/>
  <c r="I25" i="4"/>
  <c r="K25" i="4" s="1"/>
  <c r="V24" i="4"/>
  <c r="I24" i="4"/>
  <c r="K24" i="4" s="1"/>
  <c r="V23" i="4"/>
  <c r="I23" i="4"/>
  <c r="K23" i="4" s="1"/>
  <c r="V22" i="4"/>
  <c r="I22" i="4"/>
  <c r="K22" i="4" s="1"/>
  <c r="L22" i="4" s="1"/>
  <c r="V21" i="4"/>
  <c r="I21" i="4"/>
  <c r="K21" i="4" s="1"/>
  <c r="V20" i="4"/>
  <c r="I20" i="4"/>
  <c r="K20" i="4" s="1"/>
  <c r="O20" i="4" s="1"/>
  <c r="P20" i="4" s="1"/>
  <c r="T20" i="4" s="1"/>
  <c r="V19" i="4"/>
  <c r="I19" i="4"/>
  <c r="K19" i="4" s="1"/>
  <c r="L19" i="4" s="1"/>
  <c r="V18" i="4"/>
  <c r="I18" i="4"/>
  <c r="K18" i="4" s="1"/>
  <c r="V17" i="4"/>
  <c r="I17" i="4"/>
  <c r="K17" i="4" s="1"/>
  <c r="V16" i="4"/>
  <c r="I16" i="4"/>
  <c r="K16" i="4" s="1"/>
  <c r="L16" i="4" s="1"/>
  <c r="V15" i="4"/>
  <c r="I15" i="4"/>
  <c r="K15" i="4" s="1"/>
  <c r="V14" i="4"/>
  <c r="I14" i="4"/>
  <c r="K14" i="4" s="1"/>
  <c r="V13" i="4"/>
  <c r="I13" i="4"/>
  <c r="K13" i="4" s="1"/>
  <c r="L13" i="4" s="1"/>
  <c r="V12" i="4"/>
  <c r="I12" i="4"/>
  <c r="K12" i="4" s="1"/>
  <c r="V11" i="4"/>
  <c r="I11" i="4"/>
  <c r="K11" i="4" s="1"/>
  <c r="L11" i="4" s="1"/>
  <c r="V10" i="4"/>
  <c r="I10" i="4"/>
  <c r="K10" i="4" s="1"/>
  <c r="V9" i="4"/>
  <c r="I9" i="4"/>
  <c r="K9" i="4" s="1"/>
  <c r="V8" i="4"/>
  <c r="M8" i="4"/>
  <c r="I8" i="4"/>
  <c r="K8" i="4" s="1"/>
  <c r="L8" i="4" s="1"/>
  <c r="D6" i="4"/>
  <c r="AH5" i="4"/>
  <c r="AG5" i="4" s="1"/>
  <c r="AF5" i="4"/>
  <c r="D5" i="4"/>
  <c r="AF3" i="4" s="1"/>
  <c r="AL3" i="4"/>
  <c r="AH3" i="4"/>
  <c r="AE3" i="4"/>
  <c r="AD3" i="4"/>
  <c r="AC3" i="4"/>
  <c r="D3" i="4"/>
  <c r="D4" i="4" s="1"/>
  <c r="AG3" i="4" s="1"/>
  <c r="AL2" i="4"/>
  <c r="AK2" i="4"/>
  <c r="AJ2" i="4"/>
  <c r="AI2" i="4"/>
  <c r="AH2" i="4"/>
  <c r="AG2" i="4"/>
  <c r="AF2" i="4"/>
  <c r="AE2" i="4"/>
  <c r="AD2" i="4"/>
  <c r="AC2" i="4"/>
  <c r="AL1" i="4"/>
  <c r="AK1" i="4"/>
  <c r="AJ1" i="4"/>
  <c r="AI1" i="4"/>
  <c r="AH1" i="4"/>
  <c r="AG1" i="4"/>
  <c r="AF1" i="4"/>
  <c r="AE1" i="4"/>
  <c r="AD1" i="4"/>
  <c r="AC1" i="4"/>
  <c r="O321" i="4" l="1"/>
  <c r="P321" i="4" s="1"/>
  <c r="T321" i="4" s="1"/>
  <c r="O161" i="4"/>
  <c r="P161" i="4" s="1"/>
  <c r="T161" i="4" s="1"/>
  <c r="O273" i="4"/>
  <c r="P273" i="4" s="1"/>
  <c r="T273" i="4" s="1"/>
  <c r="O315" i="4"/>
  <c r="P315" i="4" s="1"/>
  <c r="T315" i="4" s="1"/>
  <c r="L321" i="4"/>
  <c r="O236" i="4"/>
  <c r="P236" i="4" s="1"/>
  <c r="T236" i="4" s="1"/>
  <c r="O131" i="4"/>
  <c r="P131" i="4" s="1"/>
  <c r="T131" i="4" s="1"/>
  <c r="O327" i="4"/>
  <c r="P327" i="4" s="1"/>
  <c r="T327" i="4" s="1"/>
  <c r="U45" i="4"/>
  <c r="Y45" i="4" s="1"/>
  <c r="U100" i="4"/>
  <c r="Y100" i="4" s="1"/>
  <c r="U120" i="4"/>
  <c r="Y120" i="4" s="1"/>
  <c r="U133" i="4"/>
  <c r="Y133" i="4" s="1"/>
  <c r="U164" i="4"/>
  <c r="Y164" i="4" s="1"/>
  <c r="U170" i="4"/>
  <c r="Y170" i="4" s="1"/>
  <c r="U179" i="4"/>
  <c r="Y179" i="4" s="1"/>
  <c r="U221" i="4"/>
  <c r="Y221" i="4" s="1"/>
  <c r="U225" i="4"/>
  <c r="Y225" i="4" s="1"/>
  <c r="U244" i="4"/>
  <c r="Y244" i="4" s="1"/>
  <c r="U314" i="4"/>
  <c r="Y314" i="4" s="1"/>
  <c r="U34" i="4"/>
  <c r="Y34" i="4" s="1"/>
  <c r="U49" i="4"/>
  <c r="Y49" i="4" s="1"/>
  <c r="U87" i="4"/>
  <c r="Y87" i="4" s="1"/>
  <c r="U111" i="4"/>
  <c r="Y111" i="4" s="1"/>
  <c r="U124" i="4"/>
  <c r="Y124" i="4" s="1"/>
  <c r="U144" i="4"/>
  <c r="Y144" i="4" s="1"/>
  <c r="U185" i="4"/>
  <c r="Y185" i="4" s="1"/>
  <c r="U206" i="4"/>
  <c r="Y206" i="4" s="1"/>
  <c r="U246" i="4"/>
  <c r="Y246" i="4" s="1"/>
  <c r="U265" i="4"/>
  <c r="Y265" i="4" s="1"/>
  <c r="U290" i="4"/>
  <c r="Y290" i="4" s="1"/>
  <c r="U307" i="4"/>
  <c r="Y307" i="4" s="1"/>
  <c r="U318" i="4"/>
  <c r="Y318" i="4" s="1"/>
  <c r="U17" i="4"/>
  <c r="Y17" i="4" s="1"/>
  <c r="U23" i="4"/>
  <c r="Y23" i="4" s="1"/>
  <c r="U29" i="4"/>
  <c r="Y29" i="4" s="1"/>
  <c r="U51" i="4"/>
  <c r="Y51" i="4" s="1"/>
  <c r="U59" i="4"/>
  <c r="Y59" i="4" s="1"/>
  <c r="U91" i="4"/>
  <c r="Y91" i="4" s="1"/>
  <c r="U148" i="4"/>
  <c r="Y148" i="4" s="1"/>
  <c r="U157" i="4"/>
  <c r="Y157" i="4" s="1"/>
  <c r="U210" i="4"/>
  <c r="Y210" i="4" s="1"/>
  <c r="U235" i="4"/>
  <c r="Y235" i="4" s="1"/>
  <c r="U256" i="4"/>
  <c r="Y256" i="4" s="1"/>
  <c r="U269" i="4"/>
  <c r="Y269" i="4" s="1"/>
  <c r="U273" i="4"/>
  <c r="Y273" i="4" s="1"/>
  <c r="U294" i="4"/>
  <c r="Y294" i="4" s="1"/>
  <c r="U31" i="4"/>
  <c r="Y31" i="4" s="1"/>
  <c r="U44" i="4"/>
  <c r="Y44" i="4" s="1"/>
  <c r="U63" i="4"/>
  <c r="Y63" i="4" s="1"/>
  <c r="U78" i="4"/>
  <c r="Y78" i="4" s="1"/>
  <c r="U115" i="4"/>
  <c r="Y115" i="4" s="1"/>
  <c r="U119" i="4"/>
  <c r="Y119" i="4" s="1"/>
  <c r="U139" i="4"/>
  <c r="Y139" i="4" s="1"/>
  <c r="U178" i="4"/>
  <c r="Y178" i="4" s="1"/>
  <c r="U195" i="4"/>
  <c r="Y195" i="4" s="1"/>
  <c r="U214" i="4"/>
  <c r="Y214" i="4" s="1"/>
  <c r="U239" i="4"/>
  <c r="Y239" i="4" s="1"/>
  <c r="U258" i="4"/>
  <c r="Y258" i="4" s="1"/>
  <c r="U279" i="4"/>
  <c r="Y279" i="4" s="1"/>
  <c r="U283" i="4"/>
  <c r="Y283" i="4" s="1"/>
  <c r="U287" i="4"/>
  <c r="Y287" i="4" s="1"/>
  <c r="U65" i="4"/>
  <c r="Y65" i="4" s="1"/>
  <c r="U80" i="4"/>
  <c r="Y80" i="4" s="1"/>
  <c r="U101" i="4"/>
  <c r="Y101" i="4" s="1"/>
  <c r="U108" i="4"/>
  <c r="Y108" i="4" s="1"/>
  <c r="U141" i="4"/>
  <c r="Y141" i="4" s="1"/>
  <c r="U165" i="4"/>
  <c r="Y165" i="4" s="1"/>
  <c r="U180" i="4"/>
  <c r="Y180" i="4" s="1"/>
  <c r="U203" i="4"/>
  <c r="Y203" i="4" s="1"/>
  <c r="U226" i="4"/>
  <c r="Y226" i="4" s="1"/>
  <c r="U243" i="4"/>
  <c r="Y243" i="4" s="1"/>
  <c r="U289" i="4"/>
  <c r="Y289" i="4" s="1"/>
  <c r="U326" i="4"/>
  <c r="Y326" i="4" s="1"/>
  <c r="U8" i="4"/>
  <c r="Y8" i="4" s="1"/>
  <c r="U10" i="4"/>
  <c r="Y10" i="4" s="1"/>
  <c r="U12" i="4"/>
  <c r="Y12" i="4" s="1"/>
  <c r="U35" i="4"/>
  <c r="Y35" i="4" s="1"/>
  <c r="U48" i="4"/>
  <c r="Y48" i="4" s="1"/>
  <c r="U69" i="4"/>
  <c r="Y69" i="4" s="1"/>
  <c r="U82" i="4"/>
  <c r="Y82" i="4" s="1"/>
  <c r="U84" i="4"/>
  <c r="Y84" i="4" s="1"/>
  <c r="U88" i="4"/>
  <c r="Y88" i="4" s="1"/>
  <c r="U103" i="4"/>
  <c r="Y103" i="4" s="1"/>
  <c r="U121" i="4"/>
  <c r="Y121" i="4" s="1"/>
  <c r="U123" i="4"/>
  <c r="Y123" i="4" s="1"/>
  <c r="U125" i="4"/>
  <c r="Y125" i="4" s="1"/>
  <c r="U134" i="4"/>
  <c r="Y134" i="4" s="1"/>
  <c r="U143" i="4"/>
  <c r="Y143" i="4" s="1"/>
  <c r="U145" i="4"/>
  <c r="Y145" i="4" s="1"/>
  <c r="U147" i="4"/>
  <c r="Y147" i="4" s="1"/>
  <c r="U154" i="4"/>
  <c r="Y154" i="4" s="1"/>
  <c r="U171" i="4"/>
  <c r="Y171" i="4" s="1"/>
  <c r="U182" i="4"/>
  <c r="Y182" i="4" s="1"/>
  <c r="U184" i="4"/>
  <c r="Y184" i="4" s="1"/>
  <c r="U186" i="4"/>
  <c r="Y186" i="4" s="1"/>
  <c r="U188" i="4"/>
  <c r="Y188" i="4" s="1"/>
  <c r="U205" i="4"/>
  <c r="Y205" i="4" s="1"/>
  <c r="U207" i="4"/>
  <c r="Y207" i="4" s="1"/>
  <c r="U209" i="4"/>
  <c r="Y209" i="4" s="1"/>
  <c r="U228" i="4"/>
  <c r="Y228" i="4" s="1"/>
  <c r="U247" i="4"/>
  <c r="Y247" i="4" s="1"/>
  <c r="U249" i="4"/>
  <c r="Y249" i="4" s="1"/>
  <c r="U251" i="4"/>
  <c r="Y251" i="4" s="1"/>
  <c r="U262" i="4"/>
  <c r="Y262" i="4" s="1"/>
  <c r="U264" i="4"/>
  <c r="Y264" i="4" s="1"/>
  <c r="U266" i="4"/>
  <c r="Y266" i="4" s="1"/>
  <c r="U268" i="4"/>
  <c r="Y268" i="4" s="1"/>
  <c r="U291" i="4"/>
  <c r="Y291" i="4" s="1"/>
  <c r="U304" i="4"/>
  <c r="Y304" i="4" s="1"/>
  <c r="U306" i="4"/>
  <c r="Y306" i="4" s="1"/>
  <c r="U308" i="4"/>
  <c r="Y308" i="4" s="1"/>
  <c r="U315" i="4"/>
  <c r="Y315" i="4" s="1"/>
  <c r="U317" i="4"/>
  <c r="Y317" i="4" s="1"/>
  <c r="U319" i="4"/>
  <c r="Y319" i="4" s="1"/>
  <c r="U66" i="4"/>
  <c r="Y66" i="4" s="1"/>
  <c r="U81" i="4"/>
  <c r="Y81" i="4" s="1"/>
  <c r="U109" i="4"/>
  <c r="Y109" i="4" s="1"/>
  <c r="U131" i="4"/>
  <c r="Y131" i="4" s="1"/>
  <c r="U168" i="4"/>
  <c r="Y168" i="4" s="1"/>
  <c r="U181" i="4"/>
  <c r="Y181" i="4" s="1"/>
  <c r="U223" i="4"/>
  <c r="Y223" i="4" s="1"/>
  <c r="U242" i="4"/>
  <c r="Y242" i="4" s="1"/>
  <c r="U303" i="4"/>
  <c r="Y303" i="4" s="1"/>
  <c r="U327" i="4"/>
  <c r="Y327" i="4" s="1"/>
  <c r="U9" i="4"/>
  <c r="Y9" i="4" s="1"/>
  <c r="U36" i="4"/>
  <c r="Y36" i="4" s="1"/>
  <c r="U83" i="4"/>
  <c r="Y83" i="4" s="1"/>
  <c r="U102" i="4"/>
  <c r="Y102" i="4" s="1"/>
  <c r="U135" i="4"/>
  <c r="Y135" i="4" s="1"/>
  <c r="U172" i="4"/>
  <c r="Y172" i="4" s="1"/>
  <c r="U187" i="4"/>
  <c r="Y187" i="4" s="1"/>
  <c r="U208" i="4"/>
  <c r="Y208" i="4" s="1"/>
  <c r="U229" i="4"/>
  <c r="Y229" i="4" s="1"/>
  <c r="U250" i="4"/>
  <c r="Y250" i="4" s="1"/>
  <c r="U267" i="4"/>
  <c r="Y267" i="4" s="1"/>
  <c r="U309" i="4"/>
  <c r="Y309" i="4" s="1"/>
  <c r="U316" i="4"/>
  <c r="Y316" i="4" s="1"/>
  <c r="U15" i="4"/>
  <c r="Y15" i="4" s="1"/>
  <c r="U21" i="4"/>
  <c r="Y21" i="4" s="1"/>
  <c r="U25" i="4"/>
  <c r="Y25" i="4" s="1"/>
  <c r="U40" i="4"/>
  <c r="Y40" i="4" s="1"/>
  <c r="U55" i="4"/>
  <c r="Y55" i="4" s="1"/>
  <c r="U61" i="4"/>
  <c r="Y61" i="4" s="1"/>
  <c r="U70" i="4"/>
  <c r="Y70" i="4" s="1"/>
  <c r="U95" i="4"/>
  <c r="Y95" i="4" s="1"/>
  <c r="U104" i="4"/>
  <c r="Y104" i="4" s="1"/>
  <c r="U174" i="4"/>
  <c r="Y174" i="4" s="1"/>
  <c r="U189" i="4"/>
  <c r="Y189" i="4" s="1"/>
  <c r="U212" i="4"/>
  <c r="Y212" i="4" s="1"/>
  <c r="U231" i="4"/>
  <c r="Y231" i="4" s="1"/>
  <c r="U254" i="4"/>
  <c r="Y254" i="4" s="1"/>
  <c r="U275" i="4"/>
  <c r="Y275" i="4" s="1"/>
  <c r="U292" i="4"/>
  <c r="Y292" i="4" s="1"/>
  <c r="U311" i="4"/>
  <c r="Y311" i="4" s="1"/>
  <c r="U42" i="4"/>
  <c r="Y42" i="4" s="1"/>
  <c r="U74" i="4"/>
  <c r="Y74" i="4" s="1"/>
  <c r="U113" i="4"/>
  <c r="Y113" i="4" s="1"/>
  <c r="U137" i="4"/>
  <c r="Y137" i="4" s="1"/>
  <c r="U150" i="4"/>
  <c r="Y150" i="4" s="1"/>
  <c r="U161" i="4"/>
  <c r="Y161" i="4" s="1"/>
  <c r="U193" i="4"/>
  <c r="Y193" i="4" s="1"/>
  <c r="U199" i="4"/>
  <c r="Y199" i="4" s="1"/>
  <c r="U216" i="4"/>
  <c r="Y216" i="4" s="1"/>
  <c r="U281" i="4"/>
  <c r="Y281" i="4" s="1"/>
  <c r="U298" i="4"/>
  <c r="Y298" i="4" s="1"/>
  <c r="U313" i="4"/>
  <c r="Y313" i="4" s="1"/>
  <c r="U324" i="4"/>
  <c r="Y324" i="4" s="1"/>
  <c r="U33" i="4"/>
  <c r="Y33" i="4" s="1"/>
  <c r="U46" i="4"/>
  <c r="Y46" i="4" s="1"/>
  <c r="U67" i="4"/>
  <c r="Y67" i="4" s="1"/>
  <c r="U106" i="4"/>
  <c r="Y106" i="4" s="1"/>
  <c r="U132" i="4"/>
  <c r="Y132" i="4" s="1"/>
  <c r="U167" i="4"/>
  <c r="Y167" i="4" s="1"/>
  <c r="U201" i="4"/>
  <c r="Y201" i="4" s="1"/>
  <c r="U222" i="4"/>
  <c r="Y222" i="4" s="1"/>
  <c r="U241" i="4"/>
  <c r="Y241" i="4" s="1"/>
  <c r="U260" i="4"/>
  <c r="Y260" i="4" s="1"/>
  <c r="U302" i="4"/>
  <c r="Y302" i="4" s="1"/>
  <c r="U16" i="4"/>
  <c r="Y16" i="4" s="1"/>
  <c r="U20" i="4"/>
  <c r="Y20" i="4" s="1"/>
  <c r="U22" i="4"/>
  <c r="Y22" i="4" s="1"/>
  <c r="U24" i="4"/>
  <c r="Y24" i="4" s="1"/>
  <c r="U26" i="4"/>
  <c r="Y26" i="4" s="1"/>
  <c r="U28" i="4"/>
  <c r="Y28" i="4" s="1"/>
  <c r="U30" i="4"/>
  <c r="Y30" i="4" s="1"/>
  <c r="U37" i="4"/>
  <c r="Y37" i="4" s="1"/>
  <c r="U39" i="4"/>
  <c r="Y39" i="4" s="1"/>
  <c r="U41" i="4"/>
  <c r="Y41" i="4" s="1"/>
  <c r="U50" i="4"/>
  <c r="Y50" i="4" s="1"/>
  <c r="U52" i="4"/>
  <c r="Y52" i="4" s="1"/>
  <c r="U54" i="4"/>
  <c r="Y54" i="4" s="1"/>
  <c r="U56" i="4"/>
  <c r="Y56" i="4" s="1"/>
  <c r="U58" i="4"/>
  <c r="Y58" i="4" s="1"/>
  <c r="U60" i="4"/>
  <c r="Y60" i="4" s="1"/>
  <c r="U71" i="4"/>
  <c r="Y71" i="4" s="1"/>
  <c r="U90" i="4"/>
  <c r="Y90" i="4" s="1"/>
  <c r="U92" i="4"/>
  <c r="Y92" i="4" s="1"/>
  <c r="U94" i="4"/>
  <c r="Y94" i="4" s="1"/>
  <c r="U112" i="4"/>
  <c r="Y112" i="4" s="1"/>
  <c r="U127" i="4"/>
  <c r="Y127" i="4" s="1"/>
  <c r="U136" i="4"/>
  <c r="Y136" i="4" s="1"/>
  <c r="U149" i="4"/>
  <c r="Y149" i="4" s="1"/>
  <c r="U156" i="4"/>
  <c r="Y156" i="4" s="1"/>
  <c r="U158" i="4"/>
  <c r="Y158" i="4" s="1"/>
  <c r="U173" i="4"/>
  <c r="Y173" i="4" s="1"/>
  <c r="U190" i="4"/>
  <c r="Y190" i="4" s="1"/>
  <c r="U192" i="4"/>
  <c r="Y192" i="4" s="1"/>
  <c r="U211" i="4"/>
  <c r="Y211" i="4" s="1"/>
  <c r="U213" i="4"/>
  <c r="Y213" i="4" s="1"/>
  <c r="U230" i="4"/>
  <c r="Y230" i="4" s="1"/>
  <c r="U232" i="4"/>
  <c r="Y232" i="4" s="1"/>
  <c r="U234" i="4"/>
  <c r="Y234" i="4" s="1"/>
  <c r="U253" i="4"/>
  <c r="Y253" i="4" s="1"/>
  <c r="U255" i="4"/>
  <c r="Y255" i="4" s="1"/>
  <c r="U257" i="4"/>
  <c r="Y257" i="4" s="1"/>
  <c r="U270" i="4"/>
  <c r="Y270" i="4" s="1"/>
  <c r="U272" i="4"/>
  <c r="Y272" i="4" s="1"/>
  <c r="U274" i="4"/>
  <c r="Y274" i="4" s="1"/>
  <c r="U293" i="4"/>
  <c r="Y293" i="4" s="1"/>
  <c r="U295" i="4"/>
  <c r="Y295" i="4" s="1"/>
  <c r="U297" i="4"/>
  <c r="Y297" i="4" s="1"/>
  <c r="U310" i="4"/>
  <c r="Y310" i="4" s="1"/>
  <c r="U321" i="4"/>
  <c r="Y321" i="4" s="1"/>
  <c r="U32" i="4"/>
  <c r="Y32" i="4" s="1"/>
  <c r="U68" i="4"/>
  <c r="Y68" i="4" s="1"/>
  <c r="U98" i="4"/>
  <c r="Y98" i="4" s="1"/>
  <c r="U107" i="4"/>
  <c r="Y107" i="4" s="1"/>
  <c r="U151" i="4"/>
  <c r="Y151" i="4" s="1"/>
  <c r="U166" i="4"/>
  <c r="Y166" i="4" s="1"/>
  <c r="U202" i="4"/>
  <c r="Y202" i="4" s="1"/>
  <c r="U227" i="4"/>
  <c r="Y227" i="4" s="1"/>
  <c r="U240" i="4"/>
  <c r="Y240" i="4" s="1"/>
  <c r="U261" i="4"/>
  <c r="Y261" i="4" s="1"/>
  <c r="U288" i="4"/>
  <c r="Y288" i="4" s="1"/>
  <c r="U11" i="4"/>
  <c r="Y11" i="4" s="1"/>
  <c r="U47" i="4"/>
  <c r="Y47" i="4" s="1"/>
  <c r="U85" i="4"/>
  <c r="Y85" i="4" s="1"/>
  <c r="U122" i="4"/>
  <c r="Y122" i="4" s="1"/>
  <c r="U142" i="4"/>
  <c r="Y142" i="4" s="1"/>
  <c r="U146" i="4"/>
  <c r="Y146" i="4" s="1"/>
  <c r="U153" i="4"/>
  <c r="Y153" i="4" s="1"/>
  <c r="U183" i="4"/>
  <c r="Y183" i="4" s="1"/>
  <c r="U204" i="4"/>
  <c r="Y204" i="4" s="1"/>
  <c r="U248" i="4"/>
  <c r="Y248" i="4" s="1"/>
  <c r="U263" i="4"/>
  <c r="Y263" i="4" s="1"/>
  <c r="U305" i="4"/>
  <c r="Y305" i="4" s="1"/>
  <c r="U320" i="4"/>
  <c r="Y320" i="4" s="1"/>
  <c r="U13" i="4"/>
  <c r="Y13" i="4" s="1"/>
  <c r="U19" i="4"/>
  <c r="Y19" i="4" s="1"/>
  <c r="U27" i="4"/>
  <c r="Y27" i="4" s="1"/>
  <c r="U38" i="4"/>
  <c r="Y38" i="4" s="1"/>
  <c r="U53" i="4"/>
  <c r="Y53" i="4" s="1"/>
  <c r="U57" i="4"/>
  <c r="Y57" i="4" s="1"/>
  <c r="U72" i="4"/>
  <c r="Y72" i="4" s="1"/>
  <c r="U89" i="4"/>
  <c r="Y89" i="4" s="1"/>
  <c r="U93" i="4"/>
  <c r="Y93" i="4" s="1"/>
  <c r="U126" i="4"/>
  <c r="Y126" i="4" s="1"/>
  <c r="U155" i="4"/>
  <c r="Y155" i="4" s="1"/>
  <c r="U191" i="4"/>
  <c r="Y191" i="4" s="1"/>
  <c r="U233" i="4"/>
  <c r="Y233" i="4" s="1"/>
  <c r="U252" i="4"/>
  <c r="Y252" i="4" s="1"/>
  <c r="U271" i="4"/>
  <c r="Y271" i="4" s="1"/>
  <c r="U296" i="4"/>
  <c r="Y296" i="4" s="1"/>
  <c r="U76" i="4"/>
  <c r="Y76" i="4" s="1"/>
  <c r="U97" i="4"/>
  <c r="Y97" i="4" s="1"/>
  <c r="U117" i="4"/>
  <c r="Y117" i="4" s="1"/>
  <c r="U128" i="4"/>
  <c r="Y128" i="4" s="1"/>
  <c r="U159" i="4"/>
  <c r="Y159" i="4" s="1"/>
  <c r="U176" i="4"/>
  <c r="Y176" i="4" s="1"/>
  <c r="U197" i="4"/>
  <c r="Y197" i="4" s="1"/>
  <c r="U218" i="4"/>
  <c r="Y218" i="4" s="1"/>
  <c r="U237" i="4"/>
  <c r="Y237" i="4" s="1"/>
  <c r="U277" i="4"/>
  <c r="Y277" i="4" s="1"/>
  <c r="U285" i="4"/>
  <c r="Y285" i="4" s="1"/>
  <c r="U300" i="4"/>
  <c r="Y300" i="4" s="1"/>
  <c r="U322" i="4"/>
  <c r="Y322" i="4" s="1"/>
  <c r="U99" i="4"/>
  <c r="Y99" i="4" s="1"/>
  <c r="U110" i="4"/>
  <c r="Y110" i="4" s="1"/>
  <c r="U130" i="4"/>
  <c r="Y130" i="4" s="1"/>
  <c r="U152" i="4"/>
  <c r="Y152" i="4" s="1"/>
  <c r="U163" i="4"/>
  <c r="Y163" i="4" s="1"/>
  <c r="U169" i="4"/>
  <c r="Y169" i="4" s="1"/>
  <c r="U220" i="4"/>
  <c r="Y220" i="4" s="1"/>
  <c r="U224" i="4"/>
  <c r="Y224" i="4" s="1"/>
  <c r="U245" i="4"/>
  <c r="Y245" i="4" s="1"/>
  <c r="U14" i="4"/>
  <c r="Y14" i="4" s="1"/>
  <c r="U18" i="4"/>
  <c r="Y18" i="4" s="1"/>
  <c r="U43" i="4"/>
  <c r="Y43" i="4" s="1"/>
  <c r="U62" i="4"/>
  <c r="Y62" i="4" s="1"/>
  <c r="U64" i="4"/>
  <c r="Y64" i="4" s="1"/>
  <c r="U73" i="4"/>
  <c r="Y73" i="4" s="1"/>
  <c r="U75" i="4"/>
  <c r="Y75" i="4" s="1"/>
  <c r="U77" i="4"/>
  <c r="Y77" i="4" s="1"/>
  <c r="U79" i="4"/>
  <c r="Y79" i="4" s="1"/>
  <c r="U96" i="4"/>
  <c r="Y96" i="4" s="1"/>
  <c r="U105" i="4"/>
  <c r="Y105" i="4" s="1"/>
  <c r="U114" i="4"/>
  <c r="Y114" i="4" s="1"/>
  <c r="U116" i="4"/>
  <c r="Y116" i="4" s="1"/>
  <c r="U118" i="4"/>
  <c r="Y118" i="4" s="1"/>
  <c r="U129" i="4"/>
  <c r="Y129" i="4" s="1"/>
  <c r="U138" i="4"/>
  <c r="Y138" i="4" s="1"/>
  <c r="U140" i="4"/>
  <c r="Y140" i="4" s="1"/>
  <c r="U160" i="4"/>
  <c r="Y160" i="4" s="1"/>
  <c r="U162" i="4"/>
  <c r="Y162" i="4" s="1"/>
  <c r="U175" i="4"/>
  <c r="Y175" i="4" s="1"/>
  <c r="U177" i="4"/>
  <c r="Y177" i="4" s="1"/>
  <c r="U194" i="4"/>
  <c r="Y194" i="4" s="1"/>
  <c r="U196" i="4"/>
  <c r="Y196" i="4" s="1"/>
  <c r="U198" i="4"/>
  <c r="Y198" i="4" s="1"/>
  <c r="U200" i="4"/>
  <c r="Y200" i="4" s="1"/>
  <c r="U215" i="4"/>
  <c r="Y215" i="4" s="1"/>
  <c r="U217" i="4"/>
  <c r="Y217" i="4" s="1"/>
  <c r="U219" i="4"/>
  <c r="Y219" i="4" s="1"/>
  <c r="U236" i="4"/>
  <c r="Y236" i="4" s="1"/>
  <c r="U238" i="4"/>
  <c r="Y238" i="4" s="1"/>
  <c r="U259" i="4"/>
  <c r="Y259" i="4" s="1"/>
  <c r="U276" i="4"/>
  <c r="Y276" i="4" s="1"/>
  <c r="U278" i="4"/>
  <c r="Y278" i="4" s="1"/>
  <c r="U280" i="4"/>
  <c r="Y280" i="4" s="1"/>
  <c r="U282" i="4"/>
  <c r="Y282" i="4" s="1"/>
  <c r="U284" i="4"/>
  <c r="Y284" i="4" s="1"/>
  <c r="U286" i="4"/>
  <c r="Y286" i="4" s="1"/>
  <c r="U299" i="4"/>
  <c r="Y299" i="4" s="1"/>
  <c r="U301" i="4"/>
  <c r="Y301" i="4" s="1"/>
  <c r="U312" i="4"/>
  <c r="Y312" i="4" s="1"/>
  <c r="U323" i="4"/>
  <c r="Y323" i="4" s="1"/>
  <c r="U325" i="4"/>
  <c r="Y325" i="4" s="1"/>
  <c r="O121" i="4"/>
  <c r="P121" i="4" s="1"/>
  <c r="T121" i="4" s="1"/>
  <c r="O317" i="4"/>
  <c r="P317" i="4" s="1"/>
  <c r="T317" i="4" s="1"/>
  <c r="O75" i="4"/>
  <c r="P75" i="4" s="1"/>
  <c r="T75" i="4" s="1"/>
  <c r="O162" i="4"/>
  <c r="P162" i="4" s="1"/>
  <c r="T162" i="4" s="1"/>
  <c r="O323" i="4"/>
  <c r="P323" i="4" s="1"/>
  <c r="T323" i="4" s="1"/>
  <c r="O185" i="4"/>
  <c r="P185" i="4" s="1"/>
  <c r="T185" i="4" s="1"/>
  <c r="O307" i="4"/>
  <c r="P307" i="4" s="1"/>
  <c r="T307" i="4" s="1"/>
  <c r="O98" i="4"/>
  <c r="P98" i="4" s="1"/>
  <c r="T98" i="4" s="1"/>
  <c r="O264" i="4"/>
  <c r="P264" i="4" s="1"/>
  <c r="T264" i="4" s="1"/>
  <c r="O263" i="4"/>
  <c r="P263" i="4" s="1"/>
  <c r="T263" i="4" s="1"/>
  <c r="O83" i="4"/>
  <c r="P83" i="4" s="1"/>
  <c r="T83" i="4" s="1"/>
  <c r="O215" i="4"/>
  <c r="P215" i="4" s="1"/>
  <c r="T215" i="4" s="1"/>
  <c r="O257" i="4"/>
  <c r="P257" i="4" s="1"/>
  <c r="T257" i="4" s="1"/>
  <c r="O309" i="4"/>
  <c r="P309" i="4" s="1"/>
  <c r="T309" i="4" s="1"/>
  <c r="O91" i="4"/>
  <c r="P91" i="4" s="1"/>
  <c r="T91" i="4" s="1"/>
  <c r="O209" i="4"/>
  <c r="P209" i="4" s="1"/>
  <c r="T209" i="4" s="1"/>
  <c r="O251" i="4"/>
  <c r="P251" i="4" s="1"/>
  <c r="T251" i="4" s="1"/>
  <c r="O271" i="4"/>
  <c r="P271" i="4" s="1"/>
  <c r="T271" i="4" s="1"/>
  <c r="L98" i="4"/>
  <c r="L257" i="4"/>
  <c r="O59" i="4"/>
  <c r="P59" i="4" s="1"/>
  <c r="T59" i="4" s="1"/>
  <c r="O72" i="4"/>
  <c r="P72" i="4" s="1"/>
  <c r="T72" i="4" s="1"/>
  <c r="O129" i="4"/>
  <c r="P129" i="4" s="1"/>
  <c r="T129" i="4" s="1"/>
  <c r="O154" i="4"/>
  <c r="P154" i="4" s="1"/>
  <c r="T154" i="4" s="1"/>
  <c r="O193" i="4"/>
  <c r="P193" i="4" s="1"/>
  <c r="T193" i="4" s="1"/>
  <c r="O305" i="4"/>
  <c r="P305" i="4" s="1"/>
  <c r="T305" i="4" s="1"/>
  <c r="L91" i="4"/>
  <c r="O16" i="4"/>
  <c r="P16" i="4" s="1"/>
  <c r="T16" i="4" s="1"/>
  <c r="O159" i="4"/>
  <c r="P159" i="4" s="1"/>
  <c r="T159" i="4" s="1"/>
  <c r="O173" i="4"/>
  <c r="P173" i="4" s="1"/>
  <c r="T173" i="4" s="1"/>
  <c r="O176" i="4"/>
  <c r="P176" i="4" s="1"/>
  <c r="T176" i="4" s="1"/>
  <c r="L185" i="4"/>
  <c r="L209" i="4"/>
  <c r="O34" i="4"/>
  <c r="P34" i="4" s="1"/>
  <c r="T34" i="4" s="1"/>
  <c r="O38" i="4"/>
  <c r="P38" i="4" s="1"/>
  <c r="T38" i="4" s="1"/>
  <c r="O96" i="4"/>
  <c r="P96" i="4" s="1"/>
  <c r="T96" i="4" s="1"/>
  <c r="O153" i="4"/>
  <c r="P153" i="4" s="1"/>
  <c r="T153" i="4" s="1"/>
  <c r="O267" i="4"/>
  <c r="P267" i="4" s="1"/>
  <c r="T267" i="4" s="1"/>
  <c r="L150" i="4"/>
  <c r="L305" i="4"/>
  <c r="L121" i="4"/>
  <c r="L159" i="4"/>
  <c r="O265" i="4"/>
  <c r="P265" i="4" s="1"/>
  <c r="T265" i="4" s="1"/>
  <c r="L289" i="4"/>
  <c r="O299" i="4"/>
  <c r="P299" i="4" s="1"/>
  <c r="T299" i="4" s="1"/>
  <c r="O207" i="4"/>
  <c r="P207" i="4" s="1"/>
  <c r="T207" i="4" s="1"/>
  <c r="O213" i="4"/>
  <c r="P213" i="4" s="1"/>
  <c r="T213" i="4" s="1"/>
  <c r="O225" i="4"/>
  <c r="P225" i="4" s="1"/>
  <c r="T225" i="4" s="1"/>
  <c r="O255" i="4"/>
  <c r="P255" i="4" s="1"/>
  <c r="T255" i="4" s="1"/>
  <c r="O261" i="4"/>
  <c r="P261" i="4" s="1"/>
  <c r="T261" i="4" s="1"/>
  <c r="O48" i="4"/>
  <c r="P48" i="4" s="1"/>
  <c r="T48" i="4" s="1"/>
  <c r="O126" i="4"/>
  <c r="P126" i="4" s="1"/>
  <c r="T126" i="4" s="1"/>
  <c r="L162" i="4"/>
  <c r="O221" i="4"/>
  <c r="P221" i="4" s="1"/>
  <c r="T221" i="4" s="1"/>
  <c r="O249" i="4"/>
  <c r="P249" i="4" s="1"/>
  <c r="T249" i="4" s="1"/>
  <c r="L267" i="4"/>
  <c r="L307" i="4"/>
  <c r="L161" i="4"/>
  <c r="O197" i="4"/>
  <c r="P197" i="4" s="1"/>
  <c r="T197" i="4" s="1"/>
  <c r="O270" i="4"/>
  <c r="P270" i="4" s="1"/>
  <c r="T270" i="4" s="1"/>
  <c r="O279" i="4"/>
  <c r="P279" i="4" s="1"/>
  <c r="T279" i="4" s="1"/>
  <c r="O303" i="4"/>
  <c r="P303" i="4" s="1"/>
  <c r="T303" i="4" s="1"/>
  <c r="O152" i="4"/>
  <c r="P152" i="4" s="1"/>
  <c r="T152" i="4" s="1"/>
  <c r="O174" i="4"/>
  <c r="P174" i="4" s="1"/>
  <c r="T174" i="4" s="1"/>
  <c r="O27" i="4"/>
  <c r="P27" i="4" s="1"/>
  <c r="T27" i="4" s="1"/>
  <c r="O223" i="4"/>
  <c r="P223" i="4" s="1"/>
  <c r="T223" i="4" s="1"/>
  <c r="O253" i="4"/>
  <c r="P253" i="4" s="1"/>
  <c r="T253" i="4" s="1"/>
  <c r="O287" i="4"/>
  <c r="P287" i="4" s="1"/>
  <c r="T287" i="4" s="1"/>
  <c r="O158" i="4"/>
  <c r="P158" i="4" s="1"/>
  <c r="T158" i="4" s="1"/>
  <c r="L158" i="4"/>
  <c r="O168" i="4"/>
  <c r="P168" i="4" s="1"/>
  <c r="T168" i="4" s="1"/>
  <c r="L168" i="4"/>
  <c r="O177" i="4"/>
  <c r="P177" i="4" s="1"/>
  <c r="T177" i="4" s="1"/>
  <c r="L177" i="4"/>
  <c r="L64" i="4"/>
  <c r="O64" i="4"/>
  <c r="P64" i="4" s="1"/>
  <c r="T64" i="4" s="1"/>
  <c r="L86" i="4"/>
  <c r="O86" i="4"/>
  <c r="P86" i="4" s="1"/>
  <c r="T86" i="4" s="1"/>
  <c r="O89" i="4"/>
  <c r="P89" i="4" s="1"/>
  <c r="T89" i="4" s="1"/>
  <c r="L89" i="4"/>
  <c r="O112" i="4"/>
  <c r="P112" i="4" s="1"/>
  <c r="T112" i="4" s="1"/>
  <c r="L112" i="4"/>
  <c r="L118" i="4"/>
  <c r="O118" i="4"/>
  <c r="P118" i="4" s="1"/>
  <c r="T118" i="4" s="1"/>
  <c r="L179" i="4"/>
  <c r="O179" i="4"/>
  <c r="P179" i="4" s="1"/>
  <c r="T179" i="4" s="1"/>
  <c r="O130" i="4"/>
  <c r="P130" i="4" s="1"/>
  <c r="T130" i="4" s="1"/>
  <c r="L130" i="4"/>
  <c r="O136" i="4"/>
  <c r="P136" i="4" s="1"/>
  <c r="T136" i="4" s="1"/>
  <c r="L136" i="4"/>
  <c r="O182" i="4"/>
  <c r="P182" i="4" s="1"/>
  <c r="T182" i="4" s="1"/>
  <c r="L182" i="4"/>
  <c r="O190" i="4"/>
  <c r="P190" i="4" s="1"/>
  <c r="T190" i="4" s="1"/>
  <c r="L190" i="4"/>
  <c r="O313" i="4"/>
  <c r="P313" i="4" s="1"/>
  <c r="T313" i="4" s="1"/>
  <c r="L313" i="4"/>
  <c r="O137" i="4"/>
  <c r="P137" i="4" s="1"/>
  <c r="T137" i="4" s="1"/>
  <c r="L137" i="4"/>
  <c r="L24" i="4"/>
  <c r="O24" i="4"/>
  <c r="P24" i="4" s="1"/>
  <c r="T24" i="4" s="1"/>
  <c r="L123" i="4"/>
  <c r="O123" i="4"/>
  <c r="P123" i="4" s="1"/>
  <c r="T123" i="4" s="1"/>
  <c r="O145" i="4"/>
  <c r="P145" i="4" s="1"/>
  <c r="T145" i="4" s="1"/>
  <c r="L145" i="4"/>
  <c r="O147" i="4"/>
  <c r="P147" i="4" s="1"/>
  <c r="T147" i="4" s="1"/>
  <c r="L147" i="4"/>
  <c r="O35" i="4"/>
  <c r="P35" i="4" s="1"/>
  <c r="T35" i="4" s="1"/>
  <c r="L41" i="4"/>
  <c r="L81" i="4"/>
  <c r="O81" i="4"/>
  <c r="P81" i="4" s="1"/>
  <c r="T81" i="4" s="1"/>
  <c r="O97" i="4"/>
  <c r="P97" i="4" s="1"/>
  <c r="T97" i="4" s="1"/>
  <c r="L101" i="4"/>
  <c r="O115" i="4"/>
  <c r="P115" i="4" s="1"/>
  <c r="T115" i="4" s="1"/>
  <c r="L119" i="4"/>
  <c r="O119" i="4"/>
  <c r="P119" i="4" s="1"/>
  <c r="T119" i="4" s="1"/>
  <c r="L129" i="4"/>
  <c r="O142" i="4"/>
  <c r="P142" i="4" s="1"/>
  <c r="T142" i="4" s="1"/>
  <c r="L144" i="4"/>
  <c r="O144" i="4"/>
  <c r="P144" i="4" s="1"/>
  <c r="T144" i="4" s="1"/>
  <c r="L204" i="4"/>
  <c r="O204" i="4"/>
  <c r="P204" i="4" s="1"/>
  <c r="T204" i="4" s="1"/>
  <c r="O297" i="4"/>
  <c r="P297" i="4" s="1"/>
  <c r="T297" i="4" s="1"/>
  <c r="L297" i="4"/>
  <c r="O13" i="4"/>
  <c r="P13" i="4" s="1"/>
  <c r="T13" i="4" s="1"/>
  <c r="O19" i="4"/>
  <c r="P19" i="4" s="1"/>
  <c r="T19" i="4" s="1"/>
  <c r="L42" i="4"/>
  <c r="O42" i="4"/>
  <c r="P42" i="4" s="1"/>
  <c r="T42" i="4" s="1"/>
  <c r="O82" i="4"/>
  <c r="P82" i="4" s="1"/>
  <c r="T82" i="4" s="1"/>
  <c r="L82" i="4"/>
  <c r="L172" i="4"/>
  <c r="O172" i="4"/>
  <c r="P172" i="4" s="1"/>
  <c r="T172" i="4" s="1"/>
  <c r="O57" i="4"/>
  <c r="P57" i="4" s="1"/>
  <c r="T57" i="4" s="1"/>
  <c r="O32" i="4"/>
  <c r="P32" i="4" s="1"/>
  <c r="T32" i="4" s="1"/>
  <c r="O65" i="4"/>
  <c r="P65" i="4" s="1"/>
  <c r="T65" i="4" s="1"/>
  <c r="L65" i="4"/>
  <c r="O105" i="4"/>
  <c r="P105" i="4" s="1"/>
  <c r="T105" i="4" s="1"/>
  <c r="L105" i="4"/>
  <c r="O141" i="4"/>
  <c r="P141" i="4" s="1"/>
  <c r="T141" i="4" s="1"/>
  <c r="L141" i="4"/>
  <c r="O241" i="4"/>
  <c r="P241" i="4" s="1"/>
  <c r="T241" i="4" s="1"/>
  <c r="L241" i="4"/>
  <c r="L247" i="4"/>
  <c r="O247" i="4"/>
  <c r="P247" i="4" s="1"/>
  <c r="T247" i="4" s="1"/>
  <c r="O252" i="4"/>
  <c r="P252" i="4" s="1"/>
  <c r="T252" i="4" s="1"/>
  <c r="L252" i="4"/>
  <c r="O291" i="4"/>
  <c r="P291" i="4" s="1"/>
  <c r="T291" i="4" s="1"/>
  <c r="L291" i="4"/>
  <c r="L49" i="4"/>
  <c r="O49" i="4"/>
  <c r="P49" i="4" s="1"/>
  <c r="T49" i="4" s="1"/>
  <c r="O73" i="4"/>
  <c r="P73" i="4" s="1"/>
  <c r="T73" i="4" s="1"/>
  <c r="L73" i="4"/>
  <c r="O45" i="4"/>
  <c r="P45" i="4" s="1"/>
  <c r="T45" i="4" s="1"/>
  <c r="L45" i="4"/>
  <c r="O120" i="4"/>
  <c r="P120" i="4" s="1"/>
  <c r="T120" i="4" s="1"/>
  <c r="L120" i="4"/>
  <c r="L295" i="4"/>
  <c r="O295" i="4"/>
  <c r="P295" i="4" s="1"/>
  <c r="T295" i="4" s="1"/>
  <c r="O56" i="4"/>
  <c r="P56" i="4" s="1"/>
  <c r="T56" i="4" s="1"/>
  <c r="L78" i="4"/>
  <c r="O78" i="4"/>
  <c r="P78" i="4" s="1"/>
  <c r="T78" i="4" s="1"/>
  <c r="O104" i="4"/>
  <c r="P104" i="4" s="1"/>
  <c r="T104" i="4" s="1"/>
  <c r="L104" i="4"/>
  <c r="L110" i="4"/>
  <c r="O110" i="4"/>
  <c r="P110" i="4" s="1"/>
  <c r="T110" i="4" s="1"/>
  <c r="O113" i="4"/>
  <c r="P113" i="4" s="1"/>
  <c r="T113" i="4" s="1"/>
  <c r="L113" i="4"/>
  <c r="L134" i="4"/>
  <c r="O134" i="4"/>
  <c r="P134" i="4" s="1"/>
  <c r="T134" i="4" s="1"/>
  <c r="O163" i="4"/>
  <c r="P163" i="4" s="1"/>
  <c r="T163" i="4" s="1"/>
  <c r="L163" i="4"/>
  <c r="O244" i="4"/>
  <c r="P244" i="4" s="1"/>
  <c r="T244" i="4" s="1"/>
  <c r="O46" i="4"/>
  <c r="P46" i="4" s="1"/>
  <c r="T46" i="4" s="1"/>
  <c r="O157" i="4"/>
  <c r="P157" i="4" s="1"/>
  <c r="T157" i="4" s="1"/>
  <c r="L176" i="4"/>
  <c r="O199" i="4"/>
  <c r="P199" i="4" s="1"/>
  <c r="T199" i="4" s="1"/>
  <c r="O228" i="4"/>
  <c r="P228" i="4" s="1"/>
  <c r="T228" i="4" s="1"/>
  <c r="O262" i="4"/>
  <c r="P262" i="4" s="1"/>
  <c r="T262" i="4" s="1"/>
  <c r="L75" i="4"/>
  <c r="O128" i="4"/>
  <c r="P128" i="4" s="1"/>
  <c r="T128" i="4" s="1"/>
  <c r="O184" i="4"/>
  <c r="P184" i="4" s="1"/>
  <c r="T184" i="4" s="1"/>
  <c r="O217" i="4"/>
  <c r="P217" i="4" s="1"/>
  <c r="T217" i="4" s="1"/>
  <c r="O283" i="4"/>
  <c r="P283" i="4" s="1"/>
  <c r="T283" i="4" s="1"/>
  <c r="O11" i="4"/>
  <c r="P11" i="4" s="1"/>
  <c r="T11" i="4" s="1"/>
  <c r="O88" i="4"/>
  <c r="P88" i="4" s="1"/>
  <c r="T88" i="4" s="1"/>
  <c r="O231" i="4"/>
  <c r="P231" i="4" s="1"/>
  <c r="T231" i="4" s="1"/>
  <c r="O278" i="4"/>
  <c r="P278" i="4" s="1"/>
  <c r="T278" i="4" s="1"/>
  <c r="O74" i="4"/>
  <c r="P74" i="4" s="1"/>
  <c r="T74" i="4" s="1"/>
  <c r="L74" i="4"/>
  <c r="O39" i="4"/>
  <c r="P39" i="4" s="1"/>
  <c r="T39" i="4" s="1"/>
  <c r="L39" i="4"/>
  <c r="AM5" i="4" a="1"/>
  <c r="AM5" i="4" s="1"/>
  <c r="O17" i="4"/>
  <c r="P17" i="4" s="1"/>
  <c r="T17" i="4" s="1"/>
  <c r="L17" i="4"/>
  <c r="O66" i="4"/>
  <c r="P66" i="4" s="1"/>
  <c r="T66" i="4" s="1"/>
  <c r="L66" i="4"/>
  <c r="O85" i="4"/>
  <c r="P85" i="4" s="1"/>
  <c r="T85" i="4" s="1"/>
  <c r="L85" i="4"/>
  <c r="O15" i="4"/>
  <c r="P15" i="4" s="1"/>
  <c r="T15" i="4" s="1"/>
  <c r="L15" i="4"/>
  <c r="L30" i="4"/>
  <c r="O30" i="4"/>
  <c r="P30" i="4" s="1"/>
  <c r="T30" i="4" s="1"/>
  <c r="L33" i="4"/>
  <c r="O33" i="4"/>
  <c r="P33" i="4" s="1"/>
  <c r="T33" i="4" s="1"/>
  <c r="O44" i="4"/>
  <c r="P44" i="4" s="1"/>
  <c r="T44" i="4" s="1"/>
  <c r="L44" i="4"/>
  <c r="L9" i="4"/>
  <c r="O9" i="4"/>
  <c r="P9" i="4" s="1"/>
  <c r="T9" i="4" s="1"/>
  <c r="O26" i="4"/>
  <c r="P26" i="4" s="1"/>
  <c r="T26" i="4" s="1"/>
  <c r="L29" i="4"/>
  <c r="O29" i="4"/>
  <c r="P29" i="4" s="1"/>
  <c r="T29" i="4" s="1"/>
  <c r="O37" i="4"/>
  <c r="P37" i="4" s="1"/>
  <c r="T37" i="4" s="1"/>
  <c r="L37" i="4"/>
  <c r="O53" i="4"/>
  <c r="P53" i="4" s="1"/>
  <c r="T53" i="4" s="1"/>
  <c r="L53" i="4"/>
  <c r="L71" i="4"/>
  <c r="O71" i="4"/>
  <c r="P71" i="4" s="1"/>
  <c r="T71" i="4" s="1"/>
  <c r="L54" i="4"/>
  <c r="O54" i="4"/>
  <c r="P54" i="4" s="1"/>
  <c r="T54" i="4" s="1"/>
  <c r="O43" i="4"/>
  <c r="P43" i="4" s="1"/>
  <c r="T43" i="4" s="1"/>
  <c r="L43" i="4"/>
  <c r="O61" i="4"/>
  <c r="P61" i="4" s="1"/>
  <c r="T61" i="4" s="1"/>
  <c r="L61" i="4"/>
  <c r="O50" i="4"/>
  <c r="P50" i="4" s="1"/>
  <c r="T50" i="4" s="1"/>
  <c r="L50" i="4"/>
  <c r="L14" i="4"/>
  <c r="O14" i="4"/>
  <c r="P14" i="4" s="1"/>
  <c r="T14" i="4" s="1"/>
  <c r="L23" i="4"/>
  <c r="O23" i="4"/>
  <c r="P23" i="4" s="1"/>
  <c r="T23" i="4" s="1"/>
  <c r="O22" i="4"/>
  <c r="P22" i="4" s="1"/>
  <c r="T22" i="4" s="1"/>
  <c r="O31" i="4"/>
  <c r="P31" i="4" s="1"/>
  <c r="T31" i="4" s="1"/>
  <c r="L31" i="4"/>
  <c r="O36" i="4"/>
  <c r="P36" i="4" s="1"/>
  <c r="T36" i="4" s="1"/>
  <c r="L36" i="4"/>
  <c r="O40" i="4"/>
  <c r="P40" i="4" s="1"/>
  <c r="T40" i="4" s="1"/>
  <c r="L40" i="4"/>
  <c r="O10" i="4"/>
  <c r="P10" i="4" s="1"/>
  <c r="T10" i="4" s="1"/>
  <c r="L10" i="4"/>
  <c r="L20" i="4"/>
  <c r="O18" i="4"/>
  <c r="P18" i="4" s="1"/>
  <c r="T18" i="4" s="1"/>
  <c r="L18" i="4"/>
  <c r="L25" i="4"/>
  <c r="O25" i="4"/>
  <c r="P25" i="4" s="1"/>
  <c r="T25" i="4" s="1"/>
  <c r="O12" i="4"/>
  <c r="P12" i="4" s="1"/>
  <c r="T12" i="4" s="1"/>
  <c r="L12" i="4"/>
  <c r="O21" i="4"/>
  <c r="P21" i="4" s="1"/>
  <c r="T21" i="4" s="1"/>
  <c r="L21" i="4"/>
  <c r="O28" i="4"/>
  <c r="P28" i="4" s="1"/>
  <c r="T28" i="4" s="1"/>
  <c r="L28" i="4"/>
  <c r="L63" i="4"/>
  <c r="O63" i="4"/>
  <c r="P63" i="4" s="1"/>
  <c r="T63" i="4" s="1"/>
  <c r="O224" i="4"/>
  <c r="P224" i="4" s="1"/>
  <c r="T224" i="4" s="1"/>
  <c r="L224" i="4"/>
  <c r="L111" i="4"/>
  <c r="O111" i="4"/>
  <c r="P111" i="4" s="1"/>
  <c r="T111" i="4" s="1"/>
  <c r="O140" i="4"/>
  <c r="P140" i="4" s="1"/>
  <c r="T140" i="4" s="1"/>
  <c r="L140" i="4"/>
  <c r="O211" i="4"/>
  <c r="P211" i="4" s="1"/>
  <c r="T211" i="4" s="1"/>
  <c r="L211" i="4"/>
  <c r="L250" i="4"/>
  <c r="O250" i="4"/>
  <c r="P250" i="4" s="1"/>
  <c r="T250" i="4" s="1"/>
  <c r="O8" i="4"/>
  <c r="P8" i="4" s="1"/>
  <c r="T8" i="4" s="1"/>
  <c r="O58" i="4"/>
  <c r="P58" i="4" s="1"/>
  <c r="T58" i="4" s="1"/>
  <c r="L58" i="4"/>
  <c r="O60" i="4"/>
  <c r="P60" i="4" s="1"/>
  <c r="T60" i="4" s="1"/>
  <c r="L60" i="4"/>
  <c r="O67" i="4"/>
  <c r="P67" i="4" s="1"/>
  <c r="T67" i="4" s="1"/>
  <c r="L67" i="4"/>
  <c r="O70" i="4"/>
  <c r="P70" i="4" s="1"/>
  <c r="T70" i="4" s="1"/>
  <c r="L79" i="4"/>
  <c r="O79" i="4"/>
  <c r="P79" i="4" s="1"/>
  <c r="T79" i="4" s="1"/>
  <c r="O80" i="4"/>
  <c r="P80" i="4" s="1"/>
  <c r="T80" i="4" s="1"/>
  <c r="Y86" i="4"/>
  <c r="O90" i="4"/>
  <c r="P90" i="4" s="1"/>
  <c r="T90" i="4" s="1"/>
  <c r="L90" i="4"/>
  <c r="O143" i="4"/>
  <c r="P143" i="4" s="1"/>
  <c r="T143" i="4" s="1"/>
  <c r="L143" i="4"/>
  <c r="O109" i="4"/>
  <c r="P109" i="4" s="1"/>
  <c r="T109" i="4" s="1"/>
  <c r="L109" i="4"/>
  <c r="O99" i="4"/>
  <c r="P99" i="4" s="1"/>
  <c r="T99" i="4" s="1"/>
  <c r="L99" i="4"/>
  <c r="O138" i="4"/>
  <c r="P138" i="4" s="1"/>
  <c r="T138" i="4" s="1"/>
  <c r="L138" i="4"/>
  <c r="L171" i="4"/>
  <c r="O171" i="4"/>
  <c r="P171" i="4" s="1"/>
  <c r="T171" i="4" s="1"/>
  <c r="O237" i="4"/>
  <c r="P237" i="4" s="1"/>
  <c r="T237" i="4" s="1"/>
  <c r="L237" i="4"/>
  <c r="O51" i="4"/>
  <c r="P51" i="4" s="1"/>
  <c r="T51" i="4" s="1"/>
  <c r="O87" i="4"/>
  <c r="P87" i="4" s="1"/>
  <c r="T87" i="4" s="1"/>
  <c r="L95" i="4"/>
  <c r="O95" i="4"/>
  <c r="P95" i="4" s="1"/>
  <c r="T95" i="4" s="1"/>
  <c r="O127" i="4"/>
  <c r="P127" i="4" s="1"/>
  <c r="T127" i="4" s="1"/>
  <c r="L195" i="4"/>
  <c r="O195" i="4"/>
  <c r="P195" i="4" s="1"/>
  <c r="T195" i="4" s="1"/>
  <c r="O240" i="4"/>
  <c r="P240" i="4" s="1"/>
  <c r="T240" i="4" s="1"/>
  <c r="L240" i="4"/>
  <c r="O243" i="4"/>
  <c r="P243" i="4" s="1"/>
  <c r="T243" i="4" s="1"/>
  <c r="L243" i="4"/>
  <c r="L83" i="4"/>
  <c r="O135" i="4"/>
  <c r="P135" i="4" s="1"/>
  <c r="T135" i="4" s="1"/>
  <c r="L135" i="4"/>
  <c r="L167" i="4"/>
  <c r="O167" i="4"/>
  <c r="P167" i="4" s="1"/>
  <c r="T167" i="4" s="1"/>
  <c r="L212" i="4"/>
  <c r="O212" i="4"/>
  <c r="P212" i="4" s="1"/>
  <c r="T212" i="4" s="1"/>
  <c r="L51" i="4"/>
  <c r="O77" i="4"/>
  <c r="P77" i="4" s="1"/>
  <c r="T77" i="4" s="1"/>
  <c r="L77" i="4"/>
  <c r="O84" i="4"/>
  <c r="P84" i="4" s="1"/>
  <c r="T84" i="4" s="1"/>
  <c r="L84" i="4"/>
  <c r="O93" i="4"/>
  <c r="P93" i="4" s="1"/>
  <c r="T93" i="4" s="1"/>
  <c r="L94" i="4"/>
  <c r="O94" i="4"/>
  <c r="P94" i="4" s="1"/>
  <c r="T94" i="4" s="1"/>
  <c r="O107" i="4"/>
  <c r="P107" i="4" s="1"/>
  <c r="T107" i="4" s="1"/>
  <c r="L191" i="4"/>
  <c r="O191" i="4"/>
  <c r="P191" i="4" s="1"/>
  <c r="T191" i="4" s="1"/>
  <c r="O266" i="4"/>
  <c r="P266" i="4" s="1"/>
  <c r="T266" i="4" s="1"/>
  <c r="L266" i="4"/>
  <c r="O106" i="4"/>
  <c r="P106" i="4" s="1"/>
  <c r="T106" i="4" s="1"/>
  <c r="L106" i="4"/>
  <c r="O122" i="4"/>
  <c r="P122" i="4" s="1"/>
  <c r="T122" i="4" s="1"/>
  <c r="L122" i="4"/>
  <c r="L55" i="4"/>
  <c r="O55" i="4"/>
  <c r="P55" i="4" s="1"/>
  <c r="T55" i="4" s="1"/>
  <c r="O92" i="4"/>
  <c r="P92" i="4" s="1"/>
  <c r="T92" i="4" s="1"/>
  <c r="L92" i="4"/>
  <c r="O114" i="4"/>
  <c r="P114" i="4" s="1"/>
  <c r="T114" i="4" s="1"/>
  <c r="L114" i="4"/>
  <c r="L175" i="4"/>
  <c r="O175" i="4"/>
  <c r="P175" i="4" s="1"/>
  <c r="T175" i="4" s="1"/>
  <c r="L203" i="4"/>
  <c r="O203" i="4"/>
  <c r="P203" i="4" s="1"/>
  <c r="T203" i="4" s="1"/>
  <c r="O146" i="4"/>
  <c r="P146" i="4" s="1"/>
  <c r="T146" i="4" s="1"/>
  <c r="L146" i="4"/>
  <c r="O166" i="4"/>
  <c r="P166" i="4" s="1"/>
  <c r="T166" i="4" s="1"/>
  <c r="L166" i="4"/>
  <c r="O170" i="4"/>
  <c r="P170" i="4" s="1"/>
  <c r="T170" i="4" s="1"/>
  <c r="L170" i="4"/>
  <c r="O235" i="4"/>
  <c r="P235" i="4" s="1"/>
  <c r="T235" i="4" s="1"/>
  <c r="L235" i="4"/>
  <c r="O47" i="4"/>
  <c r="P47" i="4" s="1"/>
  <c r="T47" i="4" s="1"/>
  <c r="L62" i="4"/>
  <c r="O62" i="4"/>
  <c r="P62" i="4" s="1"/>
  <c r="T62" i="4" s="1"/>
  <c r="O69" i="4"/>
  <c r="P69" i="4" s="1"/>
  <c r="T69" i="4" s="1"/>
  <c r="L72" i="4"/>
  <c r="L102" i="4"/>
  <c r="O102" i="4"/>
  <c r="P102" i="4" s="1"/>
  <c r="T102" i="4" s="1"/>
  <c r="O103" i="4"/>
  <c r="P103" i="4" s="1"/>
  <c r="T103" i="4" s="1"/>
  <c r="O151" i="4"/>
  <c r="P151" i="4" s="1"/>
  <c r="T151" i="4" s="1"/>
  <c r="L151" i="4"/>
  <c r="O133" i="4"/>
  <c r="P133" i="4" s="1"/>
  <c r="T133" i="4" s="1"/>
  <c r="O155" i="4"/>
  <c r="P155" i="4" s="1"/>
  <c r="T155" i="4" s="1"/>
  <c r="O186" i="4"/>
  <c r="P186" i="4" s="1"/>
  <c r="T186" i="4" s="1"/>
  <c r="L186" i="4"/>
  <c r="L196" i="4"/>
  <c r="O196" i="4"/>
  <c r="P196" i="4" s="1"/>
  <c r="T196" i="4" s="1"/>
  <c r="O325" i="4"/>
  <c r="P325" i="4" s="1"/>
  <c r="T325" i="4" s="1"/>
  <c r="L325" i="4"/>
  <c r="O132" i="4"/>
  <c r="P132" i="4" s="1"/>
  <c r="T132" i="4" s="1"/>
  <c r="L132" i="4"/>
  <c r="O160" i="4"/>
  <c r="P160" i="4" s="1"/>
  <c r="T160" i="4" s="1"/>
  <c r="L160" i="4"/>
  <c r="O245" i="4"/>
  <c r="P245" i="4" s="1"/>
  <c r="T245" i="4" s="1"/>
  <c r="L245" i="4"/>
  <c r="O76" i="4"/>
  <c r="P76" i="4" s="1"/>
  <c r="T76" i="4" s="1"/>
  <c r="L76" i="4"/>
  <c r="O108" i="4"/>
  <c r="P108" i="4" s="1"/>
  <c r="T108" i="4" s="1"/>
  <c r="L108" i="4"/>
  <c r="O139" i="4"/>
  <c r="P139" i="4" s="1"/>
  <c r="T139" i="4" s="1"/>
  <c r="L164" i="4"/>
  <c r="O164" i="4"/>
  <c r="P164" i="4" s="1"/>
  <c r="T164" i="4" s="1"/>
  <c r="O165" i="4"/>
  <c r="P165" i="4" s="1"/>
  <c r="T165" i="4" s="1"/>
  <c r="O181" i="4"/>
  <c r="P181" i="4" s="1"/>
  <c r="T181" i="4" s="1"/>
  <c r="L181" i="4"/>
  <c r="O301" i="4"/>
  <c r="P301" i="4" s="1"/>
  <c r="T301" i="4" s="1"/>
  <c r="L301" i="4"/>
  <c r="O52" i="4"/>
  <c r="P52" i="4" s="1"/>
  <c r="T52" i="4" s="1"/>
  <c r="O124" i="4"/>
  <c r="P124" i="4" s="1"/>
  <c r="T124" i="4" s="1"/>
  <c r="L124" i="4"/>
  <c r="O125" i="4"/>
  <c r="P125" i="4" s="1"/>
  <c r="T125" i="4" s="1"/>
  <c r="O198" i="4"/>
  <c r="P198" i="4" s="1"/>
  <c r="T198" i="4" s="1"/>
  <c r="L198" i="4"/>
  <c r="O205" i="4"/>
  <c r="P205" i="4" s="1"/>
  <c r="T205" i="4" s="1"/>
  <c r="L205" i="4"/>
  <c r="L251" i="4"/>
  <c r="O68" i="4"/>
  <c r="P68" i="4" s="1"/>
  <c r="T68" i="4" s="1"/>
  <c r="L68" i="4"/>
  <c r="O100" i="4"/>
  <c r="P100" i="4" s="1"/>
  <c r="T100" i="4" s="1"/>
  <c r="L100" i="4"/>
  <c r="O116" i="4"/>
  <c r="P116" i="4" s="1"/>
  <c r="T116" i="4" s="1"/>
  <c r="L116" i="4"/>
  <c r="O117" i="4"/>
  <c r="P117" i="4" s="1"/>
  <c r="T117" i="4" s="1"/>
  <c r="O149" i="4"/>
  <c r="P149" i="4" s="1"/>
  <c r="T149" i="4" s="1"/>
  <c r="O178" i="4"/>
  <c r="P178" i="4" s="1"/>
  <c r="T178" i="4" s="1"/>
  <c r="L178" i="4"/>
  <c r="O180" i="4"/>
  <c r="P180" i="4" s="1"/>
  <c r="T180" i="4" s="1"/>
  <c r="L239" i="4"/>
  <c r="O239" i="4"/>
  <c r="P239" i="4" s="1"/>
  <c r="T239" i="4" s="1"/>
  <c r="O192" i="4"/>
  <c r="P192" i="4" s="1"/>
  <c r="T192" i="4" s="1"/>
  <c r="L202" i="4"/>
  <c r="O202" i="4"/>
  <c r="P202" i="4" s="1"/>
  <c r="T202" i="4" s="1"/>
  <c r="O222" i="4"/>
  <c r="P222" i="4" s="1"/>
  <c r="T222" i="4" s="1"/>
  <c r="L222" i="4"/>
  <c r="O229" i="4"/>
  <c r="P229" i="4" s="1"/>
  <c r="T229" i="4" s="1"/>
  <c r="L229" i="4"/>
  <c r="O320" i="4"/>
  <c r="P320" i="4" s="1"/>
  <c r="T320" i="4" s="1"/>
  <c r="L320" i="4"/>
  <c r="O194" i="4"/>
  <c r="P194" i="4" s="1"/>
  <c r="T194" i="4" s="1"/>
  <c r="L194" i="4"/>
  <c r="O216" i="4"/>
  <c r="P216" i="4" s="1"/>
  <c r="T216" i="4" s="1"/>
  <c r="L216" i="4"/>
  <c r="L220" i="4"/>
  <c r="O220" i="4"/>
  <c r="P220" i="4" s="1"/>
  <c r="T220" i="4" s="1"/>
  <c r="O274" i="4"/>
  <c r="P274" i="4" s="1"/>
  <c r="T274" i="4" s="1"/>
  <c r="L274" i="4"/>
  <c r="O277" i="4"/>
  <c r="P277" i="4" s="1"/>
  <c r="T277" i="4" s="1"/>
  <c r="L277" i="4"/>
  <c r="L200" i="4"/>
  <c r="O200" i="4"/>
  <c r="P200" i="4" s="1"/>
  <c r="T200" i="4" s="1"/>
  <c r="O285" i="4"/>
  <c r="P285" i="4" s="1"/>
  <c r="T285" i="4" s="1"/>
  <c r="L285" i="4"/>
  <c r="O294" i="4"/>
  <c r="P294" i="4" s="1"/>
  <c r="T294" i="4" s="1"/>
  <c r="L294" i="4"/>
  <c r="L154" i="4"/>
  <c r="O156" i="4"/>
  <c r="P156" i="4" s="1"/>
  <c r="T156" i="4" s="1"/>
  <c r="L173" i="4"/>
  <c r="O187" i="4"/>
  <c r="P187" i="4" s="1"/>
  <c r="T187" i="4" s="1"/>
  <c r="O201" i="4"/>
  <c r="P201" i="4" s="1"/>
  <c r="T201" i="4" s="1"/>
  <c r="O208" i="4"/>
  <c r="P208" i="4" s="1"/>
  <c r="T208" i="4" s="1"/>
  <c r="L208" i="4"/>
  <c r="L215" i="4"/>
  <c r="O233" i="4"/>
  <c r="P233" i="4" s="1"/>
  <c r="T233" i="4" s="1"/>
  <c r="L233" i="4"/>
  <c r="O248" i="4"/>
  <c r="P248" i="4" s="1"/>
  <c r="T248" i="4" s="1"/>
  <c r="L248" i="4"/>
  <c r="O148" i="4"/>
  <c r="P148" i="4" s="1"/>
  <c r="T148" i="4" s="1"/>
  <c r="O169" i="4"/>
  <c r="P169" i="4" s="1"/>
  <c r="T169" i="4" s="1"/>
  <c r="O183" i="4"/>
  <c r="P183" i="4" s="1"/>
  <c r="T183" i="4" s="1"/>
  <c r="O188" i="4"/>
  <c r="P188" i="4" s="1"/>
  <c r="T188" i="4" s="1"/>
  <c r="O189" i="4"/>
  <c r="P189" i="4" s="1"/>
  <c r="T189" i="4" s="1"/>
  <c r="O206" i="4"/>
  <c r="P206" i="4" s="1"/>
  <c r="T206" i="4" s="1"/>
  <c r="L206" i="4"/>
  <c r="O219" i="4"/>
  <c r="P219" i="4" s="1"/>
  <c r="T219" i="4" s="1"/>
  <c r="L226" i="4"/>
  <c r="O226" i="4"/>
  <c r="P226" i="4" s="1"/>
  <c r="T226" i="4" s="1"/>
  <c r="O227" i="4"/>
  <c r="P227" i="4" s="1"/>
  <c r="T227" i="4" s="1"/>
  <c r="O232" i="4"/>
  <c r="P232" i="4" s="1"/>
  <c r="T232" i="4" s="1"/>
  <c r="L232" i="4"/>
  <c r="O258" i="4"/>
  <c r="P258" i="4" s="1"/>
  <c r="T258" i="4" s="1"/>
  <c r="L258" i="4"/>
  <c r="O293" i="4"/>
  <c r="P293" i="4" s="1"/>
  <c r="T293" i="4" s="1"/>
  <c r="L293" i="4"/>
  <c r="L242" i="4"/>
  <c r="O242" i="4"/>
  <c r="P242" i="4" s="1"/>
  <c r="T242" i="4" s="1"/>
  <c r="O256" i="4"/>
  <c r="P256" i="4" s="1"/>
  <c r="T256" i="4" s="1"/>
  <c r="L256" i="4"/>
  <c r="O288" i="4"/>
  <c r="P288" i="4" s="1"/>
  <c r="T288" i="4" s="1"/>
  <c r="L288" i="4"/>
  <c r="L319" i="4"/>
  <c r="O319" i="4"/>
  <c r="P319" i="4" s="1"/>
  <c r="T319" i="4" s="1"/>
  <c r="O238" i="4"/>
  <c r="P238" i="4" s="1"/>
  <c r="T238" i="4" s="1"/>
  <c r="L263" i="4"/>
  <c r="O275" i="4"/>
  <c r="P275" i="4" s="1"/>
  <c r="T275" i="4" s="1"/>
  <c r="O282" i="4"/>
  <c r="P282" i="4" s="1"/>
  <c r="T282" i="4" s="1"/>
  <c r="L282" i="4"/>
  <c r="O298" i="4"/>
  <c r="P298" i="4" s="1"/>
  <c r="T298" i="4" s="1"/>
  <c r="L298" i="4"/>
  <c r="O230" i="4"/>
  <c r="P230" i="4" s="1"/>
  <c r="T230" i="4" s="1"/>
  <c r="L234" i="4"/>
  <c r="O234" i="4"/>
  <c r="P234" i="4" s="1"/>
  <c r="T234" i="4" s="1"/>
  <c r="L238" i="4"/>
  <c r="O254" i="4"/>
  <c r="P254" i="4" s="1"/>
  <c r="T254" i="4" s="1"/>
  <c r="L275" i="4"/>
  <c r="O286" i="4"/>
  <c r="P286" i="4" s="1"/>
  <c r="T286" i="4" s="1"/>
  <c r="L286" i="4"/>
  <c r="O302" i="4"/>
  <c r="P302" i="4" s="1"/>
  <c r="T302" i="4" s="1"/>
  <c r="L302" i="4"/>
  <c r="L323" i="4"/>
  <c r="O214" i="4"/>
  <c r="P214" i="4" s="1"/>
  <c r="T214" i="4" s="1"/>
  <c r="L218" i="4"/>
  <c r="O218" i="4"/>
  <c r="P218" i="4" s="1"/>
  <c r="T218" i="4" s="1"/>
  <c r="O246" i="4"/>
  <c r="P246" i="4" s="1"/>
  <c r="T246" i="4" s="1"/>
  <c r="O296" i="4"/>
  <c r="P296" i="4" s="1"/>
  <c r="T296" i="4" s="1"/>
  <c r="L296" i="4"/>
  <c r="O322" i="4"/>
  <c r="P322" i="4" s="1"/>
  <c r="T322" i="4" s="1"/>
  <c r="L322" i="4"/>
  <c r="L210" i="4"/>
  <c r="O210" i="4"/>
  <c r="P210" i="4" s="1"/>
  <c r="T210" i="4" s="1"/>
  <c r="L214" i="4"/>
  <c r="O259" i="4"/>
  <c r="P259" i="4" s="1"/>
  <c r="T259" i="4" s="1"/>
  <c r="L259" i="4"/>
  <c r="L271" i="4"/>
  <c r="O280" i="4"/>
  <c r="P280" i="4" s="1"/>
  <c r="T280" i="4" s="1"/>
  <c r="L280" i="4"/>
  <c r="O290" i="4"/>
  <c r="P290" i="4" s="1"/>
  <c r="T290" i="4" s="1"/>
  <c r="L290" i="4"/>
  <c r="O326" i="4"/>
  <c r="P326" i="4" s="1"/>
  <c r="T326" i="4" s="1"/>
  <c r="L326" i="4"/>
  <c r="O269" i="4"/>
  <c r="P269" i="4" s="1"/>
  <c r="T269" i="4" s="1"/>
  <c r="O281" i="4"/>
  <c r="P281" i="4" s="1"/>
  <c r="T281" i="4" s="1"/>
  <c r="L309" i="4"/>
  <c r="O272" i="4"/>
  <c r="P272" i="4" s="1"/>
  <c r="T272" i="4" s="1"/>
  <c r="L276" i="4"/>
  <c r="O276" i="4"/>
  <c r="P276" i="4" s="1"/>
  <c r="T276" i="4" s="1"/>
  <c r="L268" i="4"/>
  <c r="O268" i="4"/>
  <c r="P268" i="4" s="1"/>
  <c r="T268" i="4" s="1"/>
  <c r="O312" i="4"/>
  <c r="P312" i="4" s="1"/>
  <c r="T312" i="4" s="1"/>
  <c r="L312" i="4"/>
  <c r="O314" i="4"/>
  <c r="P314" i="4" s="1"/>
  <c r="T314" i="4" s="1"/>
  <c r="L314" i="4"/>
  <c r="O318" i="4"/>
  <c r="P318" i="4" s="1"/>
  <c r="T318" i="4" s="1"/>
  <c r="L318" i="4"/>
  <c r="L260" i="4"/>
  <c r="O260" i="4"/>
  <c r="P260" i="4" s="1"/>
  <c r="T260" i="4" s="1"/>
  <c r="L264" i="4"/>
  <c r="L317" i="4"/>
  <c r="O304" i="4"/>
  <c r="P304" i="4" s="1"/>
  <c r="T304" i="4" s="1"/>
  <c r="L304" i="4"/>
  <c r="O306" i="4"/>
  <c r="P306" i="4" s="1"/>
  <c r="T306" i="4" s="1"/>
  <c r="L306" i="4"/>
  <c r="O310" i="4"/>
  <c r="P310" i="4" s="1"/>
  <c r="T310" i="4" s="1"/>
  <c r="L310" i="4"/>
  <c r="O311" i="4"/>
  <c r="P311" i="4" s="1"/>
  <c r="T311" i="4" s="1"/>
  <c r="O284" i="4"/>
  <c r="P284" i="4" s="1"/>
  <c r="T284" i="4" s="1"/>
  <c r="O292" i="4"/>
  <c r="P292" i="4" s="1"/>
  <c r="T292" i="4" s="1"/>
  <c r="O300" i="4"/>
  <c r="P300" i="4" s="1"/>
  <c r="T300" i="4" s="1"/>
  <c r="O308" i="4"/>
  <c r="P308" i="4" s="1"/>
  <c r="T308" i="4" s="1"/>
  <c r="O316" i="4"/>
  <c r="P316" i="4" s="1"/>
  <c r="T316" i="4" s="1"/>
  <c r="O324" i="4"/>
  <c r="P324" i="4" s="1"/>
  <c r="T324" i="4" s="1"/>
  <c r="X273" i="4" l="1"/>
  <c r="X315" i="4"/>
  <c r="W161" i="4"/>
  <c r="W131" i="4"/>
  <c r="W327" i="4"/>
  <c r="W236" i="4"/>
  <c r="X150" i="4"/>
  <c r="X41" i="4"/>
  <c r="X121" i="4"/>
  <c r="W209" i="4"/>
  <c r="X142" i="4"/>
  <c r="X267" i="4"/>
  <c r="X309" i="4"/>
  <c r="X231" i="4"/>
  <c r="W262" i="4"/>
  <c r="X163" i="4"/>
  <c r="X241" i="4"/>
  <c r="X13" i="4"/>
  <c r="X190" i="4"/>
  <c r="W153" i="4"/>
  <c r="X59" i="4"/>
  <c r="X257" i="4"/>
  <c r="W185" i="4"/>
  <c r="X228" i="4"/>
  <c r="X291" i="4"/>
  <c r="X119" i="4"/>
  <c r="X118" i="4"/>
  <c r="X287" i="4"/>
  <c r="X270" i="4"/>
  <c r="W215" i="4"/>
  <c r="X323" i="4"/>
  <c r="W305" i="4"/>
  <c r="W75" i="4"/>
  <c r="X252" i="4"/>
  <c r="W136" i="4"/>
  <c r="X112" i="4"/>
  <c r="W263" i="4"/>
  <c r="X317" i="4"/>
  <c r="W207" i="4"/>
  <c r="W11" i="4"/>
  <c r="W134" i="4"/>
  <c r="X141" i="4"/>
  <c r="W297" i="4"/>
  <c r="X182" i="4"/>
  <c r="X197" i="4"/>
  <c r="W223" i="4"/>
  <c r="W271" i="4"/>
  <c r="W46" i="4"/>
  <c r="X295" i="4"/>
  <c r="W247" i="4"/>
  <c r="W42" i="4"/>
  <c r="W144" i="4"/>
  <c r="W174" i="4"/>
  <c r="X225" i="4"/>
  <c r="X154" i="4"/>
  <c r="X303" i="4"/>
  <c r="X78" i="4"/>
  <c r="X265" i="4"/>
  <c r="X83" i="4"/>
  <c r="X45" i="4"/>
  <c r="W115" i="4"/>
  <c r="X65" i="4"/>
  <c r="X145" i="4"/>
  <c r="X313" i="4"/>
  <c r="X152" i="4"/>
  <c r="X249" i="4"/>
  <c r="X176" i="4"/>
  <c r="X91" i="4"/>
  <c r="W307" i="4"/>
  <c r="X162" i="4"/>
  <c r="W255" i="4"/>
  <c r="W172" i="4"/>
  <c r="W264" i="4"/>
  <c r="X98" i="4"/>
  <c r="W35" i="4"/>
  <c r="X251" i="4"/>
  <c r="X199" i="4"/>
  <c r="W88" i="4"/>
  <c r="W299" i="4"/>
  <c r="X38" i="4"/>
  <c r="X16" i="4"/>
  <c r="W244" i="4"/>
  <c r="W96" i="4"/>
  <c r="W159" i="4"/>
  <c r="W41" i="4"/>
  <c r="X283" i="4"/>
  <c r="X147" i="4"/>
  <c r="X120" i="4"/>
  <c r="W48" i="4"/>
  <c r="X27" i="4"/>
  <c r="X34" i="4"/>
  <c r="X24" i="4"/>
  <c r="W129" i="4"/>
  <c r="X217" i="4"/>
  <c r="W204" i="4"/>
  <c r="X73" i="4"/>
  <c r="W110" i="4"/>
  <c r="X213" i="4"/>
  <c r="X158" i="4"/>
  <c r="W221" i="4"/>
  <c r="X130" i="4"/>
  <c r="W279" i="4"/>
  <c r="W150" i="4"/>
  <c r="W253" i="4"/>
  <c r="X184" i="4"/>
  <c r="X261" i="4"/>
  <c r="W157" i="4"/>
  <c r="W32" i="4"/>
  <c r="X128" i="4"/>
  <c r="W56" i="4"/>
  <c r="X101" i="4"/>
  <c r="W101" i="4"/>
  <c r="X289" i="4"/>
  <c r="W289" i="4"/>
  <c r="X321" i="4"/>
  <c r="W321" i="4"/>
  <c r="W20" i="4"/>
  <c r="X20" i="4"/>
  <c r="W273" i="4" l="1"/>
  <c r="W315" i="4"/>
  <c r="X161" i="4"/>
  <c r="X131" i="4"/>
  <c r="X327" i="4"/>
  <c r="X236" i="4"/>
  <c r="W121" i="4"/>
  <c r="X136" i="4"/>
  <c r="X207" i="4"/>
  <c r="X209" i="4"/>
  <c r="X297" i="4"/>
  <c r="X262" i="4"/>
  <c r="X42" i="4"/>
  <c r="X271" i="4"/>
  <c r="W118" i="4"/>
  <c r="X185" i="4"/>
  <c r="W176" i="4"/>
  <c r="W323" i="4"/>
  <c r="W83" i="4"/>
  <c r="W142" i="4"/>
  <c r="W190" i="4"/>
  <c r="W145" i="4"/>
  <c r="W154" i="4"/>
  <c r="W163" i="4"/>
  <c r="W287" i="4"/>
  <c r="X305" i="4"/>
  <c r="W228" i="4"/>
  <c r="W112" i="4"/>
  <c r="X153" i="4"/>
  <c r="W267" i="4"/>
  <c r="W182" i="4"/>
  <c r="W313" i="4"/>
  <c r="W303" i="4"/>
  <c r="X11" i="4"/>
  <c r="X144" i="4"/>
  <c r="W45" i="4"/>
  <c r="X247" i="4"/>
  <c r="W291" i="4"/>
  <c r="X46" i="4"/>
  <c r="W309" i="4"/>
  <c r="W91" i="4"/>
  <c r="W231" i="4"/>
  <c r="W249" i="4"/>
  <c r="W225" i="4"/>
  <c r="X223" i="4"/>
  <c r="X215" i="4"/>
  <c r="X134" i="4"/>
  <c r="W295" i="4"/>
  <c r="X174" i="4"/>
  <c r="W270" i="4"/>
  <c r="W119" i="4"/>
  <c r="X263" i="4"/>
  <c r="W59" i="4"/>
  <c r="W78" i="4"/>
  <c r="W197" i="4"/>
  <c r="W141" i="4"/>
  <c r="W65" i="4"/>
  <c r="W257" i="4"/>
  <c r="X115" i="4"/>
  <c r="W265" i="4"/>
  <c r="W152" i="4"/>
  <c r="W241" i="4"/>
  <c r="W317" i="4"/>
  <c r="W252" i="4"/>
  <c r="W13" i="4"/>
  <c r="X75" i="4"/>
  <c r="X307" i="4"/>
  <c r="W162" i="4"/>
  <c r="X255" i="4"/>
  <c r="X172" i="4"/>
  <c r="X299" i="4"/>
  <c r="X264" i="4"/>
  <c r="X35" i="4"/>
  <c r="W98" i="4"/>
  <c r="X88" i="4"/>
  <c r="W16" i="4"/>
  <c r="W251" i="4"/>
  <c r="W199" i="4"/>
  <c r="W38" i="4"/>
  <c r="W283" i="4"/>
  <c r="W147" i="4"/>
  <c r="X110" i="4"/>
  <c r="X48" i="4"/>
  <c r="X96" i="4"/>
  <c r="W120" i="4"/>
  <c r="X56" i="4"/>
  <c r="X279" i="4"/>
  <c r="X244" i="4"/>
  <c r="W217" i="4"/>
  <c r="W213" i="4"/>
  <c r="X159" i="4"/>
  <c r="W34" i="4"/>
  <c r="X32" i="4"/>
  <c r="W158" i="4"/>
  <c r="X129" i="4"/>
  <c r="W27" i="4"/>
  <c r="W24" i="4"/>
  <c r="W130" i="4"/>
  <c r="X173" i="4"/>
  <c r="W173" i="4"/>
  <c r="W193" i="4"/>
  <c r="X193" i="4"/>
  <c r="X204" i="4"/>
  <c r="W73" i="4"/>
  <c r="X221" i="4"/>
  <c r="W72" i="4"/>
  <c r="X72" i="4"/>
  <c r="X253" i="4"/>
  <c r="W261" i="4"/>
  <c r="X157" i="4"/>
  <c r="W184" i="4"/>
  <c r="X126" i="4"/>
  <c r="W126" i="4"/>
  <c r="W179" i="4"/>
  <c r="X179" i="4"/>
  <c r="X137" i="4"/>
  <c r="W137" i="4"/>
  <c r="X49" i="4"/>
  <c r="W49" i="4"/>
  <c r="X105" i="4"/>
  <c r="W105" i="4"/>
  <c r="W64" i="4"/>
  <c r="X64" i="4"/>
  <c r="X57" i="4"/>
  <c r="W57" i="4"/>
  <c r="X97" i="4"/>
  <c r="W97" i="4"/>
  <c r="X82" i="4"/>
  <c r="W82" i="4"/>
  <c r="X177" i="4"/>
  <c r="W177" i="4"/>
  <c r="W278" i="4"/>
  <c r="X278" i="4"/>
  <c r="W128" i="4"/>
  <c r="W81" i="4"/>
  <c r="X81" i="4"/>
  <c r="X89" i="4"/>
  <c r="W89" i="4"/>
  <c r="X86" i="4"/>
  <c r="W86" i="4"/>
  <c r="X123" i="4"/>
  <c r="W123" i="4"/>
  <c r="X168" i="4"/>
  <c r="W168" i="4"/>
  <c r="X19" i="4"/>
  <c r="W19" i="4"/>
  <c r="X104" i="4"/>
  <c r="W104" i="4"/>
  <c r="W113" i="4"/>
  <c r="X113" i="4"/>
  <c r="X79" i="4"/>
  <c r="W79" i="4"/>
  <c r="X9" i="4"/>
  <c r="W9" i="4"/>
  <c r="W232" i="4"/>
  <c r="X232" i="4"/>
  <c r="W85" i="4"/>
  <c r="X85" i="4"/>
  <c r="X186" i="4"/>
  <c r="W186" i="4"/>
  <c r="W208" i="4"/>
  <c r="X208" i="4"/>
  <c r="W275" i="4"/>
  <c r="X275" i="4"/>
  <c r="X169" i="4"/>
  <c r="W169" i="4"/>
  <c r="X138" i="4"/>
  <c r="W138" i="4"/>
  <c r="X194" i="4"/>
  <c r="W194" i="4"/>
  <c r="W294" i="4"/>
  <c r="X294" i="4"/>
  <c r="X246" i="4"/>
  <c r="W246" i="4"/>
  <c r="W292" i="4"/>
  <c r="X292" i="4"/>
  <c r="X160" i="4"/>
  <c r="W160" i="4"/>
  <c r="W288" i="4"/>
  <c r="X288" i="4"/>
  <c r="X39" i="4"/>
  <c r="W39" i="4"/>
  <c r="X80" i="4"/>
  <c r="W80" i="4"/>
  <c r="X135" i="4"/>
  <c r="W135" i="4"/>
  <c r="W148" i="4"/>
  <c r="X148" i="4"/>
  <c r="X127" i="4"/>
  <c r="W127" i="4"/>
  <c r="X132" i="4"/>
  <c r="W132" i="4"/>
  <c r="W180" i="4"/>
  <c r="X180" i="4"/>
  <c r="X280" i="4"/>
  <c r="W280" i="4"/>
  <c r="X66" i="4"/>
  <c r="W66" i="4"/>
  <c r="W156" i="4"/>
  <c r="X156" i="4"/>
  <c r="X23" i="4"/>
  <c r="W23" i="4"/>
  <c r="X140" i="4"/>
  <c r="W140" i="4"/>
  <c r="X167" i="4"/>
  <c r="W167" i="4"/>
  <c r="W268" i="4"/>
  <c r="X268" i="4"/>
  <c r="X63" i="4"/>
  <c r="W63" i="4"/>
  <c r="X87" i="4"/>
  <c r="W87" i="4"/>
  <c r="X235" i="4"/>
  <c r="W235" i="4"/>
  <c r="X269" i="4"/>
  <c r="W269" i="4"/>
  <c r="W31" i="4"/>
  <c r="X31" i="4"/>
  <c r="X189" i="4"/>
  <c r="W189" i="4"/>
  <c r="W276" i="4"/>
  <c r="X276" i="4"/>
  <c r="W312" i="4"/>
  <c r="X312" i="4"/>
  <c r="X103" i="4"/>
  <c r="W103" i="4"/>
  <c r="W296" i="4"/>
  <c r="X296" i="4"/>
  <c r="W164" i="4"/>
  <c r="X164" i="4"/>
  <c r="X293" i="4"/>
  <c r="W293" i="4"/>
  <c r="X325" i="4"/>
  <c r="W325" i="4"/>
  <c r="W202" i="4"/>
  <c r="X202" i="4"/>
  <c r="W108" i="4"/>
  <c r="X108" i="4"/>
  <c r="X322" i="4"/>
  <c r="W322" i="4"/>
  <c r="X90" i="4"/>
  <c r="W90" i="4"/>
  <c r="W54" i="4"/>
  <c r="X54" i="4"/>
  <c r="X122" i="4"/>
  <c r="W122" i="4"/>
  <c r="X44" i="4"/>
  <c r="W44" i="4"/>
  <c r="X222" i="4"/>
  <c r="W222" i="4"/>
  <c r="W30" i="4"/>
  <c r="X30" i="4"/>
  <c r="X298" i="4"/>
  <c r="W298" i="4"/>
  <c r="X109" i="4"/>
  <c r="W109" i="4"/>
  <c r="W94" i="4"/>
  <c r="X94" i="4"/>
  <c r="X107" i="4"/>
  <c r="W107" i="4"/>
  <c r="W326" i="4"/>
  <c r="X326" i="4"/>
  <c r="X146" i="4"/>
  <c r="W146" i="4"/>
  <c r="X206" i="4"/>
  <c r="W206" i="4"/>
  <c r="W302" i="4"/>
  <c r="X302" i="4"/>
  <c r="W308" i="4"/>
  <c r="X308" i="4"/>
  <c r="X175" i="4"/>
  <c r="W175" i="4"/>
  <c r="X256" i="4"/>
  <c r="W256" i="4"/>
  <c r="W92" i="4"/>
  <c r="X92" i="4"/>
  <c r="W68" i="4"/>
  <c r="X68" i="4"/>
  <c r="W282" i="4"/>
  <c r="X282" i="4"/>
  <c r="X53" i="4"/>
  <c r="W53" i="4"/>
  <c r="X170" i="4"/>
  <c r="W170" i="4"/>
  <c r="W125" i="4"/>
  <c r="X125" i="4"/>
  <c r="W274" i="4"/>
  <c r="X274" i="4"/>
  <c r="X290" i="4"/>
  <c r="W290" i="4"/>
  <c r="W200" i="4"/>
  <c r="X200" i="4"/>
  <c r="W218" i="4"/>
  <c r="X218" i="4"/>
  <c r="X43" i="4"/>
  <c r="W43" i="4"/>
  <c r="X77" i="4"/>
  <c r="W77" i="4"/>
  <c r="X205" i="4"/>
  <c r="W205" i="4"/>
  <c r="X233" i="4"/>
  <c r="W233" i="4"/>
  <c r="W300" i="4"/>
  <c r="X300" i="4"/>
  <c r="W102" i="4"/>
  <c r="X102" i="4"/>
  <c r="W210" i="4"/>
  <c r="X210" i="4"/>
  <c r="X178" i="4"/>
  <c r="W178" i="4"/>
  <c r="X165" i="4"/>
  <c r="W165" i="4"/>
  <c r="X181" i="4"/>
  <c r="W181" i="4"/>
  <c r="X229" i="4"/>
  <c r="W229" i="4"/>
  <c r="W212" i="4"/>
  <c r="X212" i="4"/>
  <c r="X37" i="4"/>
  <c r="W37" i="4"/>
  <c r="X319" i="4"/>
  <c r="W319" i="4"/>
  <c r="X311" i="4"/>
  <c r="W311" i="4"/>
  <c r="X259" i="4"/>
  <c r="W259" i="4"/>
  <c r="W84" i="4"/>
  <c r="X84" i="4"/>
  <c r="W28" i="4"/>
  <c r="X28" i="4"/>
  <c r="X143" i="4"/>
  <c r="W143" i="4"/>
  <c r="X211" i="4"/>
  <c r="W211" i="4"/>
  <c r="X272" i="4"/>
  <c r="W272" i="4"/>
  <c r="X111" i="4"/>
  <c r="W111" i="4"/>
  <c r="X306" i="4"/>
  <c r="W306" i="4"/>
  <c r="W260" i="4"/>
  <c r="X260" i="4"/>
  <c r="W116" i="4"/>
  <c r="X116" i="4"/>
  <c r="X17" i="4"/>
  <c r="W17" i="4"/>
  <c r="X15" i="4"/>
  <c r="W15" i="4"/>
  <c r="W47" i="4"/>
  <c r="X47" i="4"/>
  <c r="X245" i="4"/>
  <c r="W245" i="4"/>
  <c r="W124" i="4"/>
  <c r="X124" i="4"/>
  <c r="W324" i="4"/>
  <c r="X324" i="4"/>
  <c r="W55" i="4"/>
  <c r="X55" i="4"/>
  <c r="W234" i="4"/>
  <c r="X234" i="4"/>
  <c r="W220" i="4"/>
  <c r="X220" i="4"/>
  <c r="W230" i="4"/>
  <c r="X230" i="4"/>
  <c r="X198" i="4"/>
  <c r="W198" i="4"/>
  <c r="X285" i="4"/>
  <c r="W285" i="4"/>
  <c r="X95" i="4"/>
  <c r="W95" i="4"/>
  <c r="X277" i="4"/>
  <c r="W277" i="4"/>
  <c r="X238" i="4"/>
  <c r="W238" i="4"/>
  <c r="X314" i="4"/>
  <c r="W314" i="4"/>
  <c r="X250" i="4"/>
  <c r="W250" i="4"/>
  <c r="X301" i="4"/>
  <c r="W301" i="4"/>
  <c r="X166" i="4"/>
  <c r="W166" i="4"/>
  <c r="X93" i="4"/>
  <c r="W93" i="4"/>
  <c r="W155" i="4"/>
  <c r="X155" i="4"/>
  <c r="W258" i="4"/>
  <c r="X258" i="4"/>
  <c r="W40" i="4"/>
  <c r="X40" i="4"/>
  <c r="W100" i="4"/>
  <c r="X100" i="4"/>
  <c r="X117" i="4"/>
  <c r="W117" i="4"/>
  <c r="W318" i="4"/>
  <c r="X318" i="4"/>
  <c r="X69" i="4"/>
  <c r="W69" i="4"/>
  <c r="X71" i="4"/>
  <c r="W71" i="4"/>
  <c r="X51" i="4"/>
  <c r="W51" i="4"/>
  <c r="X237" i="4"/>
  <c r="W237" i="4"/>
  <c r="W304" i="4"/>
  <c r="X304" i="4"/>
  <c r="W52" i="4"/>
  <c r="X52" i="4"/>
  <c r="W320" i="4"/>
  <c r="X320" i="4"/>
  <c r="W316" i="4"/>
  <c r="X316" i="4"/>
  <c r="X219" i="4"/>
  <c r="W219" i="4"/>
  <c r="X25" i="4"/>
  <c r="W25" i="4"/>
  <c r="X203" i="4"/>
  <c r="W203" i="4"/>
  <c r="W76" i="4"/>
  <c r="X76" i="4"/>
  <c r="W248" i="4"/>
  <c r="X248" i="4"/>
  <c r="X196" i="4"/>
  <c r="W196" i="4"/>
  <c r="X192" i="4"/>
  <c r="W192" i="4"/>
  <c r="AK5" i="4"/>
  <c r="X227" i="4"/>
  <c r="W227" i="4"/>
  <c r="X243" i="4"/>
  <c r="W243" i="4"/>
  <c r="X149" i="4"/>
  <c r="W149" i="4"/>
  <c r="W188" i="4"/>
  <c r="X188" i="4"/>
  <c r="W226" i="4"/>
  <c r="X226" i="4"/>
  <c r="W18" i="4"/>
  <c r="X18" i="4"/>
  <c r="W26" i="4"/>
  <c r="X26" i="4"/>
  <c r="W171" i="4"/>
  <c r="X171" i="4"/>
  <c r="W201" i="4"/>
  <c r="X201" i="4"/>
  <c r="W224" i="4"/>
  <c r="X224" i="4"/>
  <c r="W14" i="4"/>
  <c r="X14" i="4"/>
  <c r="X195" i="4"/>
  <c r="W195" i="4"/>
  <c r="X67" i="4"/>
  <c r="W67" i="4"/>
  <c r="X191" i="4"/>
  <c r="W191" i="4"/>
  <c r="X61" i="4"/>
  <c r="W61" i="4"/>
  <c r="W266" i="4"/>
  <c r="X266" i="4"/>
  <c r="W62" i="4"/>
  <c r="X62" i="4"/>
  <c r="W10" i="4"/>
  <c r="X10" i="4"/>
  <c r="X281" i="4"/>
  <c r="W281" i="4"/>
  <c r="X50" i="4"/>
  <c r="W50" i="4"/>
  <c r="X183" i="4"/>
  <c r="W183" i="4"/>
  <c r="X58" i="4"/>
  <c r="W58" i="4"/>
  <c r="X106" i="4"/>
  <c r="W106" i="4"/>
  <c r="W187" i="4"/>
  <c r="X187" i="4"/>
  <c r="W254" i="4"/>
  <c r="X254" i="4"/>
  <c r="X33" i="4"/>
  <c r="W33" i="4"/>
  <c r="W133" i="4"/>
  <c r="X133" i="4"/>
  <c r="W139" i="4"/>
  <c r="X139" i="4"/>
  <c r="W216" i="4"/>
  <c r="X216" i="4"/>
  <c r="X242" i="4"/>
  <c r="W242" i="4"/>
  <c r="X21" i="4"/>
  <c r="W21" i="4"/>
  <c r="X29" i="4"/>
  <c r="W29" i="4"/>
  <c r="X36" i="4"/>
  <c r="W36" i="4"/>
  <c r="W60" i="4"/>
  <c r="X60" i="4"/>
  <c r="X151" i="4"/>
  <c r="W151" i="4"/>
  <c r="W286" i="4"/>
  <c r="X286" i="4"/>
  <c r="X74" i="4"/>
  <c r="W74" i="4"/>
  <c r="X239" i="4"/>
  <c r="W239" i="4"/>
  <c r="X214" i="4"/>
  <c r="W214" i="4"/>
  <c r="X12" i="4"/>
  <c r="W12" i="4"/>
  <c r="W240" i="4"/>
  <c r="X240" i="4"/>
  <c r="X8" i="4"/>
  <c r="W8" i="4"/>
  <c r="W22" i="4"/>
  <c r="X22" i="4"/>
  <c r="X114" i="4"/>
  <c r="W114" i="4"/>
  <c r="W310" i="4"/>
  <c r="X310" i="4"/>
  <c r="X99" i="4"/>
  <c r="W99" i="4"/>
  <c r="W70" i="4"/>
  <c r="X70" i="4"/>
  <c r="W284" i="4"/>
  <c r="X284" i="4"/>
  <c r="AI5" i="4" l="1" a="1"/>
  <c r="AI5" i="4" s="1"/>
  <c r="AL5" i="4" l="1"/>
  <c r="AJ5" i="4" s="1" a="1"/>
  <c r="AJ5" i="4" s="1"/>
  <c r="AN5" i="4"/>
  <c r="A129" i="2" l="1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Q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B20" i="2"/>
  <c r="Q17" i="2"/>
  <c r="Q18" i="2" s="1"/>
  <c r="P17" i="2"/>
  <c r="P18" i="2" s="1"/>
  <c r="O17" i="2"/>
  <c r="O18" i="2" s="1"/>
  <c r="N17" i="2"/>
  <c r="N18" i="2" s="1"/>
  <c r="M17" i="2"/>
  <c r="M18" i="2" s="1"/>
  <c r="L17" i="2"/>
  <c r="L18" i="2" s="1"/>
  <c r="K17" i="2"/>
  <c r="K18" i="2" s="1"/>
  <c r="J17" i="2"/>
  <c r="J18" i="2" s="1"/>
  <c r="I17" i="2"/>
  <c r="I18" i="2" s="1"/>
  <c r="H17" i="2"/>
  <c r="H18" i="2" s="1"/>
  <c r="G17" i="2"/>
  <c r="G18" i="2" s="1"/>
  <c r="F17" i="2"/>
  <c r="F18" i="2" s="1"/>
  <c r="E17" i="2"/>
  <c r="E18" i="2" s="1"/>
  <c r="D17" i="2"/>
  <c r="D18" i="2" s="1"/>
  <c r="C17" i="2"/>
  <c r="C18" i="2" s="1"/>
  <c r="B17" i="2"/>
  <c r="B18" i="2" s="1"/>
  <c r="B16" i="2"/>
  <c r="C16" i="2" s="1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B15" i="2"/>
  <c r="C11" i="2"/>
  <c r="B4" i="2"/>
  <c r="G3" i="2"/>
  <c r="B2" i="2"/>
  <c r="B3" i="2" s="1"/>
  <c r="J8" i="2" s="1"/>
  <c r="D128" i="2" l="1"/>
  <c r="D126" i="2"/>
  <c r="D124" i="2"/>
  <c r="D122" i="2"/>
  <c r="D120" i="2"/>
  <c r="D118" i="2"/>
  <c r="D116" i="2"/>
  <c r="D114" i="2"/>
  <c r="D112" i="2"/>
  <c r="D110" i="2"/>
  <c r="D108" i="2"/>
  <c r="D106" i="2"/>
  <c r="D104" i="2"/>
  <c r="D102" i="2"/>
  <c r="D100" i="2"/>
  <c r="D98" i="2"/>
  <c r="D96" i="2"/>
  <c r="D94" i="2"/>
  <c r="D92" i="2"/>
  <c r="D90" i="2"/>
  <c r="D88" i="2"/>
  <c r="D86" i="2"/>
  <c r="D84" i="2"/>
  <c r="D82" i="2"/>
  <c r="D80" i="2"/>
  <c r="D78" i="2"/>
  <c r="D76" i="2"/>
  <c r="D74" i="2"/>
  <c r="D107" i="2"/>
  <c r="D75" i="2"/>
  <c r="D46" i="2"/>
  <c r="D42" i="2"/>
  <c r="D16" i="2"/>
  <c r="E51" i="2" s="1"/>
  <c r="C19" i="2"/>
  <c r="D115" i="2"/>
  <c r="D83" i="2"/>
  <c r="D123" i="2"/>
  <c r="D105" i="2"/>
  <c r="D95" i="2"/>
  <c r="D91" i="2"/>
  <c r="D73" i="2"/>
  <c r="D72" i="2"/>
  <c r="D70" i="2"/>
  <c r="D69" i="2"/>
  <c r="D68" i="2"/>
  <c r="D66" i="2"/>
  <c r="D65" i="2"/>
  <c r="D64" i="2"/>
  <c r="D62" i="2"/>
  <c r="D60" i="2"/>
  <c r="D58" i="2"/>
  <c r="D56" i="2"/>
  <c r="D54" i="2"/>
  <c r="D52" i="2"/>
  <c r="D50" i="2"/>
  <c r="D48" i="2"/>
  <c r="D44" i="2"/>
  <c r="D113" i="2"/>
  <c r="D103" i="2"/>
  <c r="D99" i="2"/>
  <c r="D81" i="2"/>
  <c r="D47" i="2"/>
  <c r="D43" i="2"/>
  <c r="B19" i="2"/>
  <c r="E49" i="2"/>
  <c r="D51" i="2"/>
  <c r="E53" i="2"/>
  <c r="D55" i="2"/>
  <c r="D59" i="2"/>
  <c r="D63" i="2"/>
  <c r="D67" i="2"/>
  <c r="E71" i="2"/>
  <c r="D71" i="2"/>
  <c r="E85" i="2"/>
  <c r="D85" i="2"/>
  <c r="D117" i="2"/>
  <c r="H8" i="2"/>
  <c r="D24" i="2"/>
  <c r="D26" i="2"/>
  <c r="D28" i="2"/>
  <c r="D30" i="2"/>
  <c r="D32" i="2"/>
  <c r="D34" i="2"/>
  <c r="D36" i="2"/>
  <c r="D38" i="2"/>
  <c r="D40" i="2"/>
  <c r="D49" i="2"/>
  <c r="D53" i="2"/>
  <c r="D57" i="2"/>
  <c r="D61" i="2"/>
  <c r="E77" i="2"/>
  <c r="D77" i="2"/>
  <c r="D109" i="2"/>
  <c r="E119" i="2"/>
  <c r="D127" i="2"/>
  <c r="E129" i="2"/>
  <c r="C8" i="2"/>
  <c r="K8" i="2"/>
  <c r="L8" i="2"/>
  <c r="M8" i="2"/>
  <c r="E28" i="2"/>
  <c r="E34" i="2"/>
  <c r="E38" i="2"/>
  <c r="D87" i="2"/>
  <c r="D97" i="2"/>
  <c r="E101" i="2"/>
  <c r="D101" i="2"/>
  <c r="E111" i="2"/>
  <c r="D119" i="2"/>
  <c r="D129" i="2"/>
  <c r="G8" i="2"/>
  <c r="D8" i="2"/>
  <c r="E8" i="2"/>
  <c r="I8" i="2"/>
  <c r="E26" i="2"/>
  <c r="E30" i="2"/>
  <c r="D41" i="2"/>
  <c r="D45" i="2"/>
  <c r="B8" i="2"/>
  <c r="F8" i="2"/>
  <c r="D25" i="2"/>
  <c r="D27" i="2"/>
  <c r="D29" i="2"/>
  <c r="D31" i="2"/>
  <c r="D33" i="2"/>
  <c r="D35" i="2"/>
  <c r="D37" i="2"/>
  <c r="D39" i="2"/>
  <c r="E43" i="2"/>
  <c r="E47" i="2"/>
  <c r="D79" i="2"/>
  <c r="D89" i="2"/>
  <c r="D93" i="2"/>
  <c r="D111" i="2"/>
  <c r="E113" i="2"/>
  <c r="D121" i="2"/>
  <c r="D125" i="2"/>
  <c r="E83" i="2"/>
  <c r="E99" i="2"/>
  <c r="E107" i="2"/>
  <c r="E93" i="2" l="1"/>
  <c r="E89" i="2"/>
  <c r="E109" i="2"/>
  <c r="E105" i="2"/>
  <c r="E57" i="2"/>
  <c r="E69" i="2"/>
  <c r="E81" i="2"/>
  <c r="E97" i="2"/>
  <c r="E95" i="2"/>
  <c r="E67" i="2"/>
  <c r="E75" i="2"/>
  <c r="E24" i="2"/>
  <c r="E117" i="2"/>
  <c r="E59" i="2"/>
  <c r="E123" i="2"/>
  <c r="E125" i="2"/>
  <c r="E40" i="2"/>
  <c r="E45" i="2"/>
  <c r="E115" i="2"/>
  <c r="E36" i="2"/>
  <c r="E121" i="2"/>
  <c r="E79" i="2"/>
  <c r="E87" i="2"/>
  <c r="E41" i="2"/>
  <c r="E65" i="2"/>
  <c r="E55" i="2"/>
  <c r="E73" i="2"/>
  <c r="E63" i="2"/>
  <c r="E91" i="2"/>
  <c r="E103" i="2"/>
  <c r="E32" i="2"/>
  <c r="E127" i="2"/>
  <c r="E61" i="2"/>
  <c r="E126" i="2"/>
  <c r="E118" i="2"/>
  <c r="E110" i="2"/>
  <c r="E102" i="2"/>
  <c r="E94" i="2"/>
  <c r="E86" i="2"/>
  <c r="E78" i="2"/>
  <c r="E70" i="2"/>
  <c r="E66" i="2"/>
  <c r="E62" i="2"/>
  <c r="E58" i="2"/>
  <c r="E54" i="2"/>
  <c r="E50" i="2"/>
  <c r="E114" i="2"/>
  <c r="E108" i="2"/>
  <c r="E104" i="2"/>
  <c r="E82" i="2"/>
  <c r="E76" i="2"/>
  <c r="E16" i="2"/>
  <c r="E56" i="2"/>
  <c r="E52" i="2"/>
  <c r="E48" i="2"/>
  <c r="D19" i="2"/>
  <c r="E122" i="2"/>
  <c r="E116" i="2"/>
  <c r="E112" i="2"/>
  <c r="E90" i="2"/>
  <c r="E84" i="2"/>
  <c r="E80" i="2"/>
  <c r="E72" i="2"/>
  <c r="E68" i="2"/>
  <c r="E64" i="2"/>
  <c r="E60" i="2"/>
  <c r="E44" i="2"/>
  <c r="E124" i="2"/>
  <c r="E120" i="2"/>
  <c r="E98" i="2"/>
  <c r="E92" i="2"/>
  <c r="E88" i="2"/>
  <c r="E128" i="2"/>
  <c r="E106" i="2"/>
  <c r="E100" i="2"/>
  <c r="E96" i="2"/>
  <c r="E74" i="2"/>
  <c r="E46" i="2"/>
  <c r="E42" i="2"/>
  <c r="E39" i="2"/>
  <c r="E37" i="2"/>
  <c r="E35" i="2"/>
  <c r="E33" i="2"/>
  <c r="E31" i="2"/>
  <c r="E29" i="2"/>
  <c r="E27" i="2"/>
  <c r="E25" i="2"/>
  <c r="F128" i="2" l="1"/>
  <c r="F120" i="2"/>
  <c r="F112" i="2"/>
  <c r="F104" i="2"/>
  <c r="F96" i="2"/>
  <c r="F88" i="2"/>
  <c r="F80" i="2"/>
  <c r="F126" i="2"/>
  <c r="F122" i="2"/>
  <c r="F116" i="2"/>
  <c r="F94" i="2"/>
  <c r="F90" i="2"/>
  <c r="F84" i="2"/>
  <c r="F72" i="2"/>
  <c r="F68" i="2"/>
  <c r="F64" i="2"/>
  <c r="F60" i="2"/>
  <c r="F56" i="2"/>
  <c r="F52" i="2"/>
  <c r="F48" i="2"/>
  <c r="F44" i="2"/>
  <c r="E19" i="2"/>
  <c r="F58" i="2"/>
  <c r="F54" i="2"/>
  <c r="F124" i="2"/>
  <c r="F102" i="2"/>
  <c r="F98" i="2"/>
  <c r="F92" i="2"/>
  <c r="F70" i="2"/>
  <c r="F66" i="2"/>
  <c r="F62" i="2"/>
  <c r="F50" i="2"/>
  <c r="F110" i="2"/>
  <c r="F106" i="2"/>
  <c r="F100" i="2"/>
  <c r="F78" i="2"/>
  <c r="F74" i="2"/>
  <c r="F71" i="2"/>
  <c r="F67" i="2"/>
  <c r="F47" i="2"/>
  <c r="F46" i="2"/>
  <c r="F43" i="2"/>
  <c r="F42" i="2"/>
  <c r="F39" i="2"/>
  <c r="F37" i="2"/>
  <c r="F35" i="2"/>
  <c r="F33" i="2"/>
  <c r="F31" i="2"/>
  <c r="F29" i="2"/>
  <c r="F27" i="2"/>
  <c r="F25" i="2"/>
  <c r="F16" i="2"/>
  <c r="F118" i="2"/>
  <c r="F114" i="2"/>
  <c r="F108" i="2"/>
  <c r="F86" i="2"/>
  <c r="F82" i="2"/>
  <c r="F76" i="2"/>
  <c r="F26" i="2"/>
  <c r="F24" i="2"/>
  <c r="F57" i="2"/>
  <c r="F75" i="2"/>
  <c r="F107" i="2"/>
  <c r="F30" i="2"/>
  <c r="F28" i="2"/>
  <c r="F73" i="2"/>
  <c r="F85" i="2"/>
  <c r="F95" i="2"/>
  <c r="F105" i="2"/>
  <c r="F117" i="2"/>
  <c r="F127" i="2"/>
  <c r="F55" i="2"/>
  <c r="F63" i="2"/>
  <c r="F89" i="2"/>
  <c r="F111" i="2"/>
  <c r="F61" i="2"/>
  <c r="F40" i="2"/>
  <c r="F45" i="2"/>
  <c r="F93" i="2"/>
  <c r="F113" i="2"/>
  <c r="F99" i="2"/>
  <c r="F34" i="2"/>
  <c r="F32" i="2"/>
  <c r="F77" i="2"/>
  <c r="F87" i="2"/>
  <c r="F97" i="2"/>
  <c r="F109" i="2"/>
  <c r="F119" i="2"/>
  <c r="F53" i="2"/>
  <c r="F65" i="2"/>
  <c r="F49" i="2"/>
  <c r="F69" i="2"/>
  <c r="F41" i="2"/>
  <c r="F91" i="2"/>
  <c r="F123" i="2"/>
  <c r="F38" i="2"/>
  <c r="F36" i="2"/>
  <c r="F51" i="2"/>
  <c r="F59" i="2"/>
  <c r="F129" i="2"/>
  <c r="F79" i="2"/>
  <c r="F101" i="2"/>
  <c r="F121" i="2"/>
  <c r="F81" i="2"/>
  <c r="F103" i="2"/>
  <c r="F125" i="2"/>
  <c r="F83" i="2"/>
  <c r="F115" i="2"/>
  <c r="G115" i="2" l="1"/>
  <c r="G83" i="2"/>
  <c r="G43" i="2"/>
  <c r="G123" i="2"/>
  <c r="G91" i="2"/>
  <c r="G47" i="2"/>
  <c r="G117" i="2"/>
  <c r="G113" i="2"/>
  <c r="G99" i="2"/>
  <c r="G85" i="2"/>
  <c r="G81" i="2"/>
  <c r="G16" i="2"/>
  <c r="G125" i="2"/>
  <c r="G121" i="2"/>
  <c r="G107" i="2"/>
  <c r="G93" i="2"/>
  <c r="G89" i="2"/>
  <c r="G75" i="2"/>
  <c r="G45" i="2"/>
  <c r="G41" i="2"/>
  <c r="F19" i="2"/>
  <c r="G24" i="2"/>
  <c r="G32" i="2"/>
  <c r="G40" i="2"/>
  <c r="G49" i="2"/>
  <c r="G62" i="2"/>
  <c r="G65" i="2"/>
  <c r="G78" i="2"/>
  <c r="G88" i="2"/>
  <c r="G98" i="2"/>
  <c r="G110" i="2"/>
  <c r="G120" i="2"/>
  <c r="G87" i="2"/>
  <c r="G119" i="2"/>
  <c r="G42" i="2"/>
  <c r="G71" i="2"/>
  <c r="G94" i="2"/>
  <c r="G109" i="2"/>
  <c r="G114" i="2"/>
  <c r="G59" i="2"/>
  <c r="G74" i="2"/>
  <c r="G96" i="2"/>
  <c r="G118" i="2"/>
  <c r="G48" i="2"/>
  <c r="G60" i="2"/>
  <c r="G92" i="2"/>
  <c r="G124" i="2"/>
  <c r="G26" i="2"/>
  <c r="G34" i="2"/>
  <c r="G50" i="2"/>
  <c r="G53" i="2"/>
  <c r="G66" i="2"/>
  <c r="G69" i="2"/>
  <c r="G80" i="2"/>
  <c r="G90" i="2"/>
  <c r="G102" i="2"/>
  <c r="G112" i="2"/>
  <c r="G122" i="2"/>
  <c r="G31" i="2"/>
  <c r="G37" i="2"/>
  <c r="G46" i="2"/>
  <c r="G63" i="2"/>
  <c r="G73" i="2"/>
  <c r="G79" i="2"/>
  <c r="G25" i="2"/>
  <c r="G35" i="2"/>
  <c r="G97" i="2"/>
  <c r="G103" i="2"/>
  <c r="G64" i="2"/>
  <c r="G84" i="2"/>
  <c r="G116" i="2"/>
  <c r="G28" i="2"/>
  <c r="G36" i="2"/>
  <c r="G44" i="2"/>
  <c r="G54" i="2"/>
  <c r="G57" i="2"/>
  <c r="G70" i="2"/>
  <c r="G77" i="2"/>
  <c r="G82" i="2"/>
  <c r="G104" i="2"/>
  <c r="G126" i="2"/>
  <c r="G86" i="2"/>
  <c r="G101" i="2"/>
  <c r="G106" i="2"/>
  <c r="G128" i="2"/>
  <c r="G52" i="2"/>
  <c r="G68" i="2"/>
  <c r="G76" i="2"/>
  <c r="G108" i="2"/>
  <c r="G30" i="2"/>
  <c r="G38" i="2"/>
  <c r="G58" i="2"/>
  <c r="G61" i="2"/>
  <c r="G95" i="2"/>
  <c r="G127" i="2"/>
  <c r="G27" i="2"/>
  <c r="G33" i="2"/>
  <c r="G39" i="2"/>
  <c r="G55" i="2"/>
  <c r="G67" i="2"/>
  <c r="G105" i="2"/>
  <c r="G111" i="2"/>
  <c r="G29" i="2"/>
  <c r="G51" i="2"/>
  <c r="G129" i="2"/>
  <c r="G56" i="2"/>
  <c r="G72" i="2"/>
  <c r="G100" i="2"/>
  <c r="H128" i="2" l="1"/>
  <c r="H126" i="2"/>
  <c r="H124" i="2"/>
  <c r="H122" i="2"/>
  <c r="H120" i="2"/>
  <c r="H118" i="2"/>
  <c r="H116" i="2"/>
  <c r="H114" i="2"/>
  <c r="H112" i="2"/>
  <c r="H110" i="2"/>
  <c r="H108" i="2"/>
  <c r="H106" i="2"/>
  <c r="H104" i="2"/>
  <c r="H102" i="2"/>
  <c r="H100" i="2"/>
  <c r="H98" i="2"/>
  <c r="H96" i="2"/>
  <c r="H94" i="2"/>
  <c r="H92" i="2"/>
  <c r="H90" i="2"/>
  <c r="H88" i="2"/>
  <c r="H86" i="2"/>
  <c r="H84" i="2"/>
  <c r="H82" i="2"/>
  <c r="H80" i="2"/>
  <c r="H78" i="2"/>
  <c r="H76" i="2"/>
  <c r="H74" i="2"/>
  <c r="H72" i="2"/>
  <c r="H68" i="2"/>
  <c r="H64" i="2"/>
  <c r="H60" i="2"/>
  <c r="H56" i="2"/>
  <c r="H52" i="2"/>
  <c r="H123" i="2"/>
  <c r="H91" i="2"/>
  <c r="H70" i="2"/>
  <c r="H66" i="2"/>
  <c r="H62" i="2"/>
  <c r="H58" i="2"/>
  <c r="H54" i="2"/>
  <c r="H50" i="2"/>
  <c r="H46" i="2"/>
  <c r="H42" i="2"/>
  <c r="H16" i="2"/>
  <c r="H99" i="2"/>
  <c r="G19" i="2"/>
  <c r="H125" i="2"/>
  <c r="H107" i="2"/>
  <c r="H103" i="2"/>
  <c r="H93" i="2"/>
  <c r="H75" i="2"/>
  <c r="H115" i="2"/>
  <c r="H111" i="2"/>
  <c r="H101" i="2"/>
  <c r="H83" i="2"/>
  <c r="H79" i="2"/>
  <c r="H44" i="2"/>
  <c r="H27" i="2"/>
  <c r="H29" i="2"/>
  <c r="H26" i="2"/>
  <c r="H30" i="2"/>
  <c r="H34" i="2"/>
  <c r="H38" i="2"/>
  <c r="H97" i="2"/>
  <c r="H43" i="2"/>
  <c r="H49" i="2"/>
  <c r="H57" i="2"/>
  <c r="H65" i="2"/>
  <c r="H31" i="2"/>
  <c r="H33" i="2"/>
  <c r="H40" i="2"/>
  <c r="H45" i="2"/>
  <c r="H129" i="2"/>
  <c r="H95" i="2"/>
  <c r="H117" i="2"/>
  <c r="H121" i="2"/>
  <c r="H51" i="2"/>
  <c r="H59" i="2"/>
  <c r="H67" i="2"/>
  <c r="H77" i="2"/>
  <c r="H81" i="2"/>
  <c r="H119" i="2"/>
  <c r="H48" i="2"/>
  <c r="H35" i="2"/>
  <c r="H37" i="2"/>
  <c r="H24" i="2"/>
  <c r="H28" i="2"/>
  <c r="H32" i="2"/>
  <c r="H36" i="2"/>
  <c r="H53" i="2"/>
  <c r="H61" i="2"/>
  <c r="H69" i="2"/>
  <c r="H39" i="2"/>
  <c r="H25" i="2"/>
  <c r="H73" i="2"/>
  <c r="H105" i="2"/>
  <c r="H41" i="2"/>
  <c r="H85" i="2"/>
  <c r="H89" i="2"/>
  <c r="H127" i="2"/>
  <c r="H47" i="2"/>
  <c r="H55" i="2"/>
  <c r="H63" i="2"/>
  <c r="H71" i="2"/>
  <c r="H87" i="2"/>
  <c r="H109" i="2"/>
  <c r="H113" i="2"/>
  <c r="I16" i="2" l="1"/>
  <c r="H19" i="2"/>
  <c r="I19" i="2" l="1"/>
  <c r="J16" i="2"/>
  <c r="K16" i="2" l="1"/>
  <c r="J19" i="2"/>
  <c r="K19" i="2" l="1"/>
  <c r="L16" i="2"/>
  <c r="M16" i="2" l="1"/>
  <c r="L19" i="2"/>
  <c r="M19" i="2" l="1"/>
  <c r="N16" i="2"/>
  <c r="O16" i="2" l="1"/>
  <c r="N19" i="2"/>
  <c r="P16" i="2" l="1"/>
  <c r="O19" i="2"/>
  <c r="Q16" i="2" l="1"/>
  <c r="Q19" i="2" s="1"/>
  <c r="P19" i="2"/>
  <c r="AD1" i="1" l="1"/>
  <c r="AE1" i="1"/>
  <c r="AF1" i="1"/>
  <c r="AG1" i="1"/>
  <c r="AH1" i="1"/>
  <c r="AI1" i="1"/>
  <c r="AJ1" i="1"/>
  <c r="AK1" i="1"/>
  <c r="AL1" i="1"/>
  <c r="AC1" i="1"/>
  <c r="V327" i="1"/>
  <c r="S327" i="1"/>
  <c r="U327" i="1" s="1"/>
  <c r="Y327" i="1" s="1"/>
  <c r="M327" i="1"/>
  <c r="I327" i="1"/>
  <c r="K327" i="1" s="1"/>
  <c r="V326" i="1"/>
  <c r="S326" i="1"/>
  <c r="U326" i="1" s="1"/>
  <c r="Y326" i="1" s="1"/>
  <c r="M326" i="1"/>
  <c r="I326" i="1"/>
  <c r="K326" i="1" s="1"/>
  <c r="V325" i="1"/>
  <c r="S325" i="1"/>
  <c r="U325" i="1" s="1"/>
  <c r="Y325" i="1" s="1"/>
  <c r="M325" i="1"/>
  <c r="I325" i="1"/>
  <c r="K325" i="1" s="1"/>
  <c r="L325" i="1" s="1"/>
  <c r="V324" i="1"/>
  <c r="S324" i="1"/>
  <c r="U324" i="1" s="1"/>
  <c r="Y324" i="1" s="1"/>
  <c r="M324" i="1"/>
  <c r="I324" i="1"/>
  <c r="K324" i="1" s="1"/>
  <c r="V323" i="1"/>
  <c r="S323" i="1"/>
  <c r="U323" i="1" s="1"/>
  <c r="Y323" i="1" s="1"/>
  <c r="M323" i="1"/>
  <c r="I323" i="1"/>
  <c r="K323" i="1" s="1"/>
  <c r="V322" i="1"/>
  <c r="S322" i="1"/>
  <c r="U322" i="1" s="1"/>
  <c r="Y322" i="1" s="1"/>
  <c r="M322" i="1"/>
  <c r="I322" i="1"/>
  <c r="K322" i="1" s="1"/>
  <c r="V321" i="1"/>
  <c r="S321" i="1"/>
  <c r="U321" i="1" s="1"/>
  <c r="Y321" i="1" s="1"/>
  <c r="M321" i="1"/>
  <c r="I321" i="1"/>
  <c r="K321" i="1" s="1"/>
  <c r="L321" i="1" s="1"/>
  <c r="V320" i="1"/>
  <c r="S320" i="1"/>
  <c r="U320" i="1" s="1"/>
  <c r="Y320" i="1" s="1"/>
  <c r="M320" i="1"/>
  <c r="I320" i="1"/>
  <c r="K320" i="1" s="1"/>
  <c r="V319" i="1"/>
  <c r="S319" i="1"/>
  <c r="U319" i="1" s="1"/>
  <c r="Y319" i="1" s="1"/>
  <c r="M319" i="1"/>
  <c r="I319" i="1"/>
  <c r="K319" i="1" s="1"/>
  <c r="V318" i="1"/>
  <c r="S318" i="1"/>
  <c r="U318" i="1" s="1"/>
  <c r="Y318" i="1" s="1"/>
  <c r="M318" i="1"/>
  <c r="I318" i="1"/>
  <c r="K318" i="1" s="1"/>
  <c r="V317" i="1"/>
  <c r="S317" i="1"/>
  <c r="U317" i="1" s="1"/>
  <c r="Y317" i="1" s="1"/>
  <c r="M317" i="1"/>
  <c r="I317" i="1"/>
  <c r="K317" i="1" s="1"/>
  <c r="L317" i="1" s="1"/>
  <c r="V316" i="1"/>
  <c r="S316" i="1"/>
  <c r="U316" i="1" s="1"/>
  <c r="Y316" i="1" s="1"/>
  <c r="M316" i="1"/>
  <c r="I316" i="1"/>
  <c r="K316" i="1" s="1"/>
  <c r="V315" i="1"/>
  <c r="S315" i="1"/>
  <c r="U315" i="1" s="1"/>
  <c r="Y315" i="1" s="1"/>
  <c r="M315" i="1"/>
  <c r="I315" i="1"/>
  <c r="K315" i="1" s="1"/>
  <c r="V314" i="1"/>
  <c r="S314" i="1"/>
  <c r="U314" i="1" s="1"/>
  <c r="Y314" i="1" s="1"/>
  <c r="M314" i="1"/>
  <c r="I314" i="1"/>
  <c r="K314" i="1" s="1"/>
  <c r="V313" i="1"/>
  <c r="S313" i="1"/>
  <c r="U313" i="1" s="1"/>
  <c r="Y313" i="1" s="1"/>
  <c r="M313" i="1"/>
  <c r="I313" i="1"/>
  <c r="K313" i="1" s="1"/>
  <c r="L313" i="1" s="1"/>
  <c r="V312" i="1"/>
  <c r="S312" i="1"/>
  <c r="U312" i="1" s="1"/>
  <c r="Y312" i="1" s="1"/>
  <c r="M312" i="1"/>
  <c r="I312" i="1"/>
  <c r="K312" i="1" s="1"/>
  <c r="V311" i="1"/>
  <c r="S311" i="1"/>
  <c r="U311" i="1" s="1"/>
  <c r="Y311" i="1" s="1"/>
  <c r="M311" i="1"/>
  <c r="I311" i="1"/>
  <c r="K311" i="1" s="1"/>
  <c r="V310" i="1"/>
  <c r="S310" i="1"/>
  <c r="U310" i="1" s="1"/>
  <c r="Y310" i="1" s="1"/>
  <c r="M310" i="1"/>
  <c r="I310" i="1"/>
  <c r="K310" i="1" s="1"/>
  <c r="V309" i="1"/>
  <c r="S309" i="1"/>
  <c r="U309" i="1" s="1"/>
  <c r="Y309" i="1" s="1"/>
  <c r="M309" i="1"/>
  <c r="I309" i="1"/>
  <c r="K309" i="1" s="1"/>
  <c r="L309" i="1" s="1"/>
  <c r="V308" i="1"/>
  <c r="S308" i="1"/>
  <c r="U308" i="1" s="1"/>
  <c r="Y308" i="1" s="1"/>
  <c r="M308" i="1"/>
  <c r="I308" i="1"/>
  <c r="K308" i="1" s="1"/>
  <c r="V307" i="1"/>
  <c r="S307" i="1"/>
  <c r="U307" i="1" s="1"/>
  <c r="Y307" i="1" s="1"/>
  <c r="M307" i="1"/>
  <c r="I307" i="1"/>
  <c r="K307" i="1" s="1"/>
  <c r="V306" i="1"/>
  <c r="S306" i="1"/>
  <c r="U306" i="1" s="1"/>
  <c r="Y306" i="1" s="1"/>
  <c r="M306" i="1"/>
  <c r="I306" i="1"/>
  <c r="K306" i="1" s="1"/>
  <c r="V305" i="1"/>
  <c r="S305" i="1"/>
  <c r="U305" i="1" s="1"/>
  <c r="Y305" i="1" s="1"/>
  <c r="M305" i="1"/>
  <c r="I305" i="1"/>
  <c r="K305" i="1" s="1"/>
  <c r="L305" i="1" s="1"/>
  <c r="V304" i="1"/>
  <c r="S304" i="1"/>
  <c r="U304" i="1" s="1"/>
  <c r="Y304" i="1" s="1"/>
  <c r="M304" i="1"/>
  <c r="I304" i="1"/>
  <c r="K304" i="1" s="1"/>
  <c r="V303" i="1"/>
  <c r="S303" i="1"/>
  <c r="U303" i="1" s="1"/>
  <c r="Y303" i="1" s="1"/>
  <c r="M303" i="1"/>
  <c r="I303" i="1"/>
  <c r="K303" i="1" s="1"/>
  <c r="V302" i="1"/>
  <c r="S302" i="1"/>
  <c r="U302" i="1" s="1"/>
  <c r="Y302" i="1" s="1"/>
  <c r="M302" i="1"/>
  <c r="I302" i="1"/>
  <c r="K302" i="1" s="1"/>
  <c r="V301" i="1"/>
  <c r="S301" i="1"/>
  <c r="U301" i="1" s="1"/>
  <c r="Y301" i="1" s="1"/>
  <c r="M301" i="1"/>
  <c r="I301" i="1"/>
  <c r="K301" i="1" s="1"/>
  <c r="L301" i="1" s="1"/>
  <c r="V300" i="1"/>
  <c r="S300" i="1"/>
  <c r="U300" i="1" s="1"/>
  <c r="Y300" i="1" s="1"/>
  <c r="M300" i="1"/>
  <c r="I300" i="1"/>
  <c r="K300" i="1" s="1"/>
  <c r="O300" i="1" s="1"/>
  <c r="V299" i="1"/>
  <c r="S299" i="1"/>
  <c r="U299" i="1" s="1"/>
  <c r="Y299" i="1" s="1"/>
  <c r="M299" i="1"/>
  <c r="I299" i="1"/>
  <c r="K299" i="1" s="1"/>
  <c r="V298" i="1"/>
  <c r="S298" i="1"/>
  <c r="U298" i="1" s="1"/>
  <c r="Y298" i="1" s="1"/>
  <c r="M298" i="1"/>
  <c r="I298" i="1"/>
  <c r="K298" i="1" s="1"/>
  <c r="L298" i="1" s="1"/>
  <c r="V297" i="1"/>
  <c r="S297" i="1"/>
  <c r="U297" i="1" s="1"/>
  <c r="Y297" i="1" s="1"/>
  <c r="M297" i="1"/>
  <c r="I297" i="1"/>
  <c r="K297" i="1" s="1"/>
  <c r="V296" i="1"/>
  <c r="S296" i="1"/>
  <c r="U296" i="1" s="1"/>
  <c r="Y296" i="1" s="1"/>
  <c r="M296" i="1"/>
  <c r="I296" i="1"/>
  <c r="K296" i="1" s="1"/>
  <c r="V295" i="1"/>
  <c r="S295" i="1"/>
  <c r="U295" i="1" s="1"/>
  <c r="Y295" i="1" s="1"/>
  <c r="M295" i="1"/>
  <c r="I295" i="1"/>
  <c r="K295" i="1" s="1"/>
  <c r="V294" i="1"/>
  <c r="S294" i="1"/>
  <c r="U294" i="1" s="1"/>
  <c r="Y294" i="1" s="1"/>
  <c r="M294" i="1"/>
  <c r="I294" i="1"/>
  <c r="K294" i="1" s="1"/>
  <c r="L294" i="1" s="1"/>
  <c r="V293" i="1"/>
  <c r="S293" i="1"/>
  <c r="U293" i="1" s="1"/>
  <c r="Y293" i="1" s="1"/>
  <c r="M293" i="1"/>
  <c r="I293" i="1"/>
  <c r="K293" i="1" s="1"/>
  <c r="V292" i="1"/>
  <c r="S292" i="1"/>
  <c r="U292" i="1" s="1"/>
  <c r="Y292" i="1" s="1"/>
  <c r="M292" i="1"/>
  <c r="I292" i="1"/>
  <c r="K292" i="1" s="1"/>
  <c r="V291" i="1"/>
  <c r="S291" i="1"/>
  <c r="U291" i="1" s="1"/>
  <c r="Y291" i="1" s="1"/>
  <c r="M291" i="1"/>
  <c r="I291" i="1"/>
  <c r="K291" i="1" s="1"/>
  <c r="L291" i="1" s="1"/>
  <c r="V290" i="1"/>
  <c r="S290" i="1"/>
  <c r="U290" i="1" s="1"/>
  <c r="Y290" i="1" s="1"/>
  <c r="M290" i="1"/>
  <c r="I290" i="1"/>
  <c r="K290" i="1" s="1"/>
  <c r="L290" i="1" s="1"/>
  <c r="V289" i="1"/>
  <c r="S289" i="1"/>
  <c r="U289" i="1" s="1"/>
  <c r="Y289" i="1" s="1"/>
  <c r="M289" i="1"/>
  <c r="I289" i="1"/>
  <c r="K289" i="1" s="1"/>
  <c r="L289" i="1" s="1"/>
  <c r="V288" i="1"/>
  <c r="S288" i="1"/>
  <c r="U288" i="1" s="1"/>
  <c r="Y288" i="1" s="1"/>
  <c r="M288" i="1"/>
  <c r="I288" i="1"/>
  <c r="K288" i="1" s="1"/>
  <c r="V287" i="1"/>
  <c r="S287" i="1"/>
  <c r="U287" i="1" s="1"/>
  <c r="Y287" i="1" s="1"/>
  <c r="M287" i="1"/>
  <c r="I287" i="1"/>
  <c r="K287" i="1" s="1"/>
  <c r="V286" i="1"/>
  <c r="S286" i="1"/>
  <c r="U286" i="1" s="1"/>
  <c r="Y286" i="1" s="1"/>
  <c r="M286" i="1"/>
  <c r="I286" i="1"/>
  <c r="K286" i="1" s="1"/>
  <c r="V285" i="1"/>
  <c r="S285" i="1"/>
  <c r="U285" i="1" s="1"/>
  <c r="Y285" i="1" s="1"/>
  <c r="M285" i="1"/>
  <c r="I285" i="1"/>
  <c r="K285" i="1" s="1"/>
  <c r="L285" i="1" s="1"/>
  <c r="V284" i="1"/>
  <c r="S284" i="1"/>
  <c r="U284" i="1" s="1"/>
  <c r="Y284" i="1" s="1"/>
  <c r="M284" i="1"/>
  <c r="K284" i="1"/>
  <c r="L284" i="1" s="1"/>
  <c r="I284" i="1"/>
  <c r="V283" i="1"/>
  <c r="S283" i="1"/>
  <c r="U283" i="1" s="1"/>
  <c r="Y283" i="1" s="1"/>
  <c r="M283" i="1"/>
  <c r="I283" i="1"/>
  <c r="K283" i="1" s="1"/>
  <c r="V282" i="1"/>
  <c r="S282" i="1"/>
  <c r="U282" i="1" s="1"/>
  <c r="Y282" i="1" s="1"/>
  <c r="M282" i="1"/>
  <c r="I282" i="1"/>
  <c r="K282" i="1" s="1"/>
  <c r="L282" i="1" s="1"/>
  <c r="V281" i="1"/>
  <c r="S281" i="1"/>
  <c r="U281" i="1" s="1"/>
  <c r="Y281" i="1" s="1"/>
  <c r="M281" i="1"/>
  <c r="I281" i="1"/>
  <c r="K281" i="1" s="1"/>
  <c r="L281" i="1" s="1"/>
  <c r="V280" i="1"/>
  <c r="S280" i="1"/>
  <c r="U280" i="1" s="1"/>
  <c r="Y280" i="1" s="1"/>
  <c r="M280" i="1"/>
  <c r="I280" i="1"/>
  <c r="K280" i="1" s="1"/>
  <c r="V279" i="1"/>
  <c r="S279" i="1"/>
  <c r="U279" i="1" s="1"/>
  <c r="Y279" i="1" s="1"/>
  <c r="M279" i="1"/>
  <c r="I279" i="1"/>
  <c r="K279" i="1" s="1"/>
  <c r="V278" i="1"/>
  <c r="S278" i="1"/>
  <c r="U278" i="1" s="1"/>
  <c r="Y278" i="1" s="1"/>
  <c r="M278" i="1"/>
  <c r="I278" i="1"/>
  <c r="K278" i="1" s="1"/>
  <c r="V277" i="1"/>
  <c r="S277" i="1"/>
  <c r="U277" i="1" s="1"/>
  <c r="Y277" i="1" s="1"/>
  <c r="M277" i="1"/>
  <c r="I277" i="1"/>
  <c r="K277" i="1" s="1"/>
  <c r="V276" i="1"/>
  <c r="S276" i="1"/>
  <c r="U276" i="1" s="1"/>
  <c r="Y276" i="1" s="1"/>
  <c r="M276" i="1"/>
  <c r="I276" i="1"/>
  <c r="K276" i="1" s="1"/>
  <c r="V275" i="1"/>
  <c r="S275" i="1"/>
  <c r="U275" i="1" s="1"/>
  <c r="Y275" i="1" s="1"/>
  <c r="M275" i="1"/>
  <c r="I275" i="1"/>
  <c r="K275" i="1" s="1"/>
  <c r="V274" i="1"/>
  <c r="S274" i="1"/>
  <c r="U274" i="1" s="1"/>
  <c r="Y274" i="1" s="1"/>
  <c r="M274" i="1"/>
  <c r="I274" i="1"/>
  <c r="K274" i="1" s="1"/>
  <c r="L274" i="1" s="1"/>
  <c r="V273" i="1"/>
  <c r="S273" i="1"/>
  <c r="U273" i="1" s="1"/>
  <c r="Y273" i="1" s="1"/>
  <c r="M273" i="1"/>
  <c r="I273" i="1"/>
  <c r="K273" i="1" s="1"/>
  <c r="L273" i="1" s="1"/>
  <c r="V272" i="1"/>
  <c r="S272" i="1"/>
  <c r="U272" i="1" s="1"/>
  <c r="Y272" i="1" s="1"/>
  <c r="M272" i="1"/>
  <c r="I272" i="1"/>
  <c r="K272" i="1" s="1"/>
  <c r="L272" i="1" s="1"/>
  <c r="V271" i="1"/>
  <c r="S271" i="1"/>
  <c r="U271" i="1" s="1"/>
  <c r="Y271" i="1" s="1"/>
  <c r="M271" i="1"/>
  <c r="I271" i="1"/>
  <c r="K271" i="1" s="1"/>
  <c r="L271" i="1" s="1"/>
  <c r="V270" i="1"/>
  <c r="S270" i="1"/>
  <c r="U270" i="1" s="1"/>
  <c r="Y270" i="1" s="1"/>
  <c r="M270" i="1"/>
  <c r="I270" i="1"/>
  <c r="K270" i="1" s="1"/>
  <c r="L270" i="1" s="1"/>
  <c r="V269" i="1"/>
  <c r="S269" i="1"/>
  <c r="U269" i="1" s="1"/>
  <c r="Y269" i="1" s="1"/>
  <c r="M269" i="1"/>
  <c r="I269" i="1"/>
  <c r="K269" i="1" s="1"/>
  <c r="L269" i="1" s="1"/>
  <c r="V268" i="1"/>
  <c r="S268" i="1"/>
  <c r="U268" i="1" s="1"/>
  <c r="Y268" i="1" s="1"/>
  <c r="M268" i="1"/>
  <c r="I268" i="1"/>
  <c r="K268" i="1" s="1"/>
  <c r="V267" i="1"/>
  <c r="S267" i="1"/>
  <c r="U267" i="1" s="1"/>
  <c r="Y267" i="1" s="1"/>
  <c r="M267" i="1"/>
  <c r="I267" i="1"/>
  <c r="K267" i="1" s="1"/>
  <c r="V266" i="1"/>
  <c r="S266" i="1"/>
  <c r="U266" i="1" s="1"/>
  <c r="Y266" i="1" s="1"/>
  <c r="M266" i="1"/>
  <c r="I266" i="1"/>
  <c r="K266" i="1" s="1"/>
  <c r="V265" i="1"/>
  <c r="S265" i="1"/>
  <c r="U265" i="1" s="1"/>
  <c r="Y265" i="1" s="1"/>
  <c r="M265" i="1"/>
  <c r="I265" i="1"/>
  <c r="K265" i="1" s="1"/>
  <c r="V264" i="1"/>
  <c r="S264" i="1"/>
  <c r="U264" i="1" s="1"/>
  <c r="Y264" i="1" s="1"/>
  <c r="M264" i="1"/>
  <c r="I264" i="1"/>
  <c r="K264" i="1" s="1"/>
  <c r="V263" i="1"/>
  <c r="S263" i="1"/>
  <c r="U263" i="1" s="1"/>
  <c r="Y263" i="1" s="1"/>
  <c r="M263" i="1"/>
  <c r="I263" i="1"/>
  <c r="K263" i="1" s="1"/>
  <c r="O263" i="1" s="1"/>
  <c r="V262" i="1"/>
  <c r="S262" i="1"/>
  <c r="U262" i="1" s="1"/>
  <c r="Y262" i="1" s="1"/>
  <c r="M262" i="1"/>
  <c r="I262" i="1"/>
  <c r="K262" i="1" s="1"/>
  <c r="V261" i="1"/>
  <c r="S261" i="1"/>
  <c r="U261" i="1" s="1"/>
  <c r="Y261" i="1" s="1"/>
  <c r="M261" i="1"/>
  <c r="I261" i="1"/>
  <c r="K261" i="1" s="1"/>
  <c r="L261" i="1" s="1"/>
  <c r="V260" i="1"/>
  <c r="S260" i="1"/>
  <c r="U260" i="1" s="1"/>
  <c r="Y260" i="1" s="1"/>
  <c r="M260" i="1"/>
  <c r="I260" i="1"/>
  <c r="K260" i="1" s="1"/>
  <c r="V259" i="1"/>
  <c r="S259" i="1"/>
  <c r="U259" i="1" s="1"/>
  <c r="Y259" i="1" s="1"/>
  <c r="M259" i="1"/>
  <c r="I259" i="1"/>
  <c r="K259" i="1" s="1"/>
  <c r="V258" i="1"/>
  <c r="S258" i="1"/>
  <c r="U258" i="1" s="1"/>
  <c r="Y258" i="1" s="1"/>
  <c r="M258" i="1"/>
  <c r="I258" i="1"/>
  <c r="K258" i="1" s="1"/>
  <c r="L258" i="1" s="1"/>
  <c r="V257" i="1"/>
  <c r="S257" i="1"/>
  <c r="U257" i="1" s="1"/>
  <c r="Y257" i="1" s="1"/>
  <c r="M257" i="1"/>
  <c r="I257" i="1"/>
  <c r="K257" i="1" s="1"/>
  <c r="V256" i="1"/>
  <c r="S256" i="1"/>
  <c r="U256" i="1" s="1"/>
  <c r="Y256" i="1" s="1"/>
  <c r="M256" i="1"/>
  <c r="I256" i="1"/>
  <c r="K256" i="1" s="1"/>
  <c r="L256" i="1" s="1"/>
  <c r="V255" i="1"/>
  <c r="S255" i="1"/>
  <c r="U255" i="1" s="1"/>
  <c r="Y255" i="1" s="1"/>
  <c r="M255" i="1"/>
  <c r="I255" i="1"/>
  <c r="K255" i="1" s="1"/>
  <c r="V254" i="1"/>
  <c r="S254" i="1"/>
  <c r="U254" i="1" s="1"/>
  <c r="Y254" i="1" s="1"/>
  <c r="M254" i="1"/>
  <c r="I254" i="1"/>
  <c r="K254" i="1" s="1"/>
  <c r="L254" i="1" s="1"/>
  <c r="V253" i="1"/>
  <c r="S253" i="1"/>
  <c r="U253" i="1" s="1"/>
  <c r="Y253" i="1" s="1"/>
  <c r="M253" i="1"/>
  <c r="I253" i="1"/>
  <c r="K253" i="1" s="1"/>
  <c r="L253" i="1" s="1"/>
  <c r="V252" i="1"/>
  <c r="S252" i="1"/>
  <c r="U252" i="1" s="1"/>
  <c r="Y252" i="1" s="1"/>
  <c r="M252" i="1"/>
  <c r="I252" i="1"/>
  <c r="K252" i="1" s="1"/>
  <c r="V251" i="1"/>
  <c r="S251" i="1"/>
  <c r="U251" i="1" s="1"/>
  <c r="Y251" i="1" s="1"/>
  <c r="M251" i="1"/>
  <c r="I251" i="1"/>
  <c r="K251" i="1" s="1"/>
  <c r="O251" i="1" s="1"/>
  <c r="V250" i="1"/>
  <c r="S250" i="1"/>
  <c r="U250" i="1" s="1"/>
  <c r="Y250" i="1" s="1"/>
  <c r="M250" i="1"/>
  <c r="I250" i="1"/>
  <c r="K250" i="1" s="1"/>
  <c r="V249" i="1"/>
  <c r="S249" i="1"/>
  <c r="U249" i="1" s="1"/>
  <c r="Y249" i="1" s="1"/>
  <c r="M249" i="1"/>
  <c r="I249" i="1"/>
  <c r="K249" i="1" s="1"/>
  <c r="L249" i="1" s="1"/>
  <c r="V248" i="1"/>
  <c r="S248" i="1"/>
  <c r="U248" i="1" s="1"/>
  <c r="Y248" i="1" s="1"/>
  <c r="M248" i="1"/>
  <c r="I248" i="1"/>
  <c r="K248" i="1" s="1"/>
  <c r="L248" i="1" s="1"/>
  <c r="V247" i="1"/>
  <c r="S247" i="1"/>
  <c r="U247" i="1" s="1"/>
  <c r="Y247" i="1" s="1"/>
  <c r="M247" i="1"/>
  <c r="I247" i="1"/>
  <c r="K247" i="1" s="1"/>
  <c r="O247" i="1" s="1"/>
  <c r="V246" i="1"/>
  <c r="S246" i="1"/>
  <c r="U246" i="1" s="1"/>
  <c r="Y246" i="1" s="1"/>
  <c r="M246" i="1"/>
  <c r="I246" i="1"/>
  <c r="K246" i="1" s="1"/>
  <c r="L246" i="1" s="1"/>
  <c r="V245" i="1"/>
  <c r="S245" i="1"/>
  <c r="U245" i="1" s="1"/>
  <c r="Y245" i="1" s="1"/>
  <c r="M245" i="1"/>
  <c r="I245" i="1"/>
  <c r="K245" i="1" s="1"/>
  <c r="L245" i="1" s="1"/>
  <c r="V244" i="1"/>
  <c r="S244" i="1"/>
  <c r="U244" i="1" s="1"/>
  <c r="Y244" i="1" s="1"/>
  <c r="M244" i="1"/>
  <c r="I244" i="1"/>
  <c r="K244" i="1" s="1"/>
  <c r="L244" i="1" s="1"/>
  <c r="V243" i="1"/>
  <c r="S243" i="1"/>
  <c r="U243" i="1" s="1"/>
  <c r="Y243" i="1" s="1"/>
  <c r="M243" i="1"/>
  <c r="K243" i="1"/>
  <c r="O243" i="1" s="1"/>
  <c r="I243" i="1"/>
  <c r="V242" i="1"/>
  <c r="S242" i="1"/>
  <c r="U242" i="1" s="1"/>
  <c r="Y242" i="1" s="1"/>
  <c r="M242" i="1"/>
  <c r="I242" i="1"/>
  <c r="K242" i="1" s="1"/>
  <c r="V241" i="1"/>
  <c r="S241" i="1"/>
  <c r="U241" i="1" s="1"/>
  <c r="Y241" i="1" s="1"/>
  <c r="M241" i="1"/>
  <c r="I241" i="1"/>
  <c r="K241" i="1" s="1"/>
  <c r="L241" i="1" s="1"/>
  <c r="V240" i="1"/>
  <c r="S240" i="1"/>
  <c r="U240" i="1" s="1"/>
  <c r="Y240" i="1" s="1"/>
  <c r="M240" i="1"/>
  <c r="I240" i="1"/>
  <c r="K240" i="1" s="1"/>
  <c r="L240" i="1" s="1"/>
  <c r="V239" i="1"/>
  <c r="S239" i="1"/>
  <c r="U239" i="1" s="1"/>
  <c r="Y239" i="1" s="1"/>
  <c r="M239" i="1"/>
  <c r="I239" i="1"/>
  <c r="K239" i="1" s="1"/>
  <c r="V238" i="1"/>
  <c r="S238" i="1"/>
  <c r="U238" i="1" s="1"/>
  <c r="Y238" i="1" s="1"/>
  <c r="M238" i="1"/>
  <c r="I238" i="1"/>
  <c r="K238" i="1" s="1"/>
  <c r="L238" i="1" s="1"/>
  <c r="V237" i="1"/>
  <c r="S237" i="1"/>
  <c r="U237" i="1" s="1"/>
  <c r="Y237" i="1" s="1"/>
  <c r="M237" i="1"/>
  <c r="I237" i="1"/>
  <c r="K237" i="1" s="1"/>
  <c r="V236" i="1"/>
  <c r="S236" i="1"/>
  <c r="U236" i="1" s="1"/>
  <c r="Y236" i="1" s="1"/>
  <c r="M236" i="1"/>
  <c r="I236" i="1"/>
  <c r="K236" i="1" s="1"/>
  <c r="L236" i="1" s="1"/>
  <c r="V235" i="1"/>
  <c r="S235" i="1"/>
  <c r="U235" i="1" s="1"/>
  <c r="Y235" i="1" s="1"/>
  <c r="M235" i="1"/>
  <c r="I235" i="1"/>
  <c r="K235" i="1" s="1"/>
  <c r="L235" i="1" s="1"/>
  <c r="V234" i="1"/>
  <c r="S234" i="1"/>
  <c r="U234" i="1" s="1"/>
  <c r="Y234" i="1" s="1"/>
  <c r="M234" i="1"/>
  <c r="I234" i="1"/>
  <c r="K234" i="1" s="1"/>
  <c r="O234" i="1" s="1"/>
  <c r="V233" i="1"/>
  <c r="S233" i="1"/>
  <c r="U233" i="1" s="1"/>
  <c r="Y233" i="1" s="1"/>
  <c r="M233" i="1"/>
  <c r="I233" i="1"/>
  <c r="K233" i="1" s="1"/>
  <c r="L233" i="1" s="1"/>
  <c r="V232" i="1"/>
  <c r="S232" i="1"/>
  <c r="U232" i="1" s="1"/>
  <c r="Y232" i="1" s="1"/>
  <c r="M232" i="1"/>
  <c r="I232" i="1"/>
  <c r="K232" i="1" s="1"/>
  <c r="V231" i="1"/>
  <c r="S231" i="1"/>
  <c r="U231" i="1" s="1"/>
  <c r="Y231" i="1" s="1"/>
  <c r="M231" i="1"/>
  <c r="I231" i="1"/>
  <c r="K231" i="1" s="1"/>
  <c r="L231" i="1" s="1"/>
  <c r="V230" i="1"/>
  <c r="S230" i="1"/>
  <c r="U230" i="1" s="1"/>
  <c r="Y230" i="1" s="1"/>
  <c r="M230" i="1"/>
  <c r="I230" i="1"/>
  <c r="K230" i="1" s="1"/>
  <c r="O230" i="1" s="1"/>
  <c r="V229" i="1"/>
  <c r="S229" i="1"/>
  <c r="U229" i="1" s="1"/>
  <c r="Y229" i="1" s="1"/>
  <c r="M229" i="1"/>
  <c r="I229" i="1"/>
  <c r="K229" i="1" s="1"/>
  <c r="V228" i="1"/>
  <c r="S228" i="1"/>
  <c r="U228" i="1" s="1"/>
  <c r="Y228" i="1" s="1"/>
  <c r="M228" i="1"/>
  <c r="I228" i="1"/>
  <c r="K228" i="1" s="1"/>
  <c r="O228" i="1" s="1"/>
  <c r="V227" i="1"/>
  <c r="S227" i="1"/>
  <c r="U227" i="1" s="1"/>
  <c r="Y227" i="1" s="1"/>
  <c r="M227" i="1"/>
  <c r="I227" i="1"/>
  <c r="K227" i="1" s="1"/>
  <c r="V226" i="1"/>
  <c r="S226" i="1"/>
  <c r="U226" i="1" s="1"/>
  <c r="Y226" i="1" s="1"/>
  <c r="M226" i="1"/>
  <c r="I226" i="1"/>
  <c r="K226" i="1" s="1"/>
  <c r="L226" i="1" s="1"/>
  <c r="V225" i="1"/>
  <c r="S225" i="1"/>
  <c r="U225" i="1" s="1"/>
  <c r="Y225" i="1" s="1"/>
  <c r="M225" i="1"/>
  <c r="I225" i="1"/>
  <c r="K225" i="1" s="1"/>
  <c r="L225" i="1" s="1"/>
  <c r="V224" i="1"/>
  <c r="S224" i="1"/>
  <c r="U224" i="1" s="1"/>
  <c r="Y224" i="1" s="1"/>
  <c r="M224" i="1"/>
  <c r="I224" i="1"/>
  <c r="K224" i="1" s="1"/>
  <c r="V223" i="1"/>
  <c r="S223" i="1"/>
  <c r="U223" i="1" s="1"/>
  <c r="Y223" i="1" s="1"/>
  <c r="M223" i="1"/>
  <c r="I223" i="1"/>
  <c r="K223" i="1" s="1"/>
  <c r="V222" i="1"/>
  <c r="S222" i="1"/>
  <c r="U222" i="1" s="1"/>
  <c r="Y222" i="1" s="1"/>
  <c r="M222" i="1"/>
  <c r="I222" i="1"/>
  <c r="K222" i="1" s="1"/>
  <c r="L222" i="1" s="1"/>
  <c r="V221" i="1"/>
  <c r="S221" i="1"/>
  <c r="U221" i="1" s="1"/>
  <c r="Y221" i="1" s="1"/>
  <c r="M221" i="1"/>
  <c r="I221" i="1"/>
  <c r="K221" i="1" s="1"/>
  <c r="V220" i="1"/>
  <c r="S220" i="1"/>
  <c r="U220" i="1" s="1"/>
  <c r="Y220" i="1" s="1"/>
  <c r="M220" i="1"/>
  <c r="I220" i="1"/>
  <c r="K220" i="1" s="1"/>
  <c r="L220" i="1" s="1"/>
  <c r="V219" i="1"/>
  <c r="S219" i="1"/>
  <c r="U219" i="1" s="1"/>
  <c r="Y219" i="1" s="1"/>
  <c r="M219" i="1"/>
  <c r="I219" i="1"/>
  <c r="K219" i="1" s="1"/>
  <c r="L219" i="1" s="1"/>
  <c r="V218" i="1"/>
  <c r="S218" i="1"/>
  <c r="U218" i="1" s="1"/>
  <c r="Y218" i="1" s="1"/>
  <c r="M218" i="1"/>
  <c r="I218" i="1"/>
  <c r="K218" i="1" s="1"/>
  <c r="V217" i="1"/>
  <c r="S217" i="1"/>
  <c r="U217" i="1" s="1"/>
  <c r="Y217" i="1" s="1"/>
  <c r="M217" i="1"/>
  <c r="I217" i="1"/>
  <c r="K217" i="1" s="1"/>
  <c r="V216" i="1"/>
  <c r="S216" i="1"/>
  <c r="U216" i="1" s="1"/>
  <c r="Y216" i="1" s="1"/>
  <c r="M216" i="1"/>
  <c r="I216" i="1"/>
  <c r="K216" i="1" s="1"/>
  <c r="V215" i="1"/>
  <c r="S215" i="1"/>
  <c r="U215" i="1" s="1"/>
  <c r="Y215" i="1" s="1"/>
  <c r="M215" i="1"/>
  <c r="I215" i="1"/>
  <c r="K215" i="1" s="1"/>
  <c r="V214" i="1"/>
  <c r="S214" i="1"/>
  <c r="U214" i="1" s="1"/>
  <c r="Y214" i="1" s="1"/>
  <c r="M214" i="1"/>
  <c r="I214" i="1"/>
  <c r="K214" i="1" s="1"/>
  <c r="L214" i="1" s="1"/>
  <c r="V213" i="1"/>
  <c r="S213" i="1"/>
  <c r="U213" i="1" s="1"/>
  <c r="Y213" i="1" s="1"/>
  <c r="M213" i="1"/>
  <c r="I213" i="1"/>
  <c r="K213" i="1" s="1"/>
  <c r="V212" i="1"/>
  <c r="S212" i="1"/>
  <c r="U212" i="1" s="1"/>
  <c r="Y212" i="1" s="1"/>
  <c r="M212" i="1"/>
  <c r="I212" i="1"/>
  <c r="K212" i="1" s="1"/>
  <c r="V211" i="1"/>
  <c r="S211" i="1"/>
  <c r="U211" i="1" s="1"/>
  <c r="Y211" i="1" s="1"/>
  <c r="M211" i="1"/>
  <c r="I211" i="1"/>
  <c r="K211" i="1" s="1"/>
  <c r="V210" i="1"/>
  <c r="S210" i="1"/>
  <c r="U210" i="1" s="1"/>
  <c r="Y210" i="1" s="1"/>
  <c r="M210" i="1"/>
  <c r="I210" i="1"/>
  <c r="K210" i="1" s="1"/>
  <c r="L210" i="1" s="1"/>
  <c r="V209" i="1"/>
  <c r="S209" i="1"/>
  <c r="U209" i="1" s="1"/>
  <c r="Y209" i="1" s="1"/>
  <c r="M209" i="1"/>
  <c r="I209" i="1"/>
  <c r="K209" i="1" s="1"/>
  <c r="V208" i="1"/>
  <c r="S208" i="1"/>
  <c r="U208" i="1" s="1"/>
  <c r="Y208" i="1" s="1"/>
  <c r="M208" i="1"/>
  <c r="I208" i="1"/>
  <c r="K208" i="1" s="1"/>
  <c r="V207" i="1"/>
  <c r="S207" i="1"/>
  <c r="U207" i="1" s="1"/>
  <c r="Y207" i="1" s="1"/>
  <c r="M207" i="1"/>
  <c r="I207" i="1"/>
  <c r="K207" i="1" s="1"/>
  <c r="V206" i="1"/>
  <c r="S206" i="1"/>
  <c r="U206" i="1" s="1"/>
  <c r="Y206" i="1" s="1"/>
  <c r="M206" i="1"/>
  <c r="I206" i="1"/>
  <c r="K206" i="1" s="1"/>
  <c r="L206" i="1" s="1"/>
  <c r="V205" i="1"/>
  <c r="S205" i="1"/>
  <c r="U205" i="1" s="1"/>
  <c r="Y205" i="1" s="1"/>
  <c r="M205" i="1"/>
  <c r="I205" i="1"/>
  <c r="K205" i="1" s="1"/>
  <c r="V204" i="1"/>
  <c r="S204" i="1"/>
  <c r="U204" i="1" s="1"/>
  <c r="Y204" i="1" s="1"/>
  <c r="M204" i="1"/>
  <c r="I204" i="1"/>
  <c r="K204" i="1" s="1"/>
  <c r="V203" i="1"/>
  <c r="S203" i="1"/>
  <c r="U203" i="1" s="1"/>
  <c r="Y203" i="1" s="1"/>
  <c r="M203" i="1"/>
  <c r="I203" i="1"/>
  <c r="K203" i="1" s="1"/>
  <c r="V202" i="1"/>
  <c r="S202" i="1"/>
  <c r="U202" i="1" s="1"/>
  <c r="Y202" i="1" s="1"/>
  <c r="M202" i="1"/>
  <c r="I202" i="1"/>
  <c r="K202" i="1" s="1"/>
  <c r="L202" i="1" s="1"/>
  <c r="V201" i="1"/>
  <c r="S201" i="1"/>
  <c r="U201" i="1" s="1"/>
  <c r="Y201" i="1" s="1"/>
  <c r="M201" i="1"/>
  <c r="I201" i="1"/>
  <c r="K201" i="1" s="1"/>
  <c r="V200" i="1"/>
  <c r="S200" i="1"/>
  <c r="U200" i="1" s="1"/>
  <c r="Y200" i="1" s="1"/>
  <c r="M200" i="1"/>
  <c r="I200" i="1"/>
  <c r="K200" i="1" s="1"/>
  <c r="V199" i="1"/>
  <c r="S199" i="1"/>
  <c r="U199" i="1" s="1"/>
  <c r="Y199" i="1" s="1"/>
  <c r="M199" i="1"/>
  <c r="I199" i="1"/>
  <c r="K199" i="1" s="1"/>
  <c r="L199" i="1" s="1"/>
  <c r="V198" i="1"/>
  <c r="S198" i="1"/>
  <c r="U198" i="1" s="1"/>
  <c r="Y198" i="1" s="1"/>
  <c r="M198" i="1"/>
  <c r="I198" i="1"/>
  <c r="K198" i="1" s="1"/>
  <c r="V197" i="1"/>
  <c r="S197" i="1"/>
  <c r="U197" i="1" s="1"/>
  <c r="Y197" i="1" s="1"/>
  <c r="M197" i="1"/>
  <c r="I197" i="1"/>
  <c r="K197" i="1" s="1"/>
  <c r="L197" i="1" s="1"/>
  <c r="V196" i="1"/>
  <c r="S196" i="1"/>
  <c r="U196" i="1" s="1"/>
  <c r="Y196" i="1" s="1"/>
  <c r="M196" i="1"/>
  <c r="I196" i="1"/>
  <c r="K196" i="1" s="1"/>
  <c r="V195" i="1"/>
  <c r="S195" i="1"/>
  <c r="U195" i="1" s="1"/>
  <c r="Y195" i="1" s="1"/>
  <c r="M195" i="1"/>
  <c r="I195" i="1"/>
  <c r="K195" i="1" s="1"/>
  <c r="L195" i="1" s="1"/>
  <c r="V194" i="1"/>
  <c r="S194" i="1"/>
  <c r="U194" i="1" s="1"/>
  <c r="Y194" i="1" s="1"/>
  <c r="M194" i="1"/>
  <c r="I194" i="1"/>
  <c r="K194" i="1" s="1"/>
  <c r="V193" i="1"/>
  <c r="S193" i="1"/>
  <c r="U193" i="1" s="1"/>
  <c r="Y193" i="1" s="1"/>
  <c r="M193" i="1"/>
  <c r="I193" i="1"/>
  <c r="K193" i="1" s="1"/>
  <c r="V192" i="1"/>
  <c r="S192" i="1"/>
  <c r="U192" i="1" s="1"/>
  <c r="Y192" i="1" s="1"/>
  <c r="M192" i="1"/>
  <c r="I192" i="1"/>
  <c r="K192" i="1" s="1"/>
  <c r="O192" i="1" s="1"/>
  <c r="P192" i="1" s="1"/>
  <c r="V191" i="1"/>
  <c r="S191" i="1"/>
  <c r="U191" i="1" s="1"/>
  <c r="Y191" i="1" s="1"/>
  <c r="M191" i="1"/>
  <c r="I191" i="1"/>
  <c r="K191" i="1" s="1"/>
  <c r="L191" i="1" s="1"/>
  <c r="V190" i="1"/>
  <c r="S190" i="1"/>
  <c r="U190" i="1" s="1"/>
  <c r="Y190" i="1" s="1"/>
  <c r="M190" i="1"/>
  <c r="I190" i="1"/>
  <c r="K190" i="1" s="1"/>
  <c r="V189" i="1"/>
  <c r="S189" i="1"/>
  <c r="U189" i="1" s="1"/>
  <c r="Y189" i="1" s="1"/>
  <c r="M189" i="1"/>
  <c r="I189" i="1"/>
  <c r="K189" i="1" s="1"/>
  <c r="V188" i="1"/>
  <c r="S188" i="1"/>
  <c r="U188" i="1" s="1"/>
  <c r="Y188" i="1" s="1"/>
  <c r="M188" i="1"/>
  <c r="I188" i="1"/>
  <c r="K188" i="1" s="1"/>
  <c r="V187" i="1"/>
  <c r="S187" i="1"/>
  <c r="U187" i="1" s="1"/>
  <c r="Y187" i="1" s="1"/>
  <c r="M187" i="1"/>
  <c r="I187" i="1"/>
  <c r="K187" i="1" s="1"/>
  <c r="L187" i="1" s="1"/>
  <c r="V186" i="1"/>
  <c r="S186" i="1"/>
  <c r="U186" i="1" s="1"/>
  <c r="Y186" i="1" s="1"/>
  <c r="M186" i="1"/>
  <c r="K186" i="1"/>
  <c r="I186" i="1"/>
  <c r="V185" i="1"/>
  <c r="S185" i="1"/>
  <c r="U185" i="1" s="1"/>
  <c r="Y185" i="1" s="1"/>
  <c r="M185" i="1"/>
  <c r="I185" i="1"/>
  <c r="K185" i="1" s="1"/>
  <c r="L185" i="1" s="1"/>
  <c r="V184" i="1"/>
  <c r="S184" i="1"/>
  <c r="U184" i="1" s="1"/>
  <c r="Y184" i="1" s="1"/>
  <c r="M184" i="1"/>
  <c r="I184" i="1"/>
  <c r="K184" i="1" s="1"/>
  <c r="V183" i="1"/>
  <c r="S183" i="1"/>
  <c r="U183" i="1" s="1"/>
  <c r="Y183" i="1" s="1"/>
  <c r="M183" i="1"/>
  <c r="I183" i="1"/>
  <c r="K183" i="1" s="1"/>
  <c r="V182" i="1"/>
  <c r="S182" i="1"/>
  <c r="U182" i="1" s="1"/>
  <c r="Y182" i="1" s="1"/>
  <c r="M182" i="1"/>
  <c r="I182" i="1"/>
  <c r="K182" i="1" s="1"/>
  <c r="V181" i="1"/>
  <c r="S181" i="1"/>
  <c r="U181" i="1" s="1"/>
  <c r="Y181" i="1" s="1"/>
  <c r="M181" i="1"/>
  <c r="I181" i="1"/>
  <c r="K181" i="1" s="1"/>
  <c r="L181" i="1" s="1"/>
  <c r="V180" i="1"/>
  <c r="S180" i="1"/>
  <c r="U180" i="1" s="1"/>
  <c r="Y180" i="1" s="1"/>
  <c r="M180" i="1"/>
  <c r="I180" i="1"/>
  <c r="K180" i="1" s="1"/>
  <c r="V179" i="1"/>
  <c r="S179" i="1"/>
  <c r="U179" i="1" s="1"/>
  <c r="Y179" i="1" s="1"/>
  <c r="M179" i="1"/>
  <c r="I179" i="1"/>
  <c r="K179" i="1" s="1"/>
  <c r="V178" i="1"/>
  <c r="S178" i="1"/>
  <c r="U178" i="1" s="1"/>
  <c r="Y178" i="1" s="1"/>
  <c r="M178" i="1"/>
  <c r="I178" i="1"/>
  <c r="K178" i="1" s="1"/>
  <c r="V177" i="1"/>
  <c r="S177" i="1"/>
  <c r="U177" i="1" s="1"/>
  <c r="Y177" i="1" s="1"/>
  <c r="M177" i="1"/>
  <c r="I177" i="1"/>
  <c r="K177" i="1" s="1"/>
  <c r="V176" i="1"/>
  <c r="S176" i="1"/>
  <c r="U176" i="1" s="1"/>
  <c r="Y176" i="1" s="1"/>
  <c r="M176" i="1"/>
  <c r="I176" i="1"/>
  <c r="K176" i="1" s="1"/>
  <c r="V175" i="1"/>
  <c r="S175" i="1"/>
  <c r="U175" i="1" s="1"/>
  <c r="Y175" i="1" s="1"/>
  <c r="M175" i="1"/>
  <c r="I175" i="1"/>
  <c r="K175" i="1" s="1"/>
  <c r="V174" i="1"/>
  <c r="S174" i="1"/>
  <c r="U174" i="1" s="1"/>
  <c r="Y174" i="1" s="1"/>
  <c r="M174" i="1"/>
  <c r="I174" i="1"/>
  <c r="K174" i="1" s="1"/>
  <c r="V173" i="1"/>
  <c r="S173" i="1"/>
  <c r="U173" i="1" s="1"/>
  <c r="Y173" i="1" s="1"/>
  <c r="M173" i="1"/>
  <c r="I173" i="1"/>
  <c r="K173" i="1" s="1"/>
  <c r="L173" i="1" s="1"/>
  <c r="V172" i="1"/>
  <c r="S172" i="1"/>
  <c r="U172" i="1" s="1"/>
  <c r="Y172" i="1" s="1"/>
  <c r="M172" i="1"/>
  <c r="I172" i="1"/>
  <c r="K172" i="1" s="1"/>
  <c r="V171" i="1"/>
  <c r="S171" i="1"/>
  <c r="U171" i="1" s="1"/>
  <c r="Y171" i="1" s="1"/>
  <c r="M171" i="1"/>
  <c r="I171" i="1"/>
  <c r="K171" i="1" s="1"/>
  <c r="V170" i="1"/>
  <c r="S170" i="1"/>
  <c r="U170" i="1" s="1"/>
  <c r="Y170" i="1" s="1"/>
  <c r="M170" i="1"/>
  <c r="I170" i="1"/>
  <c r="K170" i="1" s="1"/>
  <c r="V169" i="1"/>
  <c r="S169" i="1"/>
  <c r="U169" i="1" s="1"/>
  <c r="Y169" i="1" s="1"/>
  <c r="M169" i="1"/>
  <c r="I169" i="1"/>
  <c r="K169" i="1" s="1"/>
  <c r="L169" i="1" s="1"/>
  <c r="V168" i="1"/>
  <c r="S168" i="1"/>
  <c r="U168" i="1" s="1"/>
  <c r="Y168" i="1" s="1"/>
  <c r="M168" i="1"/>
  <c r="I168" i="1"/>
  <c r="K168" i="1" s="1"/>
  <c r="L168" i="1" s="1"/>
  <c r="V167" i="1"/>
  <c r="S167" i="1"/>
  <c r="U167" i="1" s="1"/>
  <c r="Y167" i="1" s="1"/>
  <c r="M167" i="1"/>
  <c r="I167" i="1"/>
  <c r="K167" i="1" s="1"/>
  <c r="O167" i="1" s="1"/>
  <c r="V166" i="1"/>
  <c r="S166" i="1"/>
  <c r="U166" i="1" s="1"/>
  <c r="Y166" i="1" s="1"/>
  <c r="M166" i="1"/>
  <c r="I166" i="1"/>
  <c r="K166" i="1" s="1"/>
  <c r="V165" i="1"/>
  <c r="S165" i="1"/>
  <c r="U165" i="1" s="1"/>
  <c r="Y165" i="1" s="1"/>
  <c r="M165" i="1"/>
  <c r="I165" i="1"/>
  <c r="K165" i="1" s="1"/>
  <c r="V164" i="1"/>
  <c r="S164" i="1"/>
  <c r="U164" i="1" s="1"/>
  <c r="Y164" i="1" s="1"/>
  <c r="M164" i="1"/>
  <c r="I164" i="1"/>
  <c r="K164" i="1" s="1"/>
  <c r="V163" i="1"/>
  <c r="S163" i="1"/>
  <c r="U163" i="1" s="1"/>
  <c r="Y163" i="1" s="1"/>
  <c r="M163" i="1"/>
  <c r="I163" i="1"/>
  <c r="K163" i="1" s="1"/>
  <c r="V162" i="1"/>
  <c r="S162" i="1"/>
  <c r="U162" i="1" s="1"/>
  <c r="Y162" i="1" s="1"/>
  <c r="M162" i="1"/>
  <c r="I162" i="1"/>
  <c r="K162" i="1" s="1"/>
  <c r="V161" i="1"/>
  <c r="S161" i="1"/>
  <c r="U161" i="1" s="1"/>
  <c r="Y161" i="1" s="1"/>
  <c r="M161" i="1"/>
  <c r="I161" i="1"/>
  <c r="K161" i="1" s="1"/>
  <c r="V160" i="1"/>
  <c r="S160" i="1"/>
  <c r="U160" i="1" s="1"/>
  <c r="Y160" i="1" s="1"/>
  <c r="M160" i="1"/>
  <c r="I160" i="1"/>
  <c r="K160" i="1" s="1"/>
  <c r="V159" i="1"/>
  <c r="S159" i="1"/>
  <c r="U159" i="1" s="1"/>
  <c r="Y159" i="1" s="1"/>
  <c r="M159" i="1"/>
  <c r="I159" i="1"/>
  <c r="K159" i="1" s="1"/>
  <c r="O159" i="1" s="1"/>
  <c r="V158" i="1"/>
  <c r="S158" i="1"/>
  <c r="U158" i="1" s="1"/>
  <c r="Y158" i="1" s="1"/>
  <c r="M158" i="1"/>
  <c r="I158" i="1"/>
  <c r="K158" i="1" s="1"/>
  <c r="V157" i="1"/>
  <c r="S157" i="1"/>
  <c r="U157" i="1" s="1"/>
  <c r="Y157" i="1" s="1"/>
  <c r="M157" i="1"/>
  <c r="I157" i="1"/>
  <c r="K157" i="1" s="1"/>
  <c r="V156" i="1"/>
  <c r="S156" i="1"/>
  <c r="U156" i="1" s="1"/>
  <c r="Y156" i="1" s="1"/>
  <c r="M156" i="1"/>
  <c r="I156" i="1"/>
  <c r="K156" i="1" s="1"/>
  <c r="V155" i="1"/>
  <c r="S155" i="1"/>
  <c r="U155" i="1" s="1"/>
  <c r="Y155" i="1" s="1"/>
  <c r="M155" i="1"/>
  <c r="I155" i="1"/>
  <c r="K155" i="1" s="1"/>
  <c r="V154" i="1"/>
  <c r="S154" i="1"/>
  <c r="U154" i="1" s="1"/>
  <c r="Y154" i="1" s="1"/>
  <c r="M154" i="1"/>
  <c r="I154" i="1"/>
  <c r="K154" i="1" s="1"/>
  <c r="V153" i="1"/>
  <c r="S153" i="1"/>
  <c r="U153" i="1" s="1"/>
  <c r="Y153" i="1" s="1"/>
  <c r="M153" i="1"/>
  <c r="I153" i="1"/>
  <c r="K153" i="1" s="1"/>
  <c r="V152" i="1"/>
  <c r="S152" i="1"/>
  <c r="U152" i="1" s="1"/>
  <c r="Y152" i="1" s="1"/>
  <c r="M152" i="1"/>
  <c r="I152" i="1"/>
  <c r="K152" i="1" s="1"/>
  <c r="L152" i="1" s="1"/>
  <c r="V151" i="1"/>
  <c r="S151" i="1"/>
  <c r="U151" i="1" s="1"/>
  <c r="Y151" i="1" s="1"/>
  <c r="M151" i="1"/>
  <c r="I151" i="1"/>
  <c r="K151" i="1" s="1"/>
  <c r="V150" i="1"/>
  <c r="S150" i="1"/>
  <c r="U150" i="1" s="1"/>
  <c r="Y150" i="1" s="1"/>
  <c r="M150" i="1"/>
  <c r="I150" i="1"/>
  <c r="K150" i="1" s="1"/>
  <c r="V149" i="1"/>
  <c r="S149" i="1"/>
  <c r="U149" i="1" s="1"/>
  <c r="Y149" i="1" s="1"/>
  <c r="M149" i="1"/>
  <c r="I149" i="1"/>
  <c r="K149" i="1" s="1"/>
  <c r="V148" i="1"/>
  <c r="S148" i="1"/>
  <c r="U148" i="1" s="1"/>
  <c r="Y148" i="1" s="1"/>
  <c r="M148" i="1"/>
  <c r="I148" i="1"/>
  <c r="K148" i="1" s="1"/>
  <c r="L148" i="1" s="1"/>
  <c r="V147" i="1"/>
  <c r="S147" i="1"/>
  <c r="U147" i="1" s="1"/>
  <c r="Y147" i="1" s="1"/>
  <c r="M147" i="1"/>
  <c r="I147" i="1"/>
  <c r="K147" i="1" s="1"/>
  <c r="V146" i="1"/>
  <c r="S146" i="1"/>
  <c r="U146" i="1" s="1"/>
  <c r="Y146" i="1" s="1"/>
  <c r="M146" i="1"/>
  <c r="I146" i="1"/>
  <c r="K146" i="1" s="1"/>
  <c r="O146" i="1" s="1"/>
  <c r="V145" i="1"/>
  <c r="S145" i="1"/>
  <c r="U145" i="1" s="1"/>
  <c r="Y145" i="1" s="1"/>
  <c r="M145" i="1"/>
  <c r="I145" i="1"/>
  <c r="K145" i="1" s="1"/>
  <c r="V144" i="1"/>
  <c r="S144" i="1"/>
  <c r="U144" i="1" s="1"/>
  <c r="Y144" i="1" s="1"/>
  <c r="M144" i="1"/>
  <c r="I144" i="1"/>
  <c r="K144" i="1" s="1"/>
  <c r="L144" i="1" s="1"/>
  <c r="V143" i="1"/>
  <c r="S143" i="1"/>
  <c r="U143" i="1" s="1"/>
  <c r="Y143" i="1" s="1"/>
  <c r="M143" i="1"/>
  <c r="I143" i="1"/>
  <c r="K143" i="1" s="1"/>
  <c r="V142" i="1"/>
  <c r="S142" i="1"/>
  <c r="U142" i="1" s="1"/>
  <c r="Y142" i="1" s="1"/>
  <c r="M142" i="1"/>
  <c r="I142" i="1"/>
  <c r="K142" i="1" s="1"/>
  <c r="L142" i="1" s="1"/>
  <c r="V141" i="1"/>
  <c r="S141" i="1"/>
  <c r="U141" i="1" s="1"/>
  <c r="Y141" i="1" s="1"/>
  <c r="M141" i="1"/>
  <c r="I141" i="1"/>
  <c r="K141" i="1" s="1"/>
  <c r="L141" i="1" s="1"/>
  <c r="V140" i="1"/>
  <c r="S140" i="1"/>
  <c r="U140" i="1" s="1"/>
  <c r="Y140" i="1" s="1"/>
  <c r="M140" i="1"/>
  <c r="I140" i="1"/>
  <c r="K140" i="1" s="1"/>
  <c r="V139" i="1"/>
  <c r="S139" i="1"/>
  <c r="U139" i="1" s="1"/>
  <c r="Y139" i="1" s="1"/>
  <c r="M139" i="1"/>
  <c r="I139" i="1"/>
  <c r="K139" i="1" s="1"/>
  <c r="O139" i="1" s="1"/>
  <c r="V138" i="1"/>
  <c r="S138" i="1"/>
  <c r="U138" i="1" s="1"/>
  <c r="Y138" i="1" s="1"/>
  <c r="M138" i="1"/>
  <c r="I138" i="1"/>
  <c r="K138" i="1" s="1"/>
  <c r="L138" i="1" s="1"/>
  <c r="V137" i="1"/>
  <c r="S137" i="1"/>
  <c r="U137" i="1" s="1"/>
  <c r="Y137" i="1" s="1"/>
  <c r="M137" i="1"/>
  <c r="I137" i="1"/>
  <c r="K137" i="1" s="1"/>
  <c r="L137" i="1" s="1"/>
  <c r="V136" i="1"/>
  <c r="S136" i="1"/>
  <c r="U136" i="1" s="1"/>
  <c r="Y136" i="1" s="1"/>
  <c r="M136" i="1"/>
  <c r="I136" i="1"/>
  <c r="K136" i="1" s="1"/>
  <c r="V135" i="1"/>
  <c r="S135" i="1"/>
  <c r="U135" i="1" s="1"/>
  <c r="Y135" i="1" s="1"/>
  <c r="M135" i="1"/>
  <c r="K135" i="1"/>
  <c r="O135" i="1" s="1"/>
  <c r="I135" i="1"/>
  <c r="V134" i="1"/>
  <c r="S134" i="1"/>
  <c r="U134" i="1" s="1"/>
  <c r="Y134" i="1" s="1"/>
  <c r="M134" i="1"/>
  <c r="I134" i="1"/>
  <c r="K134" i="1" s="1"/>
  <c r="V133" i="1"/>
  <c r="S133" i="1"/>
  <c r="U133" i="1" s="1"/>
  <c r="Y133" i="1" s="1"/>
  <c r="M133" i="1"/>
  <c r="I133" i="1"/>
  <c r="K133" i="1" s="1"/>
  <c r="V132" i="1"/>
  <c r="S132" i="1"/>
  <c r="U132" i="1" s="1"/>
  <c r="Y132" i="1" s="1"/>
  <c r="M132" i="1"/>
  <c r="K132" i="1"/>
  <c r="L132" i="1" s="1"/>
  <c r="I132" i="1"/>
  <c r="V131" i="1"/>
  <c r="S131" i="1"/>
  <c r="U131" i="1" s="1"/>
  <c r="Y131" i="1" s="1"/>
  <c r="M131" i="1"/>
  <c r="I131" i="1"/>
  <c r="K131" i="1" s="1"/>
  <c r="O131" i="1" s="1"/>
  <c r="V130" i="1"/>
  <c r="S130" i="1"/>
  <c r="U130" i="1" s="1"/>
  <c r="Y130" i="1" s="1"/>
  <c r="M130" i="1"/>
  <c r="I130" i="1"/>
  <c r="K130" i="1" s="1"/>
  <c r="L130" i="1" s="1"/>
  <c r="V129" i="1"/>
  <c r="S129" i="1"/>
  <c r="U129" i="1" s="1"/>
  <c r="Y129" i="1" s="1"/>
  <c r="M129" i="1"/>
  <c r="I129" i="1"/>
  <c r="K129" i="1" s="1"/>
  <c r="L129" i="1" s="1"/>
  <c r="V128" i="1"/>
  <c r="S128" i="1"/>
  <c r="U128" i="1" s="1"/>
  <c r="Y128" i="1" s="1"/>
  <c r="M128" i="1"/>
  <c r="I128" i="1"/>
  <c r="K128" i="1" s="1"/>
  <c r="V127" i="1"/>
  <c r="S127" i="1"/>
  <c r="U127" i="1" s="1"/>
  <c r="Y127" i="1" s="1"/>
  <c r="M127" i="1"/>
  <c r="I127" i="1"/>
  <c r="K127" i="1" s="1"/>
  <c r="L127" i="1" s="1"/>
  <c r="V126" i="1"/>
  <c r="S126" i="1"/>
  <c r="U126" i="1" s="1"/>
  <c r="Y126" i="1" s="1"/>
  <c r="M126" i="1"/>
  <c r="I126" i="1"/>
  <c r="K126" i="1" s="1"/>
  <c r="L126" i="1" s="1"/>
  <c r="V125" i="1"/>
  <c r="S125" i="1"/>
  <c r="U125" i="1" s="1"/>
  <c r="Y125" i="1" s="1"/>
  <c r="M125" i="1"/>
  <c r="I125" i="1"/>
  <c r="K125" i="1" s="1"/>
  <c r="L125" i="1" s="1"/>
  <c r="V124" i="1"/>
  <c r="S124" i="1"/>
  <c r="U124" i="1" s="1"/>
  <c r="Y124" i="1" s="1"/>
  <c r="M124" i="1"/>
  <c r="I124" i="1"/>
  <c r="K124" i="1" s="1"/>
  <c r="L124" i="1" s="1"/>
  <c r="V123" i="1"/>
  <c r="S123" i="1"/>
  <c r="U123" i="1" s="1"/>
  <c r="Y123" i="1" s="1"/>
  <c r="M123" i="1"/>
  <c r="I123" i="1"/>
  <c r="K123" i="1" s="1"/>
  <c r="L123" i="1" s="1"/>
  <c r="V122" i="1"/>
  <c r="S122" i="1"/>
  <c r="U122" i="1" s="1"/>
  <c r="Y122" i="1" s="1"/>
  <c r="M122" i="1"/>
  <c r="I122" i="1"/>
  <c r="K122" i="1" s="1"/>
  <c r="V121" i="1"/>
  <c r="S121" i="1"/>
  <c r="U121" i="1" s="1"/>
  <c r="Y121" i="1" s="1"/>
  <c r="M121" i="1"/>
  <c r="I121" i="1"/>
  <c r="K121" i="1" s="1"/>
  <c r="V120" i="1"/>
  <c r="S120" i="1"/>
  <c r="U120" i="1" s="1"/>
  <c r="Y120" i="1" s="1"/>
  <c r="M120" i="1"/>
  <c r="I120" i="1"/>
  <c r="K120" i="1" s="1"/>
  <c r="L120" i="1" s="1"/>
  <c r="V119" i="1"/>
  <c r="S119" i="1"/>
  <c r="U119" i="1" s="1"/>
  <c r="Y119" i="1" s="1"/>
  <c r="M119" i="1"/>
  <c r="I119" i="1"/>
  <c r="K119" i="1" s="1"/>
  <c r="V118" i="1"/>
  <c r="S118" i="1"/>
  <c r="U118" i="1" s="1"/>
  <c r="Y118" i="1" s="1"/>
  <c r="M118" i="1"/>
  <c r="I118" i="1"/>
  <c r="K118" i="1" s="1"/>
  <c r="V117" i="1"/>
  <c r="S117" i="1"/>
  <c r="U117" i="1" s="1"/>
  <c r="Y117" i="1" s="1"/>
  <c r="M117" i="1"/>
  <c r="I117" i="1"/>
  <c r="K117" i="1" s="1"/>
  <c r="V116" i="1"/>
  <c r="S116" i="1"/>
  <c r="U116" i="1" s="1"/>
  <c r="Y116" i="1" s="1"/>
  <c r="M116" i="1"/>
  <c r="I116" i="1"/>
  <c r="K116" i="1" s="1"/>
  <c r="L116" i="1" s="1"/>
  <c r="V115" i="1"/>
  <c r="S115" i="1"/>
  <c r="U115" i="1" s="1"/>
  <c r="Y115" i="1" s="1"/>
  <c r="M115" i="1"/>
  <c r="I115" i="1"/>
  <c r="K115" i="1" s="1"/>
  <c r="O115" i="1" s="1"/>
  <c r="V114" i="1"/>
  <c r="S114" i="1"/>
  <c r="U114" i="1" s="1"/>
  <c r="Y114" i="1" s="1"/>
  <c r="M114" i="1"/>
  <c r="I114" i="1"/>
  <c r="K114" i="1" s="1"/>
  <c r="V113" i="1"/>
  <c r="S113" i="1"/>
  <c r="U113" i="1" s="1"/>
  <c r="Y113" i="1" s="1"/>
  <c r="M113" i="1"/>
  <c r="I113" i="1"/>
  <c r="K113" i="1" s="1"/>
  <c r="V112" i="1"/>
  <c r="S112" i="1"/>
  <c r="U112" i="1" s="1"/>
  <c r="Y112" i="1" s="1"/>
  <c r="M112" i="1"/>
  <c r="I112" i="1"/>
  <c r="K112" i="1" s="1"/>
  <c r="L112" i="1" s="1"/>
  <c r="V111" i="1"/>
  <c r="S111" i="1"/>
  <c r="U111" i="1" s="1"/>
  <c r="Y111" i="1" s="1"/>
  <c r="M111" i="1"/>
  <c r="I111" i="1"/>
  <c r="K111" i="1" s="1"/>
  <c r="O111" i="1" s="1"/>
  <c r="V110" i="1"/>
  <c r="S110" i="1"/>
  <c r="U110" i="1" s="1"/>
  <c r="Y110" i="1" s="1"/>
  <c r="M110" i="1"/>
  <c r="I110" i="1"/>
  <c r="K110" i="1" s="1"/>
  <c r="V109" i="1"/>
  <c r="S109" i="1"/>
  <c r="U109" i="1" s="1"/>
  <c r="Y109" i="1" s="1"/>
  <c r="M109" i="1"/>
  <c r="I109" i="1"/>
  <c r="K109" i="1" s="1"/>
  <c r="V108" i="1"/>
  <c r="S108" i="1"/>
  <c r="U108" i="1" s="1"/>
  <c r="Y108" i="1" s="1"/>
  <c r="M108" i="1"/>
  <c r="I108" i="1"/>
  <c r="K108" i="1" s="1"/>
  <c r="L108" i="1" s="1"/>
  <c r="V107" i="1"/>
  <c r="S107" i="1"/>
  <c r="U107" i="1" s="1"/>
  <c r="Y107" i="1" s="1"/>
  <c r="M107" i="1"/>
  <c r="I107" i="1"/>
  <c r="K107" i="1" s="1"/>
  <c r="V106" i="1"/>
  <c r="S106" i="1"/>
  <c r="U106" i="1" s="1"/>
  <c r="Y106" i="1" s="1"/>
  <c r="M106" i="1"/>
  <c r="I106" i="1"/>
  <c r="K106" i="1" s="1"/>
  <c r="V105" i="1"/>
  <c r="S105" i="1"/>
  <c r="U105" i="1" s="1"/>
  <c r="Y105" i="1" s="1"/>
  <c r="M105" i="1"/>
  <c r="I105" i="1"/>
  <c r="K105" i="1" s="1"/>
  <c r="V104" i="1"/>
  <c r="S104" i="1"/>
  <c r="U104" i="1" s="1"/>
  <c r="Y104" i="1" s="1"/>
  <c r="M104" i="1"/>
  <c r="I104" i="1"/>
  <c r="K104" i="1" s="1"/>
  <c r="L104" i="1" s="1"/>
  <c r="V103" i="1"/>
  <c r="S103" i="1"/>
  <c r="U103" i="1" s="1"/>
  <c r="Y103" i="1" s="1"/>
  <c r="M103" i="1"/>
  <c r="I103" i="1"/>
  <c r="K103" i="1" s="1"/>
  <c r="L103" i="1" s="1"/>
  <c r="V102" i="1"/>
  <c r="S102" i="1"/>
  <c r="U102" i="1" s="1"/>
  <c r="Y102" i="1" s="1"/>
  <c r="M102" i="1"/>
  <c r="I102" i="1"/>
  <c r="K102" i="1" s="1"/>
  <c r="V101" i="1"/>
  <c r="S101" i="1"/>
  <c r="U101" i="1" s="1"/>
  <c r="Y101" i="1" s="1"/>
  <c r="M101" i="1"/>
  <c r="I101" i="1"/>
  <c r="K101" i="1" s="1"/>
  <c r="V100" i="1"/>
  <c r="S100" i="1"/>
  <c r="U100" i="1" s="1"/>
  <c r="Y100" i="1" s="1"/>
  <c r="M100" i="1"/>
  <c r="I100" i="1"/>
  <c r="K100" i="1" s="1"/>
  <c r="L100" i="1" s="1"/>
  <c r="V99" i="1"/>
  <c r="S99" i="1"/>
  <c r="U99" i="1" s="1"/>
  <c r="Y99" i="1" s="1"/>
  <c r="M99" i="1"/>
  <c r="I99" i="1"/>
  <c r="K99" i="1" s="1"/>
  <c r="V98" i="1"/>
  <c r="S98" i="1"/>
  <c r="U98" i="1" s="1"/>
  <c r="Y98" i="1" s="1"/>
  <c r="M98" i="1"/>
  <c r="I98" i="1"/>
  <c r="K98" i="1" s="1"/>
  <c r="V97" i="1"/>
  <c r="S97" i="1"/>
  <c r="U97" i="1" s="1"/>
  <c r="Y97" i="1" s="1"/>
  <c r="M97" i="1"/>
  <c r="I97" i="1"/>
  <c r="K97" i="1" s="1"/>
  <c r="V96" i="1"/>
  <c r="S96" i="1"/>
  <c r="U96" i="1" s="1"/>
  <c r="Y96" i="1" s="1"/>
  <c r="M96" i="1"/>
  <c r="I96" i="1"/>
  <c r="K96" i="1" s="1"/>
  <c r="L96" i="1" s="1"/>
  <c r="V95" i="1"/>
  <c r="S95" i="1"/>
  <c r="U95" i="1" s="1"/>
  <c r="Y95" i="1" s="1"/>
  <c r="M95" i="1"/>
  <c r="K95" i="1"/>
  <c r="I95" i="1"/>
  <c r="V94" i="1"/>
  <c r="S94" i="1"/>
  <c r="U94" i="1" s="1"/>
  <c r="Y94" i="1" s="1"/>
  <c r="M94" i="1"/>
  <c r="I94" i="1"/>
  <c r="K94" i="1" s="1"/>
  <c r="V93" i="1"/>
  <c r="S93" i="1"/>
  <c r="U93" i="1" s="1"/>
  <c r="Y93" i="1" s="1"/>
  <c r="M93" i="1"/>
  <c r="I93" i="1"/>
  <c r="K93" i="1" s="1"/>
  <c r="V92" i="1"/>
  <c r="S92" i="1"/>
  <c r="U92" i="1" s="1"/>
  <c r="Y92" i="1" s="1"/>
  <c r="M92" i="1"/>
  <c r="I92" i="1"/>
  <c r="K92" i="1" s="1"/>
  <c r="L92" i="1" s="1"/>
  <c r="V91" i="1"/>
  <c r="S91" i="1"/>
  <c r="U91" i="1" s="1"/>
  <c r="Y91" i="1" s="1"/>
  <c r="M91" i="1"/>
  <c r="I91" i="1"/>
  <c r="K91" i="1" s="1"/>
  <c r="L91" i="1" s="1"/>
  <c r="V90" i="1"/>
  <c r="S90" i="1"/>
  <c r="U90" i="1" s="1"/>
  <c r="Y90" i="1" s="1"/>
  <c r="M90" i="1"/>
  <c r="I90" i="1"/>
  <c r="K90" i="1" s="1"/>
  <c r="V89" i="1"/>
  <c r="S89" i="1"/>
  <c r="U89" i="1" s="1"/>
  <c r="Y89" i="1" s="1"/>
  <c r="M89" i="1"/>
  <c r="I89" i="1"/>
  <c r="K89" i="1" s="1"/>
  <c r="V88" i="1"/>
  <c r="S88" i="1"/>
  <c r="U88" i="1" s="1"/>
  <c r="Y88" i="1" s="1"/>
  <c r="M88" i="1"/>
  <c r="I88" i="1"/>
  <c r="K88" i="1" s="1"/>
  <c r="L88" i="1" s="1"/>
  <c r="V87" i="1"/>
  <c r="S87" i="1"/>
  <c r="U87" i="1" s="1"/>
  <c r="Y87" i="1" s="1"/>
  <c r="M87" i="1"/>
  <c r="I87" i="1"/>
  <c r="K87" i="1" s="1"/>
  <c r="V86" i="1"/>
  <c r="S86" i="1"/>
  <c r="U86" i="1" s="1"/>
  <c r="Y86" i="1" s="1"/>
  <c r="M86" i="1"/>
  <c r="I86" i="1"/>
  <c r="K86" i="1" s="1"/>
  <c r="V85" i="1"/>
  <c r="S85" i="1"/>
  <c r="U85" i="1" s="1"/>
  <c r="Y85" i="1" s="1"/>
  <c r="M85" i="1"/>
  <c r="I85" i="1"/>
  <c r="K85" i="1" s="1"/>
  <c r="L85" i="1" s="1"/>
  <c r="V84" i="1"/>
  <c r="S84" i="1"/>
  <c r="U84" i="1" s="1"/>
  <c r="Y84" i="1" s="1"/>
  <c r="M84" i="1"/>
  <c r="I84" i="1"/>
  <c r="K84" i="1" s="1"/>
  <c r="V83" i="1"/>
  <c r="S83" i="1"/>
  <c r="U83" i="1" s="1"/>
  <c r="Y83" i="1" s="1"/>
  <c r="M83" i="1"/>
  <c r="I83" i="1"/>
  <c r="K83" i="1" s="1"/>
  <c r="O83" i="1" s="1"/>
  <c r="V82" i="1"/>
  <c r="S82" i="1"/>
  <c r="U82" i="1" s="1"/>
  <c r="Y82" i="1" s="1"/>
  <c r="M82" i="1"/>
  <c r="I82" i="1"/>
  <c r="K82" i="1" s="1"/>
  <c r="V81" i="1"/>
  <c r="S81" i="1"/>
  <c r="U81" i="1" s="1"/>
  <c r="Y81" i="1" s="1"/>
  <c r="M81" i="1"/>
  <c r="I81" i="1"/>
  <c r="K81" i="1" s="1"/>
  <c r="L81" i="1" s="1"/>
  <c r="V80" i="1"/>
  <c r="S80" i="1"/>
  <c r="U80" i="1" s="1"/>
  <c r="Y80" i="1" s="1"/>
  <c r="M80" i="1"/>
  <c r="I80" i="1"/>
  <c r="K80" i="1" s="1"/>
  <c r="V79" i="1"/>
  <c r="S79" i="1"/>
  <c r="U79" i="1" s="1"/>
  <c r="Y79" i="1" s="1"/>
  <c r="M79" i="1"/>
  <c r="I79" i="1"/>
  <c r="K79" i="1" s="1"/>
  <c r="L79" i="1" s="1"/>
  <c r="V78" i="1"/>
  <c r="S78" i="1"/>
  <c r="U78" i="1" s="1"/>
  <c r="Y78" i="1" s="1"/>
  <c r="M78" i="1"/>
  <c r="I78" i="1"/>
  <c r="K78" i="1" s="1"/>
  <c r="V77" i="1"/>
  <c r="S77" i="1"/>
  <c r="U77" i="1" s="1"/>
  <c r="Y77" i="1" s="1"/>
  <c r="M77" i="1"/>
  <c r="I77" i="1"/>
  <c r="K77" i="1" s="1"/>
  <c r="V76" i="1"/>
  <c r="S76" i="1"/>
  <c r="U76" i="1" s="1"/>
  <c r="Y76" i="1" s="1"/>
  <c r="M76" i="1"/>
  <c r="I76" i="1"/>
  <c r="K76" i="1" s="1"/>
  <c r="O76" i="1" s="1"/>
  <c r="V75" i="1"/>
  <c r="S75" i="1"/>
  <c r="U75" i="1" s="1"/>
  <c r="Y75" i="1" s="1"/>
  <c r="M75" i="1"/>
  <c r="I75" i="1"/>
  <c r="K75" i="1" s="1"/>
  <c r="V74" i="1"/>
  <c r="S74" i="1"/>
  <c r="U74" i="1" s="1"/>
  <c r="Y74" i="1" s="1"/>
  <c r="M74" i="1"/>
  <c r="I74" i="1"/>
  <c r="K74" i="1" s="1"/>
  <c r="L74" i="1" s="1"/>
  <c r="V73" i="1"/>
  <c r="S73" i="1"/>
  <c r="U73" i="1" s="1"/>
  <c r="Y73" i="1" s="1"/>
  <c r="M73" i="1"/>
  <c r="I73" i="1"/>
  <c r="K73" i="1" s="1"/>
  <c r="V72" i="1"/>
  <c r="S72" i="1"/>
  <c r="U72" i="1" s="1"/>
  <c r="Y72" i="1" s="1"/>
  <c r="M72" i="1"/>
  <c r="I72" i="1"/>
  <c r="K72" i="1" s="1"/>
  <c r="V71" i="1"/>
  <c r="S71" i="1"/>
  <c r="U71" i="1" s="1"/>
  <c r="Y71" i="1" s="1"/>
  <c r="M71" i="1"/>
  <c r="I71" i="1"/>
  <c r="K71" i="1" s="1"/>
  <c r="V70" i="1"/>
  <c r="S70" i="1"/>
  <c r="U70" i="1" s="1"/>
  <c r="Y70" i="1" s="1"/>
  <c r="M70" i="1"/>
  <c r="I70" i="1"/>
  <c r="K70" i="1" s="1"/>
  <c r="L70" i="1" s="1"/>
  <c r="V69" i="1"/>
  <c r="S69" i="1"/>
  <c r="U69" i="1" s="1"/>
  <c r="Y69" i="1" s="1"/>
  <c r="M69" i="1"/>
  <c r="I69" i="1"/>
  <c r="K69" i="1" s="1"/>
  <c r="L69" i="1" s="1"/>
  <c r="V68" i="1"/>
  <c r="S68" i="1"/>
  <c r="U68" i="1" s="1"/>
  <c r="Y68" i="1" s="1"/>
  <c r="M68" i="1"/>
  <c r="I68" i="1"/>
  <c r="K68" i="1" s="1"/>
  <c r="V67" i="1"/>
  <c r="S67" i="1"/>
  <c r="U67" i="1" s="1"/>
  <c r="Y67" i="1" s="1"/>
  <c r="M67" i="1"/>
  <c r="I67" i="1"/>
  <c r="K67" i="1" s="1"/>
  <c r="L67" i="1" s="1"/>
  <c r="V66" i="1"/>
  <c r="S66" i="1"/>
  <c r="U66" i="1" s="1"/>
  <c r="Y66" i="1" s="1"/>
  <c r="M66" i="1"/>
  <c r="I66" i="1"/>
  <c r="K66" i="1" s="1"/>
  <c r="L66" i="1" s="1"/>
  <c r="V65" i="1"/>
  <c r="S65" i="1"/>
  <c r="U65" i="1" s="1"/>
  <c r="Y65" i="1" s="1"/>
  <c r="M65" i="1"/>
  <c r="I65" i="1"/>
  <c r="K65" i="1" s="1"/>
  <c r="V64" i="1"/>
  <c r="S64" i="1"/>
  <c r="U64" i="1" s="1"/>
  <c r="Y64" i="1" s="1"/>
  <c r="M64" i="1"/>
  <c r="I64" i="1"/>
  <c r="K64" i="1" s="1"/>
  <c r="V63" i="1"/>
  <c r="S63" i="1"/>
  <c r="U63" i="1" s="1"/>
  <c r="Y63" i="1" s="1"/>
  <c r="M63" i="1"/>
  <c r="I63" i="1"/>
  <c r="K63" i="1" s="1"/>
  <c r="V62" i="1"/>
  <c r="S62" i="1"/>
  <c r="U62" i="1" s="1"/>
  <c r="Y62" i="1" s="1"/>
  <c r="M62" i="1"/>
  <c r="I62" i="1"/>
  <c r="K62" i="1" s="1"/>
  <c r="V61" i="1"/>
  <c r="S61" i="1"/>
  <c r="U61" i="1" s="1"/>
  <c r="Y61" i="1" s="1"/>
  <c r="M61" i="1"/>
  <c r="I61" i="1"/>
  <c r="K61" i="1" s="1"/>
  <c r="O61" i="1" s="1"/>
  <c r="V60" i="1"/>
  <c r="S60" i="1"/>
  <c r="U60" i="1" s="1"/>
  <c r="Y60" i="1" s="1"/>
  <c r="M60" i="1"/>
  <c r="I60" i="1"/>
  <c r="K60" i="1" s="1"/>
  <c r="V59" i="1"/>
  <c r="S59" i="1"/>
  <c r="U59" i="1" s="1"/>
  <c r="Y59" i="1" s="1"/>
  <c r="M59" i="1"/>
  <c r="I59" i="1"/>
  <c r="K59" i="1" s="1"/>
  <c r="V58" i="1"/>
  <c r="S58" i="1"/>
  <c r="U58" i="1" s="1"/>
  <c r="Y58" i="1" s="1"/>
  <c r="M58" i="1"/>
  <c r="I58" i="1"/>
  <c r="K58" i="1" s="1"/>
  <c r="V57" i="1"/>
  <c r="S57" i="1"/>
  <c r="U57" i="1" s="1"/>
  <c r="Y57" i="1" s="1"/>
  <c r="M57" i="1"/>
  <c r="I57" i="1"/>
  <c r="K57" i="1" s="1"/>
  <c r="V56" i="1"/>
  <c r="S56" i="1"/>
  <c r="U56" i="1" s="1"/>
  <c r="Y56" i="1" s="1"/>
  <c r="M56" i="1"/>
  <c r="I56" i="1"/>
  <c r="K56" i="1" s="1"/>
  <c r="V55" i="1"/>
  <c r="S55" i="1"/>
  <c r="U55" i="1" s="1"/>
  <c r="Y55" i="1" s="1"/>
  <c r="M55" i="1"/>
  <c r="I55" i="1"/>
  <c r="K55" i="1" s="1"/>
  <c r="V54" i="1"/>
  <c r="S54" i="1"/>
  <c r="U54" i="1" s="1"/>
  <c r="Y54" i="1" s="1"/>
  <c r="M54" i="1"/>
  <c r="I54" i="1"/>
  <c r="K54" i="1" s="1"/>
  <c r="V53" i="1"/>
  <c r="S53" i="1"/>
  <c r="U53" i="1" s="1"/>
  <c r="Y53" i="1" s="1"/>
  <c r="M53" i="1"/>
  <c r="I53" i="1"/>
  <c r="K53" i="1" s="1"/>
  <c r="V52" i="1"/>
  <c r="S52" i="1"/>
  <c r="U52" i="1" s="1"/>
  <c r="Y52" i="1" s="1"/>
  <c r="M52" i="1"/>
  <c r="I52" i="1"/>
  <c r="K52" i="1" s="1"/>
  <c r="V51" i="1"/>
  <c r="S51" i="1"/>
  <c r="U51" i="1" s="1"/>
  <c r="Y51" i="1" s="1"/>
  <c r="M51" i="1"/>
  <c r="I51" i="1"/>
  <c r="K51" i="1" s="1"/>
  <c r="V50" i="1"/>
  <c r="S50" i="1"/>
  <c r="U50" i="1" s="1"/>
  <c r="Y50" i="1" s="1"/>
  <c r="M50" i="1"/>
  <c r="I50" i="1"/>
  <c r="K50" i="1" s="1"/>
  <c r="V49" i="1"/>
  <c r="S49" i="1"/>
  <c r="U49" i="1" s="1"/>
  <c r="Y49" i="1" s="1"/>
  <c r="M49" i="1"/>
  <c r="I49" i="1"/>
  <c r="K49" i="1" s="1"/>
  <c r="V48" i="1"/>
  <c r="S48" i="1"/>
  <c r="U48" i="1" s="1"/>
  <c r="Y48" i="1" s="1"/>
  <c r="M48" i="1"/>
  <c r="I48" i="1"/>
  <c r="K48" i="1" s="1"/>
  <c r="V47" i="1"/>
  <c r="S47" i="1"/>
  <c r="U47" i="1" s="1"/>
  <c r="Y47" i="1" s="1"/>
  <c r="M47" i="1"/>
  <c r="I47" i="1"/>
  <c r="K47" i="1" s="1"/>
  <c r="V46" i="1"/>
  <c r="S46" i="1"/>
  <c r="U46" i="1" s="1"/>
  <c r="Y46" i="1" s="1"/>
  <c r="M46" i="1"/>
  <c r="I46" i="1"/>
  <c r="K46" i="1" s="1"/>
  <c r="V45" i="1"/>
  <c r="S45" i="1"/>
  <c r="U45" i="1" s="1"/>
  <c r="Y45" i="1" s="1"/>
  <c r="M45" i="1"/>
  <c r="I45" i="1"/>
  <c r="K45" i="1" s="1"/>
  <c r="O45" i="1" s="1"/>
  <c r="V44" i="1"/>
  <c r="S44" i="1"/>
  <c r="U44" i="1" s="1"/>
  <c r="Y44" i="1" s="1"/>
  <c r="M44" i="1"/>
  <c r="I44" i="1"/>
  <c r="K44" i="1" s="1"/>
  <c r="V43" i="1"/>
  <c r="S43" i="1"/>
  <c r="U43" i="1" s="1"/>
  <c r="Y43" i="1" s="1"/>
  <c r="M43" i="1"/>
  <c r="I43" i="1"/>
  <c r="K43" i="1" s="1"/>
  <c r="V42" i="1"/>
  <c r="S42" i="1"/>
  <c r="U42" i="1" s="1"/>
  <c r="Y42" i="1" s="1"/>
  <c r="M42" i="1"/>
  <c r="I42" i="1"/>
  <c r="K42" i="1" s="1"/>
  <c r="V41" i="1"/>
  <c r="S41" i="1"/>
  <c r="U41" i="1" s="1"/>
  <c r="Y41" i="1" s="1"/>
  <c r="M41" i="1"/>
  <c r="I41" i="1"/>
  <c r="K41" i="1" s="1"/>
  <c r="V40" i="1"/>
  <c r="S40" i="1"/>
  <c r="U40" i="1" s="1"/>
  <c r="Y40" i="1" s="1"/>
  <c r="M40" i="1"/>
  <c r="I40" i="1"/>
  <c r="K40" i="1" s="1"/>
  <c r="V39" i="1"/>
  <c r="S39" i="1"/>
  <c r="U39" i="1" s="1"/>
  <c r="Y39" i="1" s="1"/>
  <c r="M39" i="1"/>
  <c r="I39" i="1"/>
  <c r="K39" i="1" s="1"/>
  <c r="V38" i="1"/>
  <c r="S38" i="1"/>
  <c r="U38" i="1" s="1"/>
  <c r="Y38" i="1" s="1"/>
  <c r="M38" i="1"/>
  <c r="I38" i="1"/>
  <c r="K38" i="1" s="1"/>
  <c r="V37" i="1"/>
  <c r="S37" i="1"/>
  <c r="U37" i="1" s="1"/>
  <c r="Y37" i="1" s="1"/>
  <c r="M37" i="1"/>
  <c r="I37" i="1"/>
  <c r="K37" i="1" s="1"/>
  <c r="V36" i="1"/>
  <c r="S36" i="1"/>
  <c r="U36" i="1" s="1"/>
  <c r="Y36" i="1" s="1"/>
  <c r="M36" i="1"/>
  <c r="I36" i="1"/>
  <c r="K36" i="1" s="1"/>
  <c r="V35" i="1"/>
  <c r="S35" i="1"/>
  <c r="U35" i="1" s="1"/>
  <c r="Y35" i="1" s="1"/>
  <c r="M35" i="1"/>
  <c r="I35" i="1"/>
  <c r="K35" i="1" s="1"/>
  <c r="V34" i="1"/>
  <c r="S34" i="1"/>
  <c r="U34" i="1" s="1"/>
  <c r="Y34" i="1" s="1"/>
  <c r="M34" i="1"/>
  <c r="I34" i="1"/>
  <c r="K34" i="1" s="1"/>
  <c r="V33" i="1"/>
  <c r="S33" i="1"/>
  <c r="U33" i="1" s="1"/>
  <c r="Y33" i="1" s="1"/>
  <c r="M33" i="1"/>
  <c r="I33" i="1"/>
  <c r="K33" i="1" s="1"/>
  <c r="O33" i="1" s="1"/>
  <c r="V32" i="1"/>
  <c r="S32" i="1"/>
  <c r="U32" i="1" s="1"/>
  <c r="Y32" i="1" s="1"/>
  <c r="M32" i="1"/>
  <c r="I32" i="1"/>
  <c r="K32" i="1" s="1"/>
  <c r="V31" i="1"/>
  <c r="S31" i="1"/>
  <c r="U31" i="1" s="1"/>
  <c r="Y31" i="1" s="1"/>
  <c r="M31" i="1"/>
  <c r="I31" i="1"/>
  <c r="K31" i="1" s="1"/>
  <c r="V30" i="1"/>
  <c r="S30" i="1"/>
  <c r="U30" i="1" s="1"/>
  <c r="Y30" i="1" s="1"/>
  <c r="M30" i="1"/>
  <c r="I30" i="1"/>
  <c r="K30" i="1" s="1"/>
  <c r="V29" i="1"/>
  <c r="S29" i="1"/>
  <c r="U29" i="1" s="1"/>
  <c r="Y29" i="1" s="1"/>
  <c r="M29" i="1"/>
  <c r="I29" i="1"/>
  <c r="K29" i="1" s="1"/>
  <c r="O29" i="1" s="1"/>
  <c r="V28" i="1"/>
  <c r="S28" i="1"/>
  <c r="U28" i="1" s="1"/>
  <c r="Y28" i="1" s="1"/>
  <c r="M28" i="1"/>
  <c r="I28" i="1"/>
  <c r="K28" i="1" s="1"/>
  <c r="V27" i="1"/>
  <c r="S27" i="1"/>
  <c r="U27" i="1" s="1"/>
  <c r="Y27" i="1" s="1"/>
  <c r="M27" i="1"/>
  <c r="I27" i="1"/>
  <c r="K27" i="1" s="1"/>
  <c r="V26" i="1"/>
  <c r="S26" i="1"/>
  <c r="U26" i="1" s="1"/>
  <c r="Y26" i="1" s="1"/>
  <c r="M26" i="1"/>
  <c r="I26" i="1"/>
  <c r="K26" i="1" s="1"/>
  <c r="V25" i="1"/>
  <c r="S25" i="1"/>
  <c r="U25" i="1" s="1"/>
  <c r="Y25" i="1" s="1"/>
  <c r="M25" i="1"/>
  <c r="I25" i="1"/>
  <c r="K25" i="1" s="1"/>
  <c r="O25" i="1" s="1"/>
  <c r="V24" i="1"/>
  <c r="S24" i="1"/>
  <c r="U24" i="1" s="1"/>
  <c r="Y24" i="1" s="1"/>
  <c r="M24" i="1"/>
  <c r="I24" i="1"/>
  <c r="K24" i="1" s="1"/>
  <c r="V23" i="1"/>
  <c r="S23" i="1"/>
  <c r="U23" i="1" s="1"/>
  <c r="Y23" i="1" s="1"/>
  <c r="M23" i="1"/>
  <c r="I23" i="1"/>
  <c r="K23" i="1" s="1"/>
  <c r="V22" i="1"/>
  <c r="S22" i="1"/>
  <c r="U22" i="1" s="1"/>
  <c r="Y22" i="1" s="1"/>
  <c r="M22" i="1"/>
  <c r="I22" i="1"/>
  <c r="K22" i="1" s="1"/>
  <c r="V21" i="1"/>
  <c r="S21" i="1"/>
  <c r="U21" i="1" s="1"/>
  <c r="Y21" i="1" s="1"/>
  <c r="M21" i="1"/>
  <c r="I21" i="1"/>
  <c r="K21" i="1" s="1"/>
  <c r="V20" i="1"/>
  <c r="S20" i="1"/>
  <c r="U20" i="1" s="1"/>
  <c r="Y20" i="1" s="1"/>
  <c r="M20" i="1"/>
  <c r="I20" i="1"/>
  <c r="K20" i="1" s="1"/>
  <c r="V19" i="1"/>
  <c r="S19" i="1"/>
  <c r="U19" i="1" s="1"/>
  <c r="Y19" i="1" s="1"/>
  <c r="M19" i="1"/>
  <c r="I19" i="1"/>
  <c r="K19" i="1" s="1"/>
  <c r="V18" i="1"/>
  <c r="S18" i="1"/>
  <c r="U18" i="1" s="1"/>
  <c r="Y18" i="1" s="1"/>
  <c r="M18" i="1"/>
  <c r="I18" i="1"/>
  <c r="K18" i="1" s="1"/>
  <c r="V17" i="1"/>
  <c r="S17" i="1"/>
  <c r="U17" i="1" s="1"/>
  <c r="Y17" i="1" s="1"/>
  <c r="M17" i="1"/>
  <c r="I17" i="1"/>
  <c r="K17" i="1" s="1"/>
  <c r="V16" i="1"/>
  <c r="S16" i="1"/>
  <c r="U16" i="1" s="1"/>
  <c r="Y16" i="1" s="1"/>
  <c r="M16" i="1"/>
  <c r="I16" i="1"/>
  <c r="K16" i="1" s="1"/>
  <c r="V15" i="1"/>
  <c r="S15" i="1"/>
  <c r="U15" i="1" s="1"/>
  <c r="Y15" i="1" s="1"/>
  <c r="M15" i="1"/>
  <c r="I15" i="1"/>
  <c r="K15" i="1" s="1"/>
  <c r="V14" i="1"/>
  <c r="S14" i="1"/>
  <c r="U14" i="1" s="1"/>
  <c r="Y14" i="1" s="1"/>
  <c r="M14" i="1"/>
  <c r="I14" i="1"/>
  <c r="K14" i="1" s="1"/>
  <c r="V13" i="1"/>
  <c r="S13" i="1"/>
  <c r="U13" i="1" s="1"/>
  <c r="Y13" i="1" s="1"/>
  <c r="M13" i="1"/>
  <c r="I13" i="1"/>
  <c r="K13" i="1" s="1"/>
  <c r="O13" i="1" s="1"/>
  <c r="V12" i="1"/>
  <c r="S12" i="1"/>
  <c r="U12" i="1" s="1"/>
  <c r="Y12" i="1" s="1"/>
  <c r="M12" i="1"/>
  <c r="I12" i="1"/>
  <c r="K12" i="1" s="1"/>
  <c r="V11" i="1"/>
  <c r="S11" i="1"/>
  <c r="U11" i="1" s="1"/>
  <c r="Y11" i="1" s="1"/>
  <c r="M11" i="1"/>
  <c r="I11" i="1"/>
  <c r="K11" i="1" s="1"/>
  <c r="V10" i="1"/>
  <c r="S10" i="1"/>
  <c r="U10" i="1" s="1"/>
  <c r="Y10" i="1" s="1"/>
  <c r="M10" i="1"/>
  <c r="I10" i="1"/>
  <c r="K10" i="1" s="1"/>
  <c r="V9" i="1"/>
  <c r="AM5" i="1" s="1" a="1"/>
  <c r="S9" i="1"/>
  <c r="U9" i="1" s="1"/>
  <c r="Y9" i="1" s="1"/>
  <c r="M9" i="1"/>
  <c r="I9" i="1"/>
  <c r="K9" i="1" s="1"/>
  <c r="O9" i="1" s="1"/>
  <c r="V8" i="1"/>
  <c r="S8" i="1"/>
  <c r="U8" i="1" s="1"/>
  <c r="Y8" i="1" s="1"/>
  <c r="M8" i="1"/>
  <c r="I8" i="1"/>
  <c r="K8" i="1" s="1"/>
  <c r="D6" i="1"/>
  <c r="AH5" i="1"/>
  <c r="AG5" i="1" s="1"/>
  <c r="AF5" i="1"/>
  <c r="D5" i="1"/>
  <c r="AF3" i="1" s="1"/>
  <c r="AL3" i="1"/>
  <c r="AH3" i="1"/>
  <c r="AE3" i="1"/>
  <c r="AD3" i="1"/>
  <c r="AC3" i="1"/>
  <c r="D3" i="1"/>
  <c r="D4" i="1" s="1"/>
  <c r="AG3" i="1" s="1"/>
  <c r="AL2" i="1"/>
  <c r="AK2" i="1"/>
  <c r="AJ2" i="1"/>
  <c r="AI2" i="1"/>
  <c r="AH2" i="1"/>
  <c r="AG2" i="1"/>
  <c r="AF2" i="1"/>
  <c r="AE2" i="1"/>
  <c r="AD2" i="1"/>
  <c r="AC2" i="1"/>
  <c r="O270" i="1" l="1"/>
  <c r="O72" i="1"/>
  <c r="P72" i="1" s="1"/>
  <c r="O171" i="1"/>
  <c r="O218" i="1"/>
  <c r="O276" i="1"/>
  <c r="O279" i="1"/>
  <c r="X279" i="1" s="1"/>
  <c r="O290" i="1"/>
  <c r="P290" i="1" s="1"/>
  <c r="O178" i="1"/>
  <c r="P178" i="1" s="1"/>
  <c r="O227" i="1"/>
  <c r="X227" i="1" s="1"/>
  <c r="O185" i="1"/>
  <c r="P185" i="1" s="1"/>
  <c r="O41" i="1"/>
  <c r="O223" i="1"/>
  <c r="P223" i="1" s="1"/>
  <c r="O304" i="1"/>
  <c r="O57" i="1"/>
  <c r="P57" i="1" s="1"/>
  <c r="O289" i="1"/>
  <c r="P289" i="1" s="1"/>
  <c r="O245" i="1"/>
  <c r="P245" i="1" s="1"/>
  <c r="O169" i="1"/>
  <c r="P169" i="1" s="1"/>
  <c r="O17" i="1"/>
  <c r="O154" i="1"/>
  <c r="P154" i="1" s="1"/>
  <c r="O196" i="1"/>
  <c r="P196" i="1" s="1"/>
  <c r="O239" i="1"/>
  <c r="W239" i="1" s="1"/>
  <c r="O286" i="1"/>
  <c r="P286" i="1" s="1"/>
  <c r="O107" i="1"/>
  <c r="P107" i="1" s="1"/>
  <c r="L107" i="1"/>
  <c r="O293" i="1"/>
  <c r="X293" i="1" s="1"/>
  <c r="L293" i="1"/>
  <c r="O144" i="1"/>
  <c r="O193" i="1"/>
  <c r="O222" i="1"/>
  <c r="P222" i="1" s="1"/>
  <c r="O66" i="1"/>
  <c r="P66" i="1" s="1"/>
  <c r="O75" i="1"/>
  <c r="P75" i="1" s="1"/>
  <c r="O87" i="1"/>
  <c r="O119" i="1"/>
  <c r="P119" i="1" s="1"/>
  <c r="O238" i="1"/>
  <c r="P238" i="1" s="1"/>
  <c r="O274" i="1"/>
  <c r="P274" i="1" s="1"/>
  <c r="L75" i="1"/>
  <c r="L87" i="1"/>
  <c r="L119" i="1"/>
  <c r="O134" i="1"/>
  <c r="P134" i="1" s="1"/>
  <c r="O141" i="1"/>
  <c r="O152" i="1"/>
  <c r="P152" i="1" s="1"/>
  <c r="O189" i="1"/>
  <c r="O242" i="1"/>
  <c r="P242" i="1" s="1"/>
  <c r="O250" i="1"/>
  <c r="P250" i="1" s="1"/>
  <c r="AM5" i="1"/>
  <c r="X139" i="1"/>
  <c r="X243" i="1"/>
  <c r="X135" i="1"/>
  <c r="X247" i="1"/>
  <c r="X76" i="1"/>
  <c r="X251" i="1"/>
  <c r="P76" i="1"/>
  <c r="O177" i="1"/>
  <c r="P177" i="1" s="1"/>
  <c r="O283" i="1"/>
  <c r="X283" i="1" s="1"/>
  <c r="O287" i="1"/>
  <c r="O326" i="1"/>
  <c r="P326" i="1" s="1"/>
  <c r="O91" i="1"/>
  <c r="P91" i="1" s="1"/>
  <c r="O123" i="1"/>
  <c r="O142" i="1"/>
  <c r="P142" i="1" s="1"/>
  <c r="O197" i="1"/>
  <c r="O21" i="1"/>
  <c r="O37" i="1"/>
  <c r="P37" i="1" s="1"/>
  <c r="O53" i="1"/>
  <c r="O79" i="1"/>
  <c r="P79" i="1" s="1"/>
  <c r="O95" i="1"/>
  <c r="P95" i="1" s="1"/>
  <c r="O99" i="1"/>
  <c r="O103" i="1"/>
  <c r="O128" i="1"/>
  <c r="O132" i="1"/>
  <c r="P132" i="1" s="1"/>
  <c r="O150" i="1"/>
  <c r="O163" i="1"/>
  <c r="P163" i="1" s="1"/>
  <c r="O174" i="1"/>
  <c r="O183" i="1"/>
  <c r="O200" i="1"/>
  <c r="P200" i="1" s="1"/>
  <c r="O204" i="1"/>
  <c r="O208" i="1"/>
  <c r="P208" i="1" s="1"/>
  <c r="O212" i="1"/>
  <c r="O216" i="1"/>
  <c r="P216" i="1" s="1"/>
  <c r="O255" i="1"/>
  <c r="X255" i="1" s="1"/>
  <c r="O260" i="1"/>
  <c r="P260" i="1" s="1"/>
  <c r="O266" i="1"/>
  <c r="P266" i="1" s="1"/>
  <c r="O278" i="1"/>
  <c r="P278" i="1" s="1"/>
  <c r="O296" i="1"/>
  <c r="O49" i="1"/>
  <c r="O267" i="1"/>
  <c r="P267" i="1" s="1"/>
  <c r="P230" i="1"/>
  <c r="X230" i="1"/>
  <c r="O181" i="1"/>
  <c r="P181" i="1" s="1"/>
  <c r="O187" i="1"/>
  <c r="W192" i="1"/>
  <c r="L223" i="1"/>
  <c r="L230" i="1"/>
  <c r="L250" i="1"/>
  <c r="L267" i="1"/>
  <c r="L95" i="1"/>
  <c r="L111" i="1"/>
  <c r="O129" i="1"/>
  <c r="P129" i="1" s="1"/>
  <c r="L139" i="1"/>
  <c r="L150" i="1"/>
  <c r="L242" i="1"/>
  <c r="O244" i="1"/>
  <c r="W244" i="1" s="1"/>
  <c r="O253" i="1"/>
  <c r="P253" i="1" s="1"/>
  <c r="O258" i="1"/>
  <c r="L260" i="1"/>
  <c r="O291" i="1"/>
  <c r="P291" i="1" s="1"/>
  <c r="O298" i="1"/>
  <c r="L300" i="1"/>
  <c r="O74" i="1"/>
  <c r="P74" i="1" s="1"/>
  <c r="O81" i="1"/>
  <c r="P81" i="1" s="1"/>
  <c r="L83" i="1"/>
  <c r="L99" i="1"/>
  <c r="L115" i="1"/>
  <c r="O126" i="1"/>
  <c r="P126" i="1" s="1"/>
  <c r="L128" i="1"/>
  <c r="O173" i="1"/>
  <c r="P173" i="1" s="1"/>
  <c r="O199" i="1"/>
  <c r="P199" i="1" s="1"/>
  <c r="O225" i="1"/>
  <c r="P225" i="1" s="1"/>
  <c r="L266" i="1"/>
  <c r="L276" i="1"/>
  <c r="O281" i="1"/>
  <c r="P281" i="1" s="1"/>
  <c r="L283" i="1"/>
  <c r="L296" i="1"/>
  <c r="L304" i="1"/>
  <c r="O12" i="1"/>
  <c r="L12" i="1"/>
  <c r="L18" i="1"/>
  <c r="O18" i="1"/>
  <c r="L23" i="1"/>
  <c r="O23" i="1"/>
  <c r="O28" i="1"/>
  <c r="L28" i="1"/>
  <c r="P33" i="1"/>
  <c r="L34" i="1"/>
  <c r="O34" i="1"/>
  <c r="L39" i="1"/>
  <c r="O39" i="1"/>
  <c r="O44" i="1"/>
  <c r="L44" i="1"/>
  <c r="L50" i="1"/>
  <c r="O50" i="1"/>
  <c r="L55" i="1"/>
  <c r="O55" i="1"/>
  <c r="O60" i="1"/>
  <c r="L60" i="1"/>
  <c r="L65" i="1"/>
  <c r="O65" i="1"/>
  <c r="O24" i="1"/>
  <c r="L24" i="1"/>
  <c r="L30" i="1"/>
  <c r="O30" i="1"/>
  <c r="L35" i="1"/>
  <c r="O35" i="1"/>
  <c r="O40" i="1"/>
  <c r="L40" i="1"/>
  <c r="P45" i="1"/>
  <c r="L51" i="1"/>
  <c r="O51" i="1"/>
  <c r="O56" i="1"/>
  <c r="L56" i="1"/>
  <c r="P61" i="1"/>
  <c r="L62" i="1"/>
  <c r="O62" i="1"/>
  <c r="L68" i="1"/>
  <c r="O68" i="1"/>
  <c r="L77" i="1"/>
  <c r="O77" i="1"/>
  <c r="P13" i="1"/>
  <c r="P29" i="1"/>
  <c r="L46" i="1"/>
  <c r="O46" i="1"/>
  <c r="P9" i="1"/>
  <c r="L10" i="1"/>
  <c r="O10" i="1"/>
  <c r="L15" i="1"/>
  <c r="O15" i="1"/>
  <c r="O20" i="1"/>
  <c r="L20" i="1"/>
  <c r="P25" i="1"/>
  <c r="L26" i="1"/>
  <c r="O26" i="1"/>
  <c r="L31" i="1"/>
  <c r="O31" i="1"/>
  <c r="O36" i="1"/>
  <c r="L36" i="1"/>
  <c r="L42" i="1"/>
  <c r="O42" i="1"/>
  <c r="L47" i="1"/>
  <c r="O47" i="1"/>
  <c r="O52" i="1"/>
  <c r="L52" i="1"/>
  <c r="L58" i="1"/>
  <c r="O58" i="1"/>
  <c r="L63" i="1"/>
  <c r="O63" i="1"/>
  <c r="L73" i="1"/>
  <c r="O73" i="1"/>
  <c r="L8" i="1"/>
  <c r="L14" i="1"/>
  <c r="O14" i="1"/>
  <c r="L19" i="1"/>
  <c r="O19" i="1"/>
  <c r="L11" i="1"/>
  <c r="O11" i="1"/>
  <c r="O16" i="1"/>
  <c r="L16" i="1"/>
  <c r="L22" i="1"/>
  <c r="O22" i="1"/>
  <c r="L27" i="1"/>
  <c r="O27" i="1"/>
  <c r="O32" i="1"/>
  <c r="L32" i="1"/>
  <c r="L38" i="1"/>
  <c r="O38" i="1"/>
  <c r="L43" i="1"/>
  <c r="O43" i="1"/>
  <c r="O48" i="1"/>
  <c r="L48" i="1"/>
  <c r="L54" i="1"/>
  <c r="O54" i="1"/>
  <c r="L59" i="1"/>
  <c r="O59" i="1"/>
  <c r="L64" i="1"/>
  <c r="O64" i="1"/>
  <c r="W76" i="1"/>
  <c r="L84" i="1"/>
  <c r="O84" i="1"/>
  <c r="O86" i="1"/>
  <c r="L86" i="1"/>
  <c r="O90" i="1"/>
  <c r="L90" i="1"/>
  <c r="L93" i="1"/>
  <c r="O93" i="1"/>
  <c r="O106" i="1"/>
  <c r="L106" i="1"/>
  <c r="L109" i="1"/>
  <c r="O109" i="1"/>
  <c r="P115" i="1"/>
  <c r="O122" i="1"/>
  <c r="L122" i="1"/>
  <c r="L140" i="1"/>
  <c r="O140" i="1"/>
  <c r="L9" i="1"/>
  <c r="L13" i="1"/>
  <c r="L17" i="1"/>
  <c r="L21" i="1"/>
  <c r="L25" i="1"/>
  <c r="L29" i="1"/>
  <c r="L33" i="1"/>
  <c r="L37" i="1"/>
  <c r="L41" i="1"/>
  <c r="L45" i="1"/>
  <c r="L49" i="1"/>
  <c r="L53" i="1"/>
  <c r="L57" i="1"/>
  <c r="L61" i="1"/>
  <c r="O70" i="1"/>
  <c r="L72" i="1"/>
  <c r="L80" i="1"/>
  <c r="O80" i="1"/>
  <c r="O82" i="1"/>
  <c r="L82" i="1"/>
  <c r="P83" i="1"/>
  <c r="O94" i="1"/>
  <c r="L94" i="1"/>
  <c r="L97" i="1"/>
  <c r="O97" i="1"/>
  <c r="O110" i="1"/>
  <c r="L110" i="1"/>
  <c r="L113" i="1"/>
  <c r="O113" i="1"/>
  <c r="X131" i="1"/>
  <c r="W131" i="1"/>
  <c r="L136" i="1"/>
  <c r="O136" i="1"/>
  <c r="O69" i="1"/>
  <c r="O71" i="1"/>
  <c r="O78" i="1"/>
  <c r="L78" i="1"/>
  <c r="O98" i="1"/>
  <c r="L98" i="1"/>
  <c r="L101" i="1"/>
  <c r="O101" i="1"/>
  <c r="O114" i="1"/>
  <c r="L114" i="1"/>
  <c r="L117" i="1"/>
  <c r="O117" i="1"/>
  <c r="O67" i="1"/>
  <c r="L71" i="1"/>
  <c r="L76" i="1"/>
  <c r="O85" i="1"/>
  <c r="L89" i="1"/>
  <c r="O89" i="1"/>
  <c r="O102" i="1"/>
  <c r="L102" i="1"/>
  <c r="L105" i="1"/>
  <c r="O105" i="1"/>
  <c r="P111" i="1"/>
  <c r="O118" i="1"/>
  <c r="L118" i="1"/>
  <c r="L121" i="1"/>
  <c r="O121" i="1"/>
  <c r="L133" i="1"/>
  <c r="O133" i="1"/>
  <c r="O88" i="1"/>
  <c r="O92" i="1"/>
  <c r="O96" i="1"/>
  <c r="O100" i="1"/>
  <c r="O104" i="1"/>
  <c r="O108" i="1"/>
  <c r="O112" i="1"/>
  <c r="O116" i="1"/>
  <c r="O120" i="1"/>
  <c r="O124" i="1"/>
  <c r="W135" i="1"/>
  <c r="O137" i="1"/>
  <c r="O148" i="1"/>
  <c r="O158" i="1"/>
  <c r="L158" i="1"/>
  <c r="L164" i="1"/>
  <c r="O164" i="1"/>
  <c r="L179" i="1"/>
  <c r="O179" i="1"/>
  <c r="O130" i="1"/>
  <c r="P131" i="1"/>
  <c r="P135" i="1"/>
  <c r="O147" i="1"/>
  <c r="L147" i="1"/>
  <c r="L149" i="1"/>
  <c r="O149" i="1"/>
  <c r="O155" i="1"/>
  <c r="L155" i="1"/>
  <c r="P159" i="1"/>
  <c r="L160" i="1"/>
  <c r="O160" i="1"/>
  <c r="L165" i="1"/>
  <c r="O165" i="1"/>
  <c r="L172" i="1"/>
  <c r="O172" i="1"/>
  <c r="L180" i="1"/>
  <c r="O180" i="1"/>
  <c r="L134" i="1"/>
  <c r="W139" i="1"/>
  <c r="P146" i="1"/>
  <c r="L156" i="1"/>
  <c r="O156" i="1"/>
  <c r="L161" i="1"/>
  <c r="O161" i="1"/>
  <c r="O166" i="1"/>
  <c r="L166" i="1"/>
  <c r="O175" i="1"/>
  <c r="L175" i="1"/>
  <c r="L176" i="1"/>
  <c r="O176" i="1"/>
  <c r="O125" i="1"/>
  <c r="O127" i="1"/>
  <c r="L131" i="1"/>
  <c r="L135" i="1"/>
  <c r="O138" i="1"/>
  <c r="P139" i="1"/>
  <c r="O143" i="1"/>
  <c r="L143" i="1"/>
  <c r="L145" i="1"/>
  <c r="O145" i="1"/>
  <c r="L146" i="1"/>
  <c r="O151" i="1"/>
  <c r="L151" i="1"/>
  <c r="L153" i="1"/>
  <c r="O153" i="1"/>
  <c r="L154" i="1"/>
  <c r="L157" i="1"/>
  <c r="O157" i="1"/>
  <c r="O162" i="1"/>
  <c r="L162" i="1"/>
  <c r="P167" i="1"/>
  <c r="L186" i="1"/>
  <c r="O186" i="1"/>
  <c r="L190" i="1"/>
  <c r="O190" i="1"/>
  <c r="O201" i="1"/>
  <c r="L201" i="1"/>
  <c r="O205" i="1"/>
  <c r="L205" i="1"/>
  <c r="O209" i="1"/>
  <c r="L209" i="1"/>
  <c r="O213" i="1"/>
  <c r="L213" i="1"/>
  <c r="O217" i="1"/>
  <c r="L217" i="1"/>
  <c r="L229" i="1"/>
  <c r="O229" i="1"/>
  <c r="L232" i="1"/>
  <c r="O232" i="1"/>
  <c r="L252" i="1"/>
  <c r="O252" i="1"/>
  <c r="L159" i="1"/>
  <c r="L163" i="1"/>
  <c r="L167" i="1"/>
  <c r="L171" i="1"/>
  <c r="L177" i="1"/>
  <c r="L178" i="1"/>
  <c r="L182" i="1"/>
  <c r="O182" i="1"/>
  <c r="L183" i="1"/>
  <c r="O188" i="1"/>
  <c r="L188" i="1"/>
  <c r="L193" i="1"/>
  <c r="L203" i="1"/>
  <c r="O203" i="1"/>
  <c r="L207" i="1"/>
  <c r="O207" i="1"/>
  <c r="L211" i="1"/>
  <c r="O211" i="1"/>
  <c r="L215" i="1"/>
  <c r="O215" i="1"/>
  <c r="L221" i="1"/>
  <c r="O221" i="1"/>
  <c r="O168" i="1"/>
  <c r="O170" i="1"/>
  <c r="L174" i="1"/>
  <c r="O184" i="1"/>
  <c r="L184" i="1"/>
  <c r="L189" i="1"/>
  <c r="O195" i="1"/>
  <c r="L198" i="1"/>
  <c r="O198" i="1"/>
  <c r="O224" i="1"/>
  <c r="L224" i="1"/>
  <c r="P234" i="1"/>
  <c r="L237" i="1"/>
  <c r="O237" i="1"/>
  <c r="L170" i="1"/>
  <c r="O191" i="1"/>
  <c r="L194" i="1"/>
  <c r="O194" i="1"/>
  <c r="P228" i="1"/>
  <c r="L192" i="1"/>
  <c r="L196" i="1"/>
  <c r="L200" i="1"/>
  <c r="O202" i="1"/>
  <c r="L204" i="1"/>
  <c r="O206" i="1"/>
  <c r="L208" i="1"/>
  <c r="O210" i="1"/>
  <c r="L212" i="1"/>
  <c r="O214" i="1"/>
  <c r="L216" i="1"/>
  <c r="L218" i="1"/>
  <c r="O220" i="1"/>
  <c r="O226" i="1"/>
  <c r="P227" i="1"/>
  <c r="L228" i="1"/>
  <c r="O231" i="1"/>
  <c r="L234" i="1"/>
  <c r="O236" i="1"/>
  <c r="L243" i="1"/>
  <c r="O246" i="1"/>
  <c r="P247" i="1"/>
  <c r="L251" i="1"/>
  <c r="O254" i="1"/>
  <c r="O261" i="1"/>
  <c r="L262" i="1"/>
  <c r="O262" i="1"/>
  <c r="L268" i="1"/>
  <c r="O268" i="1"/>
  <c r="W243" i="1"/>
  <c r="W251" i="1"/>
  <c r="L257" i="1"/>
  <c r="O257" i="1"/>
  <c r="L277" i="1"/>
  <c r="O277" i="1"/>
  <c r="L280" i="1"/>
  <c r="O280" i="1"/>
  <c r="L227" i="1"/>
  <c r="L239" i="1"/>
  <c r="P243" i="1"/>
  <c r="L247" i="1"/>
  <c r="P251" i="1"/>
  <c r="L255" i="1"/>
  <c r="X263" i="1"/>
  <c r="W263" i="1"/>
  <c r="O264" i="1"/>
  <c r="L264" i="1"/>
  <c r="P270" i="1"/>
  <c r="O219" i="1"/>
  <c r="O233" i="1"/>
  <c r="O235" i="1"/>
  <c r="O240" i="1"/>
  <c r="O241" i="1"/>
  <c r="W247" i="1"/>
  <c r="O248" i="1"/>
  <c r="O249" i="1"/>
  <c r="O256" i="1"/>
  <c r="L265" i="1"/>
  <c r="O265" i="1"/>
  <c r="L288" i="1"/>
  <c r="O288" i="1"/>
  <c r="P263" i="1"/>
  <c r="O272" i="1"/>
  <c r="L308" i="1"/>
  <c r="O308" i="1"/>
  <c r="O299" i="1"/>
  <c r="L299" i="1"/>
  <c r="O302" i="1"/>
  <c r="L302" i="1"/>
  <c r="O310" i="1"/>
  <c r="L310" i="1"/>
  <c r="O259" i="1"/>
  <c r="L263" i="1"/>
  <c r="O273" i="1"/>
  <c r="O275" i="1"/>
  <c r="L278" i="1"/>
  <c r="O284" i="1"/>
  <c r="O285" i="1"/>
  <c r="L286" i="1"/>
  <c r="O292" i="1"/>
  <c r="L292" i="1"/>
  <c r="L297" i="1"/>
  <c r="O297" i="1"/>
  <c r="L259" i="1"/>
  <c r="O269" i="1"/>
  <c r="O271" i="1"/>
  <c r="L275" i="1"/>
  <c r="L279" i="1"/>
  <c r="O282" i="1"/>
  <c r="L287" i="1"/>
  <c r="O294" i="1"/>
  <c r="O314" i="1"/>
  <c r="L314" i="1"/>
  <c r="O319" i="1"/>
  <c r="L319" i="1"/>
  <c r="L324" i="1"/>
  <c r="O324" i="1"/>
  <c r="O315" i="1"/>
  <c r="L315" i="1"/>
  <c r="L320" i="1"/>
  <c r="O320" i="1"/>
  <c r="O295" i="1"/>
  <c r="L295" i="1"/>
  <c r="O303" i="1"/>
  <c r="L303" i="1"/>
  <c r="O306" i="1"/>
  <c r="L306" i="1"/>
  <c r="O311" i="1"/>
  <c r="L311" i="1"/>
  <c r="L316" i="1"/>
  <c r="O316" i="1"/>
  <c r="O322" i="1"/>
  <c r="L322" i="1"/>
  <c r="P300" i="1"/>
  <c r="O307" i="1"/>
  <c r="L307" i="1"/>
  <c r="L312" i="1"/>
  <c r="O312" i="1"/>
  <c r="O318" i="1"/>
  <c r="L318" i="1"/>
  <c r="O323" i="1"/>
  <c r="L323" i="1"/>
  <c r="O327" i="1"/>
  <c r="L327" i="1"/>
  <c r="L326" i="1"/>
  <c r="O301" i="1"/>
  <c r="O305" i="1"/>
  <c r="O309" i="1"/>
  <c r="O313" i="1"/>
  <c r="O317" i="1"/>
  <c r="O321" i="1"/>
  <c r="O325" i="1"/>
  <c r="W227" i="1" l="1"/>
  <c r="P41" i="1"/>
  <c r="P189" i="1"/>
  <c r="W169" i="1"/>
  <c r="P17" i="1"/>
  <c r="X152" i="1"/>
  <c r="P304" i="1"/>
  <c r="P144" i="1"/>
  <c r="P171" i="1"/>
  <c r="W250" i="1"/>
  <c r="P193" i="1"/>
  <c r="P276" i="1"/>
  <c r="P218" i="1"/>
  <c r="P87" i="1"/>
  <c r="P239" i="1"/>
  <c r="W178" i="1"/>
  <c r="X239" i="1"/>
  <c r="W245" i="1"/>
  <c r="W289" i="1"/>
  <c r="W107" i="1"/>
  <c r="W66" i="1"/>
  <c r="X134" i="1"/>
  <c r="P279" i="1"/>
  <c r="W279" i="1"/>
  <c r="W286" i="1"/>
  <c r="X75" i="1"/>
  <c r="X290" i="1"/>
  <c r="W223" i="1"/>
  <c r="W293" i="1"/>
  <c r="W196" i="1"/>
  <c r="X266" i="1"/>
  <c r="P183" i="1"/>
  <c r="P141" i="1"/>
  <c r="W119" i="1"/>
  <c r="X222" i="1"/>
  <c r="P298" i="1"/>
  <c r="P258" i="1"/>
  <c r="P293" i="1"/>
  <c r="P21" i="1"/>
  <c r="P123" i="1"/>
  <c r="P212" i="1"/>
  <c r="X132" i="1"/>
  <c r="W91" i="1"/>
  <c r="P128" i="1"/>
  <c r="X37" i="1"/>
  <c r="X208" i="1"/>
  <c r="X181" i="1"/>
  <c r="X244" i="1"/>
  <c r="W326" i="1"/>
  <c r="P187" i="1"/>
  <c r="X163" i="1"/>
  <c r="P255" i="1"/>
  <c r="X291" i="1"/>
  <c r="X281" i="1"/>
  <c r="W255" i="1"/>
  <c r="P204" i="1"/>
  <c r="P296" i="1"/>
  <c r="W260" i="1"/>
  <c r="X200" i="1"/>
  <c r="P197" i="1"/>
  <c r="P103" i="1"/>
  <c r="P53" i="1"/>
  <c r="X199" i="1"/>
  <c r="X129" i="1"/>
  <c r="X79" i="1"/>
  <c r="P244" i="1"/>
  <c r="W230" i="1"/>
  <c r="W225" i="1"/>
  <c r="W216" i="1"/>
  <c r="X192" i="1"/>
  <c r="W173" i="1"/>
  <c r="X177" i="1"/>
  <c r="P150" i="1"/>
  <c r="W74" i="1"/>
  <c r="X126" i="1"/>
  <c r="W142" i="1"/>
  <c r="P49" i="1"/>
  <c r="P99" i="1"/>
  <c r="W81" i="1"/>
  <c r="P283" i="1"/>
  <c r="W283" i="1"/>
  <c r="X278" i="1"/>
  <c r="P287" i="1"/>
  <c r="P174" i="1"/>
  <c r="W253" i="1"/>
  <c r="P325" i="1"/>
  <c r="P309" i="1"/>
  <c r="P316" i="1"/>
  <c r="P320" i="1"/>
  <c r="P324" i="1"/>
  <c r="P292" i="1"/>
  <c r="P284" i="1"/>
  <c r="P275" i="1"/>
  <c r="P272" i="1"/>
  <c r="X276" i="1"/>
  <c r="W276" i="1"/>
  <c r="P214" i="1"/>
  <c r="P206" i="1"/>
  <c r="P191" i="1"/>
  <c r="W234" i="1"/>
  <c r="X234" i="1"/>
  <c r="P195" i="1"/>
  <c r="P221" i="1"/>
  <c r="P215" i="1"/>
  <c r="P207" i="1"/>
  <c r="X189" i="1"/>
  <c r="W189" i="1"/>
  <c r="X185" i="1"/>
  <c r="W185" i="1"/>
  <c r="P217" i="1"/>
  <c r="P209" i="1"/>
  <c r="P201" i="1"/>
  <c r="P162" i="1"/>
  <c r="P153" i="1"/>
  <c r="P143" i="1"/>
  <c r="P166" i="1"/>
  <c r="X144" i="1"/>
  <c r="W144" i="1"/>
  <c r="X159" i="1"/>
  <c r="W159" i="1"/>
  <c r="P179" i="1"/>
  <c r="X150" i="1"/>
  <c r="W150" i="1"/>
  <c r="P120" i="1"/>
  <c r="P104" i="1"/>
  <c r="P88" i="1"/>
  <c r="X111" i="1"/>
  <c r="W111" i="1"/>
  <c r="P102" i="1"/>
  <c r="P117" i="1"/>
  <c r="P71" i="1"/>
  <c r="P97" i="1"/>
  <c r="P80" i="1"/>
  <c r="P70" i="1"/>
  <c r="P122" i="1"/>
  <c r="X99" i="1"/>
  <c r="W99" i="1"/>
  <c r="P90" i="1"/>
  <c r="P86" i="1"/>
  <c r="P64" i="1"/>
  <c r="P54" i="1"/>
  <c r="P38" i="1"/>
  <c r="P22" i="1"/>
  <c r="P19" i="1"/>
  <c r="P58" i="1"/>
  <c r="P42" i="1"/>
  <c r="P26" i="1"/>
  <c r="P10" i="1"/>
  <c r="P46" i="1"/>
  <c r="P68" i="1"/>
  <c r="P51" i="1"/>
  <c r="P30" i="1"/>
  <c r="P65" i="1"/>
  <c r="P55" i="1"/>
  <c r="P39" i="1"/>
  <c r="P23" i="1"/>
  <c r="P305" i="1"/>
  <c r="P310" i="1"/>
  <c r="P265" i="1"/>
  <c r="X238" i="1"/>
  <c r="W238" i="1"/>
  <c r="P264" i="1"/>
  <c r="P257" i="1"/>
  <c r="P268" i="1"/>
  <c r="P236" i="1"/>
  <c r="P220" i="1"/>
  <c r="P194" i="1"/>
  <c r="P224" i="1"/>
  <c r="P184" i="1"/>
  <c r="P252" i="1"/>
  <c r="P229" i="1"/>
  <c r="P186" i="1"/>
  <c r="P157" i="1"/>
  <c r="P145" i="1"/>
  <c r="P127" i="1"/>
  <c r="P161" i="1"/>
  <c r="X154" i="1"/>
  <c r="W154" i="1"/>
  <c r="X146" i="1"/>
  <c r="W146" i="1"/>
  <c r="P160" i="1"/>
  <c r="P137" i="1"/>
  <c r="P116" i="1"/>
  <c r="P100" i="1"/>
  <c r="P133" i="1"/>
  <c r="P105" i="1"/>
  <c r="P85" i="1"/>
  <c r="P67" i="1"/>
  <c r="X107" i="1"/>
  <c r="P98" i="1"/>
  <c r="P69" i="1"/>
  <c r="P110" i="1"/>
  <c r="X83" i="1"/>
  <c r="W83" i="1"/>
  <c r="P93" i="1"/>
  <c r="P84" i="1"/>
  <c r="P48" i="1"/>
  <c r="P32" i="1"/>
  <c r="P16" i="1"/>
  <c r="P8" i="1"/>
  <c r="X72" i="1"/>
  <c r="W72" i="1"/>
  <c r="P52" i="1"/>
  <c r="P36" i="1"/>
  <c r="P20" i="1"/>
  <c r="X13" i="1"/>
  <c r="W13" i="1"/>
  <c r="X61" i="1"/>
  <c r="W61" i="1"/>
  <c r="P40" i="1"/>
  <c r="X49" i="1"/>
  <c r="W49" i="1"/>
  <c r="X33" i="1"/>
  <c r="W33" i="1"/>
  <c r="X17" i="1"/>
  <c r="W17" i="1"/>
  <c r="P321" i="1"/>
  <c r="P318" i="1"/>
  <c r="P306" i="1"/>
  <c r="P297" i="1"/>
  <c r="P317" i="1"/>
  <c r="P301" i="1"/>
  <c r="P312" i="1"/>
  <c r="P294" i="1"/>
  <c r="P282" i="1"/>
  <c r="P271" i="1"/>
  <c r="P308" i="1"/>
  <c r="X298" i="1"/>
  <c r="W298" i="1"/>
  <c r="P249" i="1"/>
  <c r="P241" i="1"/>
  <c r="P235" i="1"/>
  <c r="W270" i="1"/>
  <c r="X270" i="1"/>
  <c r="X242" i="1"/>
  <c r="W242" i="1"/>
  <c r="P246" i="1"/>
  <c r="P210" i="1"/>
  <c r="P202" i="1"/>
  <c r="X212" i="1"/>
  <c r="W212" i="1"/>
  <c r="X204" i="1"/>
  <c r="W204" i="1"/>
  <c r="P237" i="1"/>
  <c r="P198" i="1"/>
  <c r="X187" i="1"/>
  <c r="W187" i="1"/>
  <c r="P170" i="1"/>
  <c r="W218" i="1"/>
  <c r="X218" i="1"/>
  <c r="P211" i="1"/>
  <c r="P203" i="1"/>
  <c r="P188" i="1"/>
  <c r="P182" i="1"/>
  <c r="P213" i="1"/>
  <c r="P205" i="1"/>
  <c r="X193" i="1"/>
  <c r="W193" i="1"/>
  <c r="X167" i="1"/>
  <c r="W167" i="1"/>
  <c r="P138" i="1"/>
  <c r="P125" i="1"/>
  <c r="P175" i="1"/>
  <c r="X171" i="1"/>
  <c r="W171" i="1"/>
  <c r="P155" i="1"/>
  <c r="P147" i="1"/>
  <c r="P130" i="1"/>
  <c r="P164" i="1"/>
  <c r="P148" i="1"/>
  <c r="P112" i="1"/>
  <c r="P96" i="1"/>
  <c r="P118" i="1"/>
  <c r="X95" i="1"/>
  <c r="W95" i="1"/>
  <c r="W141" i="1"/>
  <c r="X141" i="1"/>
  <c r="P101" i="1"/>
  <c r="P136" i="1"/>
  <c r="P113" i="1"/>
  <c r="X128" i="1"/>
  <c r="W128" i="1"/>
  <c r="X115" i="1"/>
  <c r="W115" i="1"/>
  <c r="P106" i="1"/>
  <c r="X87" i="1"/>
  <c r="W87" i="1"/>
  <c r="P59" i="1"/>
  <c r="P43" i="1"/>
  <c r="P27" i="1"/>
  <c r="P11" i="1"/>
  <c r="P14" i="1"/>
  <c r="P73" i="1"/>
  <c r="P63" i="1"/>
  <c r="P47" i="1"/>
  <c r="P31" i="1"/>
  <c r="P15" i="1"/>
  <c r="P77" i="1"/>
  <c r="P62" i="1"/>
  <c r="P35" i="1"/>
  <c r="P50" i="1"/>
  <c r="P34" i="1"/>
  <c r="P18" i="1"/>
  <c r="P327" i="1"/>
  <c r="P307" i="1"/>
  <c r="X296" i="1"/>
  <c r="W296" i="1"/>
  <c r="P314" i="1"/>
  <c r="X274" i="1"/>
  <c r="W274" i="1"/>
  <c r="P273" i="1"/>
  <c r="P299" i="1"/>
  <c r="X304" i="1"/>
  <c r="W304" i="1"/>
  <c r="P219" i="1"/>
  <c r="P280" i="1"/>
  <c r="P262" i="1"/>
  <c r="P313" i="1"/>
  <c r="P323" i="1"/>
  <c r="X300" i="1"/>
  <c r="W300" i="1"/>
  <c r="P322" i="1"/>
  <c r="P311" i="1"/>
  <c r="P303" i="1"/>
  <c r="P295" i="1"/>
  <c r="P315" i="1"/>
  <c r="P319" i="1"/>
  <c r="P269" i="1"/>
  <c r="P285" i="1"/>
  <c r="P259" i="1"/>
  <c r="P302" i="1"/>
  <c r="P288" i="1"/>
  <c r="P256" i="1"/>
  <c r="P248" i="1"/>
  <c r="P240" i="1"/>
  <c r="P233" i="1"/>
  <c r="P277" i="1"/>
  <c r="P261" i="1"/>
  <c r="P254" i="1"/>
  <c r="P231" i="1"/>
  <c r="P226" i="1"/>
  <c r="X228" i="1"/>
  <c r="W228" i="1"/>
  <c r="X197" i="1"/>
  <c r="W197" i="1"/>
  <c r="P168" i="1"/>
  <c r="X258" i="1"/>
  <c r="W258" i="1"/>
  <c r="P232" i="1"/>
  <c r="P190" i="1"/>
  <c r="X183" i="1"/>
  <c r="W183" i="1"/>
  <c r="X169" i="1"/>
  <c r="P151" i="1"/>
  <c r="P176" i="1"/>
  <c r="P156" i="1"/>
  <c r="P180" i="1"/>
  <c r="P172" i="1"/>
  <c r="P165" i="1"/>
  <c r="P149" i="1"/>
  <c r="P158" i="1"/>
  <c r="P124" i="1"/>
  <c r="P108" i="1"/>
  <c r="P92" i="1"/>
  <c r="P121" i="1"/>
  <c r="P89" i="1"/>
  <c r="X123" i="1"/>
  <c r="W123" i="1"/>
  <c r="P114" i="1"/>
  <c r="P78" i="1"/>
  <c r="X103" i="1"/>
  <c r="W103" i="1"/>
  <c r="P94" i="1"/>
  <c r="P82" i="1"/>
  <c r="P140" i="1"/>
  <c r="P109" i="1"/>
  <c r="X53" i="1"/>
  <c r="W53" i="1"/>
  <c r="X21" i="1"/>
  <c r="W21" i="1"/>
  <c r="X57" i="1"/>
  <c r="W57" i="1"/>
  <c r="X41" i="1"/>
  <c r="W41" i="1"/>
  <c r="X25" i="1"/>
  <c r="W25" i="1"/>
  <c r="X9" i="1"/>
  <c r="W9" i="1"/>
  <c r="X29" i="1"/>
  <c r="W29" i="1"/>
  <c r="P56" i="1"/>
  <c r="X45" i="1"/>
  <c r="W45" i="1"/>
  <c r="P24" i="1"/>
  <c r="P60" i="1"/>
  <c r="P44" i="1"/>
  <c r="P28" i="1"/>
  <c r="P12" i="1"/>
  <c r="W152" i="1" l="1"/>
  <c r="X66" i="1"/>
  <c r="X196" i="1"/>
  <c r="X223" i="1"/>
  <c r="W290" i="1"/>
  <c r="X245" i="1"/>
  <c r="X250" i="1"/>
  <c r="W134" i="1"/>
  <c r="X289" i="1"/>
  <c r="W266" i="1"/>
  <c r="X178" i="1"/>
  <c r="W75" i="1"/>
  <c r="X119" i="1"/>
  <c r="X286" i="1"/>
  <c r="W222" i="1"/>
  <c r="W132" i="1"/>
  <c r="X91" i="1"/>
  <c r="W181" i="1"/>
  <c r="W37" i="1"/>
  <c r="W208" i="1"/>
  <c r="X260" i="1"/>
  <c r="W163" i="1"/>
  <c r="X81" i="1"/>
  <c r="W129" i="1"/>
  <c r="X142" i="1"/>
  <c r="X326" i="1"/>
  <c r="W126" i="1"/>
  <c r="W278" i="1"/>
  <c r="X74" i="1"/>
  <c r="W281" i="1"/>
  <c r="X173" i="1"/>
  <c r="W79" i="1"/>
  <c r="W291" i="1"/>
  <c r="W177" i="1"/>
  <c r="W200" i="1"/>
  <c r="X225" i="1"/>
  <c r="W199" i="1"/>
  <c r="X216" i="1"/>
  <c r="W267" i="1"/>
  <c r="X267" i="1"/>
  <c r="X174" i="1"/>
  <c r="W174" i="1"/>
  <c r="X253" i="1"/>
  <c r="X287" i="1"/>
  <c r="W287" i="1"/>
  <c r="W277" i="1"/>
  <c r="X277" i="1"/>
  <c r="X262" i="1"/>
  <c r="W262" i="1"/>
  <c r="X314" i="1"/>
  <c r="W314" i="1"/>
  <c r="W15" i="1"/>
  <c r="X15" i="1"/>
  <c r="W47" i="1"/>
  <c r="X47" i="1"/>
  <c r="W11" i="1"/>
  <c r="X11" i="1"/>
  <c r="W43" i="1"/>
  <c r="X43" i="1"/>
  <c r="X106" i="1"/>
  <c r="W106" i="1"/>
  <c r="W113" i="1"/>
  <c r="X113" i="1"/>
  <c r="X118" i="1"/>
  <c r="W118" i="1"/>
  <c r="W182" i="1"/>
  <c r="X182" i="1"/>
  <c r="W203" i="1"/>
  <c r="X203" i="1"/>
  <c r="W237" i="1"/>
  <c r="X237" i="1"/>
  <c r="W241" i="1"/>
  <c r="X241" i="1"/>
  <c r="X271" i="1"/>
  <c r="W271" i="1"/>
  <c r="X294" i="1"/>
  <c r="W294" i="1"/>
  <c r="W301" i="1"/>
  <c r="X301" i="1"/>
  <c r="X318" i="1"/>
  <c r="W318" i="1"/>
  <c r="X20" i="1"/>
  <c r="W20" i="1"/>
  <c r="X52" i="1"/>
  <c r="W52" i="1"/>
  <c r="X8" i="1"/>
  <c r="W8" i="1"/>
  <c r="X32" i="1"/>
  <c r="W32" i="1"/>
  <c r="X67" i="1"/>
  <c r="W67" i="1"/>
  <c r="W105" i="1"/>
  <c r="X105" i="1"/>
  <c r="W137" i="1"/>
  <c r="X137" i="1"/>
  <c r="X127" i="1"/>
  <c r="W127" i="1"/>
  <c r="W157" i="1"/>
  <c r="X157" i="1"/>
  <c r="W186" i="1"/>
  <c r="X186" i="1"/>
  <c r="X310" i="1"/>
  <c r="W310" i="1"/>
  <c r="W23" i="1"/>
  <c r="X23" i="1"/>
  <c r="W55" i="1"/>
  <c r="X55" i="1"/>
  <c r="W19" i="1"/>
  <c r="X19" i="1"/>
  <c r="X90" i="1"/>
  <c r="W90" i="1"/>
  <c r="X122" i="1"/>
  <c r="W122" i="1"/>
  <c r="X102" i="1"/>
  <c r="W102" i="1"/>
  <c r="X162" i="1"/>
  <c r="W162" i="1"/>
  <c r="W207" i="1"/>
  <c r="X207" i="1"/>
  <c r="W221" i="1"/>
  <c r="X221" i="1"/>
  <c r="W309" i="1"/>
  <c r="X309" i="1"/>
  <c r="X28" i="1"/>
  <c r="W28" i="1"/>
  <c r="X114" i="1"/>
  <c r="W114" i="1"/>
  <c r="W121" i="1"/>
  <c r="X121" i="1"/>
  <c r="W285" i="1"/>
  <c r="X285" i="1"/>
  <c r="X322" i="1"/>
  <c r="W322" i="1"/>
  <c r="X219" i="1"/>
  <c r="W219" i="1"/>
  <c r="X299" i="1"/>
  <c r="W299" i="1"/>
  <c r="X307" i="1"/>
  <c r="W307" i="1"/>
  <c r="X62" i="1"/>
  <c r="W62" i="1"/>
  <c r="W73" i="1"/>
  <c r="X73" i="1"/>
  <c r="X147" i="1"/>
  <c r="W147" i="1"/>
  <c r="X205" i="1"/>
  <c r="W205" i="1"/>
  <c r="X84" i="1"/>
  <c r="W84" i="1"/>
  <c r="W184" i="1"/>
  <c r="X184" i="1"/>
  <c r="X236" i="1"/>
  <c r="W236" i="1"/>
  <c r="X268" i="1"/>
  <c r="W268" i="1"/>
  <c r="X264" i="1"/>
  <c r="W264" i="1"/>
  <c r="W265" i="1"/>
  <c r="X265" i="1"/>
  <c r="X30" i="1"/>
  <c r="W30" i="1"/>
  <c r="X68" i="1"/>
  <c r="W68" i="1"/>
  <c r="X10" i="1"/>
  <c r="W10" i="1"/>
  <c r="X42" i="1"/>
  <c r="W42" i="1"/>
  <c r="X38" i="1"/>
  <c r="W38" i="1"/>
  <c r="X64" i="1"/>
  <c r="W64" i="1"/>
  <c r="X80" i="1"/>
  <c r="W80" i="1"/>
  <c r="X71" i="1"/>
  <c r="W71" i="1"/>
  <c r="X88" i="1"/>
  <c r="W88" i="1"/>
  <c r="X179" i="1"/>
  <c r="W179" i="1"/>
  <c r="X143" i="1"/>
  <c r="W143" i="1"/>
  <c r="X209" i="1"/>
  <c r="W209" i="1"/>
  <c r="X206" i="1"/>
  <c r="W206" i="1"/>
  <c r="X284" i="1"/>
  <c r="W284" i="1"/>
  <c r="X324" i="1"/>
  <c r="W324" i="1"/>
  <c r="X316" i="1"/>
  <c r="W316" i="1"/>
  <c r="X60" i="1"/>
  <c r="W60" i="1"/>
  <c r="X94" i="1"/>
  <c r="W94" i="1"/>
  <c r="W165" i="1"/>
  <c r="X165" i="1"/>
  <c r="X140" i="1"/>
  <c r="W140" i="1"/>
  <c r="X108" i="1"/>
  <c r="W108" i="1"/>
  <c r="W180" i="1"/>
  <c r="X180" i="1"/>
  <c r="X190" i="1"/>
  <c r="W190" i="1"/>
  <c r="X240" i="1"/>
  <c r="W240" i="1"/>
  <c r="X256" i="1"/>
  <c r="W256" i="1"/>
  <c r="X315" i="1"/>
  <c r="W315" i="1"/>
  <c r="X323" i="1"/>
  <c r="W323" i="1"/>
  <c r="X50" i="1"/>
  <c r="W50" i="1"/>
  <c r="X164" i="1"/>
  <c r="W164" i="1"/>
  <c r="W125" i="1"/>
  <c r="X125" i="1"/>
  <c r="X210" i="1"/>
  <c r="W210" i="1"/>
  <c r="W297" i="1"/>
  <c r="X297" i="1"/>
  <c r="X100" i="1"/>
  <c r="W100" i="1"/>
  <c r="X252" i="1"/>
  <c r="W252" i="1"/>
  <c r="X12" i="1"/>
  <c r="W12" i="1"/>
  <c r="X56" i="1"/>
  <c r="W56" i="1"/>
  <c r="W82" i="1"/>
  <c r="X82" i="1"/>
  <c r="W149" i="1"/>
  <c r="X149" i="1"/>
  <c r="W172" i="1"/>
  <c r="X172" i="1"/>
  <c r="W295" i="1"/>
  <c r="X295" i="1"/>
  <c r="W273" i="1"/>
  <c r="X273" i="1"/>
  <c r="W35" i="1"/>
  <c r="X35" i="1"/>
  <c r="W101" i="1"/>
  <c r="X101" i="1"/>
  <c r="W188" i="1"/>
  <c r="X188" i="1"/>
  <c r="X246" i="1"/>
  <c r="W246" i="1"/>
  <c r="X235" i="1"/>
  <c r="W235" i="1"/>
  <c r="W249" i="1"/>
  <c r="X249" i="1"/>
  <c r="X282" i="1"/>
  <c r="W282" i="1"/>
  <c r="W317" i="1"/>
  <c r="X317" i="1"/>
  <c r="X306" i="1"/>
  <c r="W306" i="1"/>
  <c r="W321" i="1"/>
  <c r="X321" i="1"/>
  <c r="X40" i="1"/>
  <c r="W40" i="1"/>
  <c r="X36" i="1"/>
  <c r="W36" i="1"/>
  <c r="X16" i="1"/>
  <c r="W16" i="1"/>
  <c r="X48" i="1"/>
  <c r="W48" i="1"/>
  <c r="W93" i="1"/>
  <c r="X93" i="1"/>
  <c r="X110" i="1"/>
  <c r="W110" i="1"/>
  <c r="W69" i="1"/>
  <c r="X69" i="1"/>
  <c r="X98" i="1"/>
  <c r="W98" i="1"/>
  <c r="W85" i="1"/>
  <c r="X85" i="1"/>
  <c r="W133" i="1"/>
  <c r="X133" i="1"/>
  <c r="W161" i="1"/>
  <c r="X161" i="1"/>
  <c r="W145" i="1"/>
  <c r="X145" i="1"/>
  <c r="W257" i="1"/>
  <c r="X257" i="1"/>
  <c r="W305" i="1"/>
  <c r="X305" i="1"/>
  <c r="W39" i="1"/>
  <c r="X39" i="1"/>
  <c r="W51" i="1"/>
  <c r="X51" i="1"/>
  <c r="W86" i="1"/>
  <c r="X86" i="1"/>
  <c r="X70" i="1"/>
  <c r="W70" i="1"/>
  <c r="W97" i="1"/>
  <c r="X97" i="1"/>
  <c r="W117" i="1"/>
  <c r="X117" i="1"/>
  <c r="X166" i="1"/>
  <c r="W166" i="1"/>
  <c r="W153" i="1"/>
  <c r="X153" i="1"/>
  <c r="W215" i="1"/>
  <c r="X215" i="1"/>
  <c r="W195" i="1"/>
  <c r="X195" i="1"/>
  <c r="W191" i="1"/>
  <c r="X191" i="1"/>
  <c r="W325" i="1"/>
  <c r="X325" i="1"/>
  <c r="W78" i="1"/>
  <c r="X78" i="1"/>
  <c r="W231" i="1"/>
  <c r="X231" i="1"/>
  <c r="W261" i="1"/>
  <c r="X261" i="1"/>
  <c r="X302" i="1"/>
  <c r="W302" i="1"/>
  <c r="W176" i="1"/>
  <c r="X176" i="1"/>
  <c r="X303" i="1"/>
  <c r="W303" i="1"/>
  <c r="X18" i="1"/>
  <c r="W18" i="1"/>
  <c r="X136" i="1"/>
  <c r="W136" i="1"/>
  <c r="X112" i="1"/>
  <c r="W112" i="1"/>
  <c r="AK5" i="1"/>
  <c r="X160" i="1"/>
  <c r="W160" i="1"/>
  <c r="X194" i="1"/>
  <c r="W194" i="1"/>
  <c r="X120" i="1"/>
  <c r="W120" i="1"/>
  <c r="X44" i="1"/>
  <c r="W44" i="1"/>
  <c r="X24" i="1"/>
  <c r="W24" i="1"/>
  <c r="W109" i="1"/>
  <c r="X109" i="1"/>
  <c r="W89" i="1"/>
  <c r="X89" i="1"/>
  <c r="X158" i="1"/>
  <c r="W158" i="1"/>
  <c r="W168" i="1"/>
  <c r="X168" i="1"/>
  <c r="X226" i="1"/>
  <c r="W226" i="1"/>
  <c r="X254" i="1"/>
  <c r="W254" i="1"/>
  <c r="W313" i="1"/>
  <c r="X313" i="1"/>
  <c r="W31" i="1"/>
  <c r="X31" i="1"/>
  <c r="W63" i="1"/>
  <c r="X63" i="1"/>
  <c r="W27" i="1"/>
  <c r="X27" i="1"/>
  <c r="W59" i="1"/>
  <c r="X59" i="1"/>
  <c r="X130" i="1"/>
  <c r="W130" i="1"/>
  <c r="X138" i="1"/>
  <c r="W138" i="1"/>
  <c r="W211" i="1"/>
  <c r="X211" i="1"/>
  <c r="X92" i="1"/>
  <c r="W92" i="1"/>
  <c r="X124" i="1"/>
  <c r="W124" i="1"/>
  <c r="X156" i="1"/>
  <c r="W156" i="1"/>
  <c r="X151" i="1"/>
  <c r="W151" i="1"/>
  <c r="X232" i="1"/>
  <c r="W232" i="1"/>
  <c r="W233" i="1"/>
  <c r="X233" i="1"/>
  <c r="X248" i="1"/>
  <c r="W248" i="1"/>
  <c r="X288" i="1"/>
  <c r="W288" i="1"/>
  <c r="X259" i="1"/>
  <c r="W259" i="1"/>
  <c r="W269" i="1"/>
  <c r="X269" i="1"/>
  <c r="X319" i="1"/>
  <c r="W319" i="1"/>
  <c r="X311" i="1"/>
  <c r="W311" i="1"/>
  <c r="X280" i="1"/>
  <c r="W280" i="1"/>
  <c r="X327" i="1"/>
  <c r="W327" i="1"/>
  <c r="X34" i="1"/>
  <c r="W34" i="1"/>
  <c r="W77" i="1"/>
  <c r="X77" i="1"/>
  <c r="X14" i="1"/>
  <c r="W14" i="1"/>
  <c r="X96" i="1"/>
  <c r="W96" i="1"/>
  <c r="X148" i="1"/>
  <c r="W148" i="1"/>
  <c r="X155" i="1"/>
  <c r="W155" i="1"/>
  <c r="X175" i="1"/>
  <c r="W175" i="1"/>
  <c r="X213" i="1"/>
  <c r="W213" i="1"/>
  <c r="X170" i="1"/>
  <c r="W170" i="1"/>
  <c r="X198" i="1"/>
  <c r="W198" i="1"/>
  <c r="X202" i="1"/>
  <c r="W202" i="1"/>
  <c r="X308" i="1"/>
  <c r="W308" i="1"/>
  <c r="X312" i="1"/>
  <c r="W312" i="1"/>
  <c r="X116" i="1"/>
  <c r="W116" i="1"/>
  <c r="W229" i="1"/>
  <c r="X229" i="1"/>
  <c r="X224" i="1"/>
  <c r="W224" i="1"/>
  <c r="X220" i="1"/>
  <c r="W220" i="1"/>
  <c r="W65" i="1"/>
  <c r="X65" i="1"/>
  <c r="X46" i="1"/>
  <c r="W46" i="1"/>
  <c r="X26" i="1"/>
  <c r="W26" i="1"/>
  <c r="X58" i="1"/>
  <c r="W58" i="1"/>
  <c r="X22" i="1"/>
  <c r="W22" i="1"/>
  <c r="X54" i="1"/>
  <c r="W54" i="1"/>
  <c r="X104" i="1"/>
  <c r="W104" i="1"/>
  <c r="X201" i="1"/>
  <c r="W201" i="1"/>
  <c r="W217" i="1"/>
  <c r="X217" i="1"/>
  <c r="X214" i="1"/>
  <c r="W214" i="1"/>
  <c r="X272" i="1"/>
  <c r="W272" i="1"/>
  <c r="X275" i="1"/>
  <c r="W275" i="1"/>
  <c r="W292" i="1"/>
  <c r="X292" i="1"/>
  <c r="X320" i="1"/>
  <c r="W320" i="1"/>
  <c r="AI5" i="1" l="1" a="1"/>
  <c r="AI5" i="1" s="1"/>
  <c r="AL5" i="1" l="1"/>
  <c r="AN5" i="1"/>
</calcChain>
</file>

<file path=xl/sharedStrings.xml><?xml version="1.0" encoding="utf-8"?>
<sst xmlns="http://schemas.openxmlformats.org/spreadsheetml/2006/main" count="175" uniqueCount="81">
  <si>
    <t>Simulated data, Pacific halibut, mark-recapture, Area 2B, 1982</t>
  </si>
  <si>
    <t>AVERAGE</t>
  </si>
  <si>
    <t>=AVERAGE(Al5:Al1024)</t>
  </si>
  <si>
    <t>Inputs</t>
  </si>
  <si>
    <t>Intermediate calcs</t>
  </si>
  <si>
    <t>Initial conditions</t>
  </si>
  <si>
    <t>SD</t>
  </si>
  <si>
    <t>=STDEV(AL6:AL1005)</t>
  </si>
  <si>
    <t>gamma</t>
  </si>
  <si>
    <t>alpha~</t>
  </si>
  <si>
    <t>alpha</t>
  </si>
  <si>
    <t>Y_inf</t>
  </si>
  <si>
    <t>DO NOT TOUCH!</t>
  </si>
  <si>
    <t>WORKHORSE</t>
  </si>
  <si>
    <t>rho</t>
  </si>
  <si>
    <t>k</t>
  </si>
  <si>
    <t>RSSw</t>
  </si>
  <si>
    <t>-2lnL</t>
  </si>
  <si>
    <t>n</t>
  </si>
  <si>
    <t>sigma_eps</t>
  </si>
  <si>
    <t>Sum 1/tau^2</t>
  </si>
  <si>
    <t>kappa</t>
  </si>
  <si>
    <t>Replicates</t>
  </si>
  <si>
    <t>x_inf_T</t>
  </si>
  <si>
    <t>Operating model values</t>
  </si>
  <si>
    <t>Back-transform of E(x2)</t>
  </si>
  <si>
    <t>N(0,1)</t>
  </si>
  <si>
    <t>Back transformed</t>
  </si>
  <si>
    <t>Original data</t>
  </si>
  <si>
    <t>Likelihood stuff</t>
  </si>
  <si>
    <t>pritagno</t>
  </si>
  <si>
    <t>relday</t>
  </si>
  <si>
    <t>relmon</t>
  </si>
  <si>
    <t>relyr</t>
  </si>
  <si>
    <t>recday</t>
  </si>
  <si>
    <t>recmon</t>
  </si>
  <si>
    <t>recyr</t>
  </si>
  <si>
    <t>Y1</t>
  </si>
  <si>
    <t>x1</t>
  </si>
  <si>
    <t>Del t</t>
  </si>
  <si>
    <t>E(x2)</t>
  </si>
  <si>
    <t>E(Y2)-like</t>
  </si>
  <si>
    <t>Var (x2)</t>
  </si>
  <si>
    <t>N(0,1) Random # Generator</t>
  </si>
  <si>
    <t>Generated data x2</t>
  </si>
  <si>
    <t>data Y2</t>
  </si>
  <si>
    <t>DelY</t>
  </si>
  <si>
    <t>Original data Y2</t>
  </si>
  <si>
    <t>x2</t>
  </si>
  <si>
    <t>mu2</t>
  </si>
  <si>
    <t>tau^2</t>
  </si>
  <si>
    <t>(x2-mu2)^2</t>
  </si>
  <si>
    <t>x2-m2</t>
  </si>
  <si>
    <t>Y2hat</t>
  </si>
  <si>
    <t>PDFs of CFBC</t>
  </si>
  <si>
    <t>x_inf</t>
  </si>
  <si>
    <t>Yinf</t>
  </si>
  <si>
    <t>r</t>
  </si>
  <si>
    <t>a</t>
  </si>
  <si>
    <r>
      <t>t</t>
    </r>
    <r>
      <rPr>
        <vertAlign val="subscript"/>
        <sz val="12"/>
        <rFont val="Times New Roman"/>
        <family val="1"/>
      </rPr>
      <t>0</t>
    </r>
  </si>
  <si>
    <t>g</t>
  </si>
  <si>
    <t>t</t>
  </si>
  <si>
    <r>
      <t>L</t>
    </r>
    <r>
      <rPr>
        <vertAlign val="subscript"/>
        <sz val="12"/>
        <rFont val="Times New Roman"/>
        <family val="1"/>
      </rPr>
      <t>t</t>
    </r>
  </si>
  <si>
    <r>
      <t>s</t>
    </r>
    <r>
      <rPr>
        <vertAlign val="superscript"/>
        <sz val="12"/>
        <rFont val="Times New Roman"/>
        <family val="1"/>
      </rPr>
      <t>2</t>
    </r>
  </si>
  <si>
    <t>trans</t>
  </si>
  <si>
    <t>M</t>
  </si>
  <si>
    <r>
      <t>s</t>
    </r>
    <r>
      <rPr>
        <vertAlign val="subscript"/>
        <sz val="12"/>
        <rFont val="Times New Roman"/>
        <family val="1"/>
      </rPr>
      <t>M</t>
    </r>
    <r>
      <rPr>
        <vertAlign val="superscript"/>
        <sz val="12"/>
        <rFont val="Times New Roman"/>
        <family val="1"/>
      </rPr>
      <t>2</t>
    </r>
  </si>
  <si>
    <r>
      <t>D</t>
    </r>
    <r>
      <rPr>
        <sz val="12"/>
        <rFont val="Times New Roman"/>
        <family val="1"/>
      </rPr>
      <t>t</t>
    </r>
  </si>
  <si>
    <t>age t</t>
  </si>
  <si>
    <r>
      <t>m</t>
    </r>
    <r>
      <rPr>
        <vertAlign val="subscript"/>
        <sz val="12"/>
        <rFont val="Times New Roman"/>
        <family val="1"/>
      </rPr>
      <t>t</t>
    </r>
  </si>
  <si>
    <r>
      <t>V</t>
    </r>
    <r>
      <rPr>
        <vertAlign val="subscript"/>
        <sz val="12"/>
        <rFont val="Times New Roman"/>
        <family val="1"/>
      </rPr>
      <t>t</t>
    </r>
  </si>
  <si>
    <r>
      <t>S</t>
    </r>
    <r>
      <rPr>
        <vertAlign val="subscript"/>
        <sz val="12"/>
        <rFont val="Times New Roman"/>
        <family val="1"/>
      </rPr>
      <t>t</t>
    </r>
  </si>
  <si>
    <t>E(Y2)</t>
  </si>
  <si>
    <t>SD(Y2)</t>
  </si>
  <si>
    <t>x</t>
  </si>
  <si>
    <t>Y</t>
  </si>
  <si>
    <t>f(Y)</t>
  </si>
  <si>
    <t>Bin</t>
  </si>
  <si>
    <t>More</t>
  </si>
  <si>
    <t>Frequency</t>
  </si>
  <si>
    <t>CV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</si>
</sst>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.0"/>
    <numFmt numFmtId="166" formatCode="0.00000"/>
    <numFmt numFmtId="167" formatCode="0.0000"/>
  </numFmts>
  <fonts count="6" x14ac:knownFonts="1">
    <font>
      <sz val="11"/>
      <color theme="1"/>
      <name val="Calibri"/>
      <family val="2"/>
      <scheme val="minor"/>
    </font>
    <font>
      <sz val="12"/>
      <name val="Times New Roman"/>
      <family val="1"/>
    </font>
    <font>
      <sz val="12"/>
      <name val="Symbol"/>
      <family val="1"/>
      <charset val="2"/>
    </font>
    <font>
      <vertAlign val="subscript"/>
      <sz val="12"/>
      <name val="Times New Roman"/>
      <family val="1"/>
    </font>
    <font>
      <vertAlign val="superscript"/>
      <sz val="12"/>
      <name val="Times New Roman"/>
      <family val="1"/>
    </font>
    <font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64">
    <xf numFmtId="0" fontId="0" fillId="0" borderId="0" xfId="0"/>
    <xf numFmtId="2" fontId="0" fillId="0" borderId="0" xfId="0" applyNumberFormat="1"/>
    <xf numFmtId="0" fontId="0" fillId="0" borderId="0" xfId="0" applyAlignment="1">
      <alignment horizontal="right"/>
    </xf>
    <xf numFmtId="2" fontId="0" fillId="0" borderId="0" xfId="0" quotePrefix="1" applyNumberFormat="1"/>
    <xf numFmtId="0" fontId="0" fillId="0" borderId="0" xfId="0" quotePrefix="1"/>
    <xf numFmtId="0" fontId="0" fillId="2" borderId="0" xfId="0" applyFill="1"/>
    <xf numFmtId="0" fontId="0" fillId="3" borderId="0" xfId="0" applyFill="1"/>
    <xf numFmtId="164" fontId="0" fillId="0" borderId="0" xfId="0" applyNumberFormat="1"/>
    <xf numFmtId="164" fontId="0" fillId="2" borderId="0" xfId="0" applyNumberFormat="1" applyFill="1"/>
    <xf numFmtId="2" fontId="0" fillId="3" borderId="0" xfId="0" applyNumberFormat="1" applyFill="1"/>
    <xf numFmtId="1" fontId="0" fillId="0" borderId="0" xfId="0" applyNumberFormat="1"/>
    <xf numFmtId="2" fontId="0" fillId="4" borderId="0" xfId="0" quotePrefix="1" applyNumberFormat="1" applyFill="1"/>
    <xf numFmtId="2" fontId="0" fillId="2" borderId="0" xfId="0" applyNumberFormat="1" applyFill="1"/>
    <xf numFmtId="0" fontId="0" fillId="5" borderId="0" xfId="0" applyFill="1" applyAlignment="1">
      <alignment horizontal="left"/>
    </xf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horizontal="right"/>
    </xf>
    <xf numFmtId="1" fontId="0" fillId="0" borderId="0" xfId="0" applyNumberFormat="1" applyAlignment="1">
      <alignment horizontal="right"/>
    </xf>
    <xf numFmtId="164" fontId="0" fillId="3" borderId="0" xfId="0" applyNumberFormat="1" applyFill="1"/>
    <xf numFmtId="165" fontId="0" fillId="5" borderId="0" xfId="0" applyNumberFormat="1" applyFill="1"/>
    <xf numFmtId="164" fontId="0" fillId="4" borderId="0" xfId="0" applyNumberFormat="1" applyFill="1"/>
    <xf numFmtId="1" fontId="0" fillId="4" borderId="0" xfId="0" applyNumberFormat="1" applyFill="1"/>
    <xf numFmtId="165" fontId="0" fillId="4" borderId="0" xfId="0" applyNumberFormat="1" applyFill="1"/>
    <xf numFmtId="0" fontId="0" fillId="6" borderId="0" xfId="0" applyFill="1" applyAlignment="1">
      <alignment horizontal="left"/>
    </xf>
    <xf numFmtId="2" fontId="0" fillId="6" borderId="0" xfId="0" applyNumberFormat="1" applyFill="1"/>
    <xf numFmtId="0" fontId="0" fillId="6" borderId="0" xfId="0" applyFill="1"/>
    <xf numFmtId="0" fontId="0" fillId="6" borderId="0" xfId="0" applyFill="1" applyAlignment="1">
      <alignment horizontal="right" wrapText="1"/>
    </xf>
    <xf numFmtId="0" fontId="0" fillId="7" borderId="0" xfId="0" applyFill="1" applyAlignment="1">
      <alignment horizontal="center"/>
    </xf>
    <xf numFmtId="0" fontId="0" fillId="7" borderId="0" xfId="0" applyFill="1" applyAlignment="1">
      <alignment horizontal="center" wrapText="1"/>
    </xf>
    <xf numFmtId="0" fontId="0" fillId="7" borderId="0" xfId="0" applyFill="1"/>
    <xf numFmtId="0" fontId="0" fillId="8" borderId="0" xfId="0" applyFill="1"/>
    <xf numFmtId="2" fontId="0" fillId="8" borderId="0" xfId="0" applyNumberFormat="1" applyFill="1"/>
    <xf numFmtId="165" fontId="0" fillId="0" borderId="0" xfId="0" applyNumberFormat="1"/>
    <xf numFmtId="0" fontId="0" fillId="6" borderId="0" xfId="0" applyFill="1" applyAlignment="1">
      <alignment horizontal="right"/>
    </xf>
    <xf numFmtId="2" fontId="0" fillId="6" borderId="0" xfId="0" applyNumberFormat="1" applyFill="1" applyAlignment="1">
      <alignment horizontal="right"/>
    </xf>
    <xf numFmtId="0" fontId="0" fillId="7" borderId="0" xfId="0" applyFill="1" applyAlignment="1">
      <alignment horizontal="right"/>
    </xf>
    <xf numFmtId="0" fontId="0" fillId="7" borderId="0" xfId="0" applyFill="1" applyAlignment="1">
      <alignment wrapText="1"/>
    </xf>
    <xf numFmtId="0" fontId="0" fillId="8" borderId="0" xfId="0" applyFill="1" applyAlignment="1">
      <alignment horizontal="right"/>
    </xf>
    <xf numFmtId="2" fontId="0" fillId="8" borderId="0" xfId="0" applyNumberFormat="1" applyFill="1" applyAlignment="1">
      <alignment horizontal="right"/>
    </xf>
    <xf numFmtId="166" fontId="0" fillId="0" borderId="0" xfId="0" applyNumberFormat="1"/>
    <xf numFmtId="167" fontId="0" fillId="0" borderId="0" xfId="0" applyNumberFormat="1"/>
    <xf numFmtId="0" fontId="1" fillId="0" borderId="0" xfId="1" applyAlignment="1">
      <alignment horizontal="left"/>
    </xf>
    <xf numFmtId="0" fontId="1" fillId="0" borderId="0" xfId="1"/>
    <xf numFmtId="0" fontId="1" fillId="0" borderId="0" xfId="1" applyAlignment="1">
      <alignment horizontal="right"/>
    </xf>
    <xf numFmtId="0" fontId="2" fillId="0" borderId="0" xfId="1" applyFont="1"/>
    <xf numFmtId="0" fontId="1" fillId="0" borderId="1" xfId="1" applyBorder="1"/>
    <xf numFmtId="0" fontId="2" fillId="0" borderId="2" xfId="1" applyFont="1" applyBorder="1" applyAlignment="1">
      <alignment horizontal="right"/>
    </xf>
    <xf numFmtId="0" fontId="2" fillId="0" borderId="0" xfId="1" applyFont="1" applyAlignment="1">
      <alignment horizontal="right"/>
    </xf>
    <xf numFmtId="0" fontId="1" fillId="0" borderId="3" xfId="1" applyBorder="1"/>
    <xf numFmtId="0" fontId="1" fillId="0" borderId="4" xfId="1" applyBorder="1"/>
    <xf numFmtId="2" fontId="1" fillId="0" borderId="5" xfId="1" applyNumberFormat="1" applyBorder="1"/>
    <xf numFmtId="2" fontId="1" fillId="0" borderId="6" xfId="1" applyNumberFormat="1" applyBorder="1"/>
    <xf numFmtId="2" fontId="1" fillId="0" borderId="7" xfId="1" applyNumberFormat="1" applyBorder="1"/>
    <xf numFmtId="2" fontId="1" fillId="0" borderId="3" xfId="1" applyNumberFormat="1" applyBorder="1"/>
    <xf numFmtId="1" fontId="1" fillId="0" borderId="0" xfId="1" applyNumberFormat="1"/>
    <xf numFmtId="0" fontId="1" fillId="6" borderId="0" xfId="1" applyFill="1"/>
    <xf numFmtId="0" fontId="1" fillId="0" borderId="0" xfId="1" applyFont="1" applyAlignment="1">
      <alignment horizontal="right"/>
    </xf>
    <xf numFmtId="0" fontId="1" fillId="6" borderId="0" xfId="1" applyFill="1" applyBorder="1"/>
    <xf numFmtId="2" fontId="1" fillId="6" borderId="0" xfId="1" applyNumberFormat="1" applyFill="1" applyBorder="1"/>
    <xf numFmtId="1" fontId="1" fillId="6" borderId="0" xfId="1" applyNumberFormat="1" applyFill="1" applyBorder="1"/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8" xfId="0" applyFill="1" applyBorder="1" applyAlignment="1"/>
    <xf numFmtId="0" fontId="5" fillId="0" borderId="9" xfId="0" applyFont="1" applyFill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805213582099205"/>
          <c:y val="0.10861462947181308"/>
          <c:w val="0.65603929943539663"/>
          <c:h val="0.6741597691353915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Stochastic!$C$22</c:f>
              <c:strCache>
                <c:ptCount val="1"/>
                <c:pt idx="0">
                  <c:v>0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38100">
                <a:solidFill>
                  <a:srgbClr val="000080"/>
                </a:solidFill>
                <a:prstDash val="solid"/>
              </a:ln>
            </c:spPr>
          </c:dPt>
          <c:xVal>
            <c:numRef>
              <c:f>Stochastic!$A$24:$A$129</c:f>
              <c:numCache>
                <c:formatCode>General</c:formatCode>
                <c:ptCount val="106"/>
                <c:pt idx="0">
                  <c:v>4.8854423476569426</c:v>
                </c:pt>
                <c:pt idx="1">
                  <c:v>5.0785828325519899</c:v>
                </c:pt>
                <c:pt idx="2">
                  <c:v>5.2646087539943309</c:v>
                </c:pt>
                <c:pt idx="3">
                  <c:v>5.4441788078660913</c:v>
                </c:pt>
                <c:pt idx="4">
                  <c:v>5.6178579778391713</c:v>
                </c:pt>
                <c:pt idx="5">
                  <c:v>5.786135043349967</c:v>
                </c:pt>
                <c:pt idx="6">
                  <c:v>5.9494361130885718</c:v>
                </c:pt>
                <c:pt idx="7">
                  <c:v>6.1081352310038639</c:v>
                </c:pt>
                <c:pt idx="8">
                  <c:v>6.2625627912932229</c:v>
                </c:pt>
                <c:pt idx="9">
                  <c:v>6.4130122898300179</c:v>
                </c:pt>
                <c:pt idx="10">
                  <c:v>6.5597457959711942</c:v>
                </c:pt>
                <c:pt idx="11">
                  <c:v>6.7029984283672706</c:v>
                </c:pt>
                <c:pt idx="12">
                  <c:v>6.8429820471163803</c:v>
                </c:pt>
                <c:pt idx="13">
                  <c:v>6.9798883231986579</c:v>
                </c:pt>
                <c:pt idx="14">
                  <c:v>7.113891308546938</c:v>
                </c:pt>
                <c:pt idx="15">
                  <c:v>7.2451496022904722</c:v>
                </c:pt>
                <c:pt idx="16">
                  <c:v>7.3738081878757438</c:v>
                </c:pt>
                <c:pt idx="17">
                  <c:v>7.5000000000000018</c:v>
                </c:pt>
                <c:pt idx="18">
                  <c:v>7.6238472682392278</c:v>
                </c:pt>
                <c:pt idx="19">
                  <c:v>7.7454626749519857</c:v>
                </c:pt>
                <c:pt idx="20">
                  <c:v>7.864950357803151</c:v>
                </c:pt>
                <c:pt idx="21">
                  <c:v>7.9824067815736894</c:v>
                </c:pt>
                <c:pt idx="22">
                  <c:v>8.0979214994345217</c:v>
                </c:pt>
                <c:pt idx="23">
                  <c:v>8.2115778202896372</c:v>
                </c:pt>
                <c:pt idx="24">
                  <c:v>8.3234533959302865</c:v>
                </c:pt>
                <c:pt idx="25">
                  <c:v>8.4336207394327811</c:v>
                </c:pt>
                <c:pt idx="26">
                  <c:v>8.5421476843590423</c:v>
                </c:pt>
                <c:pt idx="27">
                  <c:v>8.6490977927905455</c:v>
                </c:pt>
                <c:pt idx="28">
                  <c:v>8.7545307189726032</c:v>
                </c:pt>
                <c:pt idx="29">
                  <c:v>8.8585025343124499</c:v>
                </c:pt>
                <c:pt idx="30">
                  <c:v>8.9610660186184905</c:v>
                </c:pt>
                <c:pt idx="31">
                  <c:v>9.062270921755621</c:v>
                </c:pt>
                <c:pt idx="32">
                  <c:v>9.1621641992962353</c:v>
                </c:pt>
                <c:pt idx="33">
                  <c:v>9.2607902252467369</c:v>
                </c:pt>
                <c:pt idx="34">
                  <c:v>9.3581909845084166</c:v>
                </c:pt>
                <c:pt idx="35">
                  <c:v>9.4544062473754629</c:v>
                </c:pt>
                <c:pt idx="36">
                  <c:v>9.5494737280705575</c:v>
                </c:pt>
                <c:pt idx="37">
                  <c:v>9.6434292290611268</c:v>
                </c:pt>
                <c:pt idx="38">
                  <c:v>9.7363067726791925</c:v>
                </c:pt>
                <c:pt idx="39">
                  <c:v>9.8281387213791938</c:v>
                </c:pt>
                <c:pt idx="40">
                  <c:v>9.9189558878058417</c:v>
                </c:pt>
                <c:pt idx="41">
                  <c:v>10.008787635704222</c:v>
                </c:pt>
                <c:pt idx="42">
                  <c:v>10.097661972583209</c:v>
                </c:pt>
                <c:pt idx="43">
                  <c:v>10.185605634938456</c:v>
                </c:pt>
                <c:pt idx="44">
                  <c:v>10.272644166749672</c:v>
                </c:pt>
                <c:pt idx="45">
                  <c:v>10.358801991887605</c:v>
                </c:pt>
                <c:pt idx="46">
                  <c:v>10.444102480996419</c:v>
                </c:pt>
                <c:pt idx="47">
                  <c:v>10.528568013356221</c:v>
                </c:pt>
                <c:pt idx="48">
                  <c:v>10.612220034177101</c:v>
                </c:pt>
                <c:pt idx="49">
                  <c:v>10.695079107728942</c:v>
                </c:pt>
                <c:pt idx="50">
                  <c:v>10.777164966669694</c:v>
                </c:pt>
                <c:pt idx="51">
                  <c:v>10.858496557898214</c:v>
                </c:pt>
                <c:pt idx="52">
                  <c:v>10.939092085225278</c:v>
                </c:pt>
                <c:pt idx="53">
                  <c:v>11.018969049127563</c:v>
                </c:pt>
                <c:pt idx="54">
                  <c:v>11.098144283823808</c:v>
                </c:pt>
                <c:pt idx="55">
                  <c:v>11.176633991889599</c:v>
                </c:pt>
                <c:pt idx="56">
                  <c:v>11.254453776606841</c:v>
                </c:pt>
                <c:pt idx="57">
                  <c:v>11.331618672225915</c:v>
                </c:pt>
                <c:pt idx="58">
                  <c:v>11.408143172302184</c:v>
                </c:pt>
                <c:pt idx="59">
                  <c:v>11.484041256253985</c:v>
                </c:pt>
                <c:pt idx="60">
                  <c:v>11.559326414276182</c:v>
                </c:pt>
                <c:pt idx="61">
                  <c:v>11.634011670731651</c:v>
                </c:pt>
                <c:pt idx="62">
                  <c:v>11.708109606132261</c:v>
                </c:pt>
                <c:pt idx="63">
                  <c:v>11.781632377811761</c:v>
                </c:pt>
                <c:pt idx="64">
                  <c:v>11.854591739383965</c:v>
                </c:pt>
                <c:pt idx="65">
                  <c:v>11.926999059072134</c:v>
                </c:pt>
                <c:pt idx="66">
                  <c:v>11.998865336988224</c:v>
                </c:pt>
                <c:pt idx="67">
                  <c:v>12.070201221434353</c:v>
                </c:pt>
                <c:pt idx="68">
                  <c:v>12.141017024293097</c:v>
                </c:pt>
                <c:pt idx="69">
                  <c:v>12.211322735567737</c:v>
                </c:pt>
                <c:pt idx="70">
                  <c:v>12.281128037129099</c:v>
                </c:pt>
                <c:pt idx="71">
                  <c:v>12.350442315720894</c:v>
                </c:pt>
                <c:pt idx="72">
                  <c:v>12.419274675271911</c:v>
                </c:pt>
                <c:pt idx="73">
                  <c:v>12.487633948559251</c:v>
                </c:pt>
                <c:pt idx="74">
                  <c:v>12.555528708264029</c:v>
                </c:pt>
                <c:pt idx="75">
                  <c:v>12.6229672774575</c:v>
                </c:pt>
                <c:pt idx="76">
                  <c:v>12.6899577395529</c:v>
                </c:pt>
                <c:pt idx="77">
                  <c:v>12.756507947755948</c:v>
                </c:pt>
                <c:pt idx="78">
                  <c:v>12.822625534044214</c:v>
                </c:pt>
                <c:pt idx="79">
                  <c:v>12.888317917703819</c:v>
                </c:pt>
                <c:pt idx="80">
                  <c:v>12.953592313449654</c:v>
                </c:pt>
                <c:pt idx="81">
                  <c:v>13.018455739153598</c:v>
                </c:pt>
                <c:pt idx="82">
                  <c:v>13.082915023203574</c:v>
                </c:pt>
                <c:pt idx="83">
                  <c:v>13.146976811514675</c:v>
                </c:pt>
                <c:pt idx="84">
                  <c:v>13.21064757421215</c:v>
                </c:pt>
                <c:pt idx="85">
                  <c:v>13.273933612004836</c:v>
                </c:pt>
                <c:pt idx="86">
                  <c:v>13.33684106226619</c:v>
                </c:pt>
                <c:pt idx="87">
                  <c:v>13.399375904839259</c:v>
                </c:pt>
                <c:pt idx="88">
                  <c:v>13.461543967580534</c:v>
                </c:pt>
                <c:pt idx="89">
                  <c:v>13.523350931656944</c:v>
                </c:pt>
                <c:pt idx="90">
                  <c:v>13.58480233660924</c:v>
                </c:pt>
                <c:pt idx="91">
                  <c:v>13.645903585194139</c:v>
                </c:pt>
                <c:pt idx="92">
                  <c:v>13.706659948016927</c:v>
                </c:pt>
                <c:pt idx="93">
                  <c:v>13.76707656796548</c:v>
                </c:pt>
                <c:pt idx="94">
                  <c:v>13.827158464455884</c:v>
                </c:pt>
                <c:pt idx="95">
                  <c:v>13.886910537499421</c:v>
                </c:pt>
                <c:pt idx="96">
                  <c:v>13.946337571599891</c:v>
                </c:pt>
                <c:pt idx="97">
                  <c:v>14.005444239489881</c:v>
                </c:pt>
                <c:pt idx="98">
                  <c:v>14.064235105713966</c:v>
                </c:pt>
                <c:pt idx="99">
                  <c:v>14.12271463006641</c:v>
                </c:pt>
                <c:pt idx="100">
                  <c:v>14.18088717089055</c:v>
                </c:pt>
                <c:pt idx="101">
                  <c:v>14.238756988246497</c:v>
                </c:pt>
                <c:pt idx="102">
                  <c:v>14.296328246953586</c:v>
                </c:pt>
                <c:pt idx="103">
                  <c:v>14.353605019513452</c:v>
                </c:pt>
                <c:pt idx="104">
                  <c:v>14.410591288919489</c:v>
                </c:pt>
                <c:pt idx="105">
                  <c:v>14.467290951357944</c:v>
                </c:pt>
              </c:numCache>
            </c:numRef>
          </c:xVal>
          <c:yVal>
            <c:numRef>
              <c:f>Stochastic!$C$24:$C$129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Stochastic!$D$22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Stochastic!$A$24:$A$129</c:f>
              <c:numCache>
                <c:formatCode>General</c:formatCode>
                <c:ptCount val="106"/>
                <c:pt idx="0">
                  <c:v>4.8854423476569426</c:v>
                </c:pt>
                <c:pt idx="1">
                  <c:v>5.0785828325519899</c:v>
                </c:pt>
                <c:pt idx="2">
                  <c:v>5.2646087539943309</c:v>
                </c:pt>
                <c:pt idx="3">
                  <c:v>5.4441788078660913</c:v>
                </c:pt>
                <c:pt idx="4">
                  <c:v>5.6178579778391713</c:v>
                </c:pt>
                <c:pt idx="5">
                  <c:v>5.786135043349967</c:v>
                </c:pt>
                <c:pt idx="6">
                  <c:v>5.9494361130885718</c:v>
                </c:pt>
                <c:pt idx="7">
                  <c:v>6.1081352310038639</c:v>
                </c:pt>
                <c:pt idx="8">
                  <c:v>6.2625627912932229</c:v>
                </c:pt>
                <c:pt idx="9">
                  <c:v>6.4130122898300179</c:v>
                </c:pt>
                <c:pt idx="10">
                  <c:v>6.5597457959711942</c:v>
                </c:pt>
                <c:pt idx="11">
                  <c:v>6.7029984283672706</c:v>
                </c:pt>
                <c:pt idx="12">
                  <c:v>6.8429820471163803</c:v>
                </c:pt>
                <c:pt idx="13">
                  <c:v>6.9798883231986579</c:v>
                </c:pt>
                <c:pt idx="14">
                  <c:v>7.113891308546938</c:v>
                </c:pt>
                <c:pt idx="15">
                  <c:v>7.2451496022904722</c:v>
                </c:pt>
                <c:pt idx="16">
                  <c:v>7.3738081878757438</c:v>
                </c:pt>
                <c:pt idx="17">
                  <c:v>7.5000000000000018</c:v>
                </c:pt>
                <c:pt idx="18">
                  <c:v>7.6238472682392278</c:v>
                </c:pt>
                <c:pt idx="19">
                  <c:v>7.7454626749519857</c:v>
                </c:pt>
                <c:pt idx="20">
                  <c:v>7.864950357803151</c:v>
                </c:pt>
                <c:pt idx="21">
                  <c:v>7.9824067815736894</c:v>
                </c:pt>
                <c:pt idx="22">
                  <c:v>8.0979214994345217</c:v>
                </c:pt>
                <c:pt idx="23">
                  <c:v>8.2115778202896372</c:v>
                </c:pt>
                <c:pt idx="24">
                  <c:v>8.3234533959302865</c:v>
                </c:pt>
                <c:pt idx="25">
                  <c:v>8.4336207394327811</c:v>
                </c:pt>
                <c:pt idx="26">
                  <c:v>8.5421476843590423</c:v>
                </c:pt>
                <c:pt idx="27">
                  <c:v>8.6490977927905455</c:v>
                </c:pt>
                <c:pt idx="28">
                  <c:v>8.7545307189726032</c:v>
                </c:pt>
                <c:pt idx="29">
                  <c:v>8.8585025343124499</c:v>
                </c:pt>
                <c:pt idx="30">
                  <c:v>8.9610660186184905</c:v>
                </c:pt>
                <c:pt idx="31">
                  <c:v>9.062270921755621</c:v>
                </c:pt>
                <c:pt idx="32">
                  <c:v>9.1621641992962353</c:v>
                </c:pt>
                <c:pt idx="33">
                  <c:v>9.2607902252467369</c:v>
                </c:pt>
                <c:pt idx="34">
                  <c:v>9.3581909845084166</c:v>
                </c:pt>
                <c:pt idx="35">
                  <c:v>9.4544062473754629</c:v>
                </c:pt>
                <c:pt idx="36">
                  <c:v>9.5494737280705575</c:v>
                </c:pt>
                <c:pt idx="37">
                  <c:v>9.6434292290611268</c:v>
                </c:pt>
                <c:pt idx="38">
                  <c:v>9.7363067726791925</c:v>
                </c:pt>
                <c:pt idx="39">
                  <c:v>9.8281387213791938</c:v>
                </c:pt>
                <c:pt idx="40">
                  <c:v>9.9189558878058417</c:v>
                </c:pt>
                <c:pt idx="41">
                  <c:v>10.008787635704222</c:v>
                </c:pt>
                <c:pt idx="42">
                  <c:v>10.097661972583209</c:v>
                </c:pt>
                <c:pt idx="43">
                  <c:v>10.185605634938456</c:v>
                </c:pt>
                <c:pt idx="44">
                  <c:v>10.272644166749672</c:v>
                </c:pt>
                <c:pt idx="45">
                  <c:v>10.358801991887605</c:v>
                </c:pt>
                <c:pt idx="46">
                  <c:v>10.444102480996419</c:v>
                </c:pt>
                <c:pt idx="47">
                  <c:v>10.528568013356221</c:v>
                </c:pt>
                <c:pt idx="48">
                  <c:v>10.612220034177101</c:v>
                </c:pt>
                <c:pt idx="49">
                  <c:v>10.695079107728942</c:v>
                </c:pt>
                <c:pt idx="50">
                  <c:v>10.777164966669694</c:v>
                </c:pt>
                <c:pt idx="51">
                  <c:v>10.858496557898214</c:v>
                </c:pt>
                <c:pt idx="52">
                  <c:v>10.939092085225278</c:v>
                </c:pt>
                <c:pt idx="53">
                  <c:v>11.018969049127563</c:v>
                </c:pt>
                <c:pt idx="54">
                  <c:v>11.098144283823808</c:v>
                </c:pt>
                <c:pt idx="55">
                  <c:v>11.176633991889599</c:v>
                </c:pt>
                <c:pt idx="56">
                  <c:v>11.254453776606841</c:v>
                </c:pt>
                <c:pt idx="57">
                  <c:v>11.331618672225915</c:v>
                </c:pt>
                <c:pt idx="58">
                  <c:v>11.408143172302184</c:v>
                </c:pt>
                <c:pt idx="59">
                  <c:v>11.484041256253985</c:v>
                </c:pt>
                <c:pt idx="60">
                  <c:v>11.559326414276182</c:v>
                </c:pt>
                <c:pt idx="61">
                  <c:v>11.634011670731651</c:v>
                </c:pt>
                <c:pt idx="62">
                  <c:v>11.708109606132261</c:v>
                </c:pt>
                <c:pt idx="63">
                  <c:v>11.781632377811761</c:v>
                </c:pt>
                <c:pt idx="64">
                  <c:v>11.854591739383965</c:v>
                </c:pt>
                <c:pt idx="65">
                  <c:v>11.926999059072134</c:v>
                </c:pt>
                <c:pt idx="66">
                  <c:v>11.998865336988224</c:v>
                </c:pt>
                <c:pt idx="67">
                  <c:v>12.070201221434353</c:v>
                </c:pt>
                <c:pt idx="68">
                  <c:v>12.141017024293097</c:v>
                </c:pt>
                <c:pt idx="69">
                  <c:v>12.211322735567737</c:v>
                </c:pt>
                <c:pt idx="70">
                  <c:v>12.281128037129099</c:v>
                </c:pt>
                <c:pt idx="71">
                  <c:v>12.350442315720894</c:v>
                </c:pt>
                <c:pt idx="72">
                  <c:v>12.419274675271911</c:v>
                </c:pt>
                <c:pt idx="73">
                  <c:v>12.487633948559251</c:v>
                </c:pt>
                <c:pt idx="74">
                  <c:v>12.555528708264029</c:v>
                </c:pt>
                <c:pt idx="75">
                  <c:v>12.6229672774575</c:v>
                </c:pt>
                <c:pt idx="76">
                  <c:v>12.6899577395529</c:v>
                </c:pt>
                <c:pt idx="77">
                  <c:v>12.756507947755948</c:v>
                </c:pt>
                <c:pt idx="78">
                  <c:v>12.822625534044214</c:v>
                </c:pt>
                <c:pt idx="79">
                  <c:v>12.888317917703819</c:v>
                </c:pt>
                <c:pt idx="80">
                  <c:v>12.953592313449654</c:v>
                </c:pt>
                <c:pt idx="81">
                  <c:v>13.018455739153598</c:v>
                </c:pt>
                <c:pt idx="82">
                  <c:v>13.082915023203574</c:v>
                </c:pt>
                <c:pt idx="83">
                  <c:v>13.146976811514675</c:v>
                </c:pt>
                <c:pt idx="84">
                  <c:v>13.21064757421215</c:v>
                </c:pt>
                <c:pt idx="85">
                  <c:v>13.273933612004836</c:v>
                </c:pt>
                <c:pt idx="86">
                  <c:v>13.33684106226619</c:v>
                </c:pt>
                <c:pt idx="87">
                  <c:v>13.399375904839259</c:v>
                </c:pt>
                <c:pt idx="88">
                  <c:v>13.461543967580534</c:v>
                </c:pt>
                <c:pt idx="89">
                  <c:v>13.523350931656944</c:v>
                </c:pt>
                <c:pt idx="90">
                  <c:v>13.58480233660924</c:v>
                </c:pt>
                <c:pt idx="91">
                  <c:v>13.645903585194139</c:v>
                </c:pt>
                <c:pt idx="92">
                  <c:v>13.706659948016927</c:v>
                </c:pt>
                <c:pt idx="93">
                  <c:v>13.76707656796548</c:v>
                </c:pt>
                <c:pt idx="94">
                  <c:v>13.827158464455884</c:v>
                </c:pt>
                <c:pt idx="95">
                  <c:v>13.886910537499421</c:v>
                </c:pt>
                <c:pt idx="96">
                  <c:v>13.946337571599891</c:v>
                </c:pt>
                <c:pt idx="97">
                  <c:v>14.005444239489881</c:v>
                </c:pt>
                <c:pt idx="98">
                  <c:v>14.064235105713966</c:v>
                </c:pt>
                <c:pt idx="99">
                  <c:v>14.12271463006641</c:v>
                </c:pt>
                <c:pt idx="100">
                  <c:v>14.18088717089055</c:v>
                </c:pt>
                <c:pt idx="101">
                  <c:v>14.238756988246497</c:v>
                </c:pt>
                <c:pt idx="102">
                  <c:v>14.296328246953586</c:v>
                </c:pt>
                <c:pt idx="103">
                  <c:v>14.353605019513452</c:v>
                </c:pt>
                <c:pt idx="104">
                  <c:v>14.410591288919489</c:v>
                </c:pt>
                <c:pt idx="105">
                  <c:v>14.467290951357944</c:v>
                </c:pt>
              </c:numCache>
            </c:numRef>
          </c:xVal>
          <c:yVal>
            <c:numRef>
              <c:f>Stochastic!$D$24:$D$129</c:f>
              <c:numCache>
                <c:formatCode>General</c:formatCode>
                <c:ptCount val="106"/>
                <c:pt idx="0">
                  <c:v>4.1743694177103281E-2</c:v>
                </c:pt>
                <c:pt idx="1">
                  <c:v>5.4011478740108886E-2</c:v>
                </c:pt>
                <c:pt idx="2">
                  <c:v>6.8014458417890084E-2</c:v>
                </c:pt>
                <c:pt idx="3">
                  <c:v>8.3582266349311443E-2</c:v>
                </c:pt>
                <c:pt idx="4">
                  <c:v>0.10046836038972697</c:v>
                </c:pt>
                <c:pt idx="5">
                  <c:v>0.11836167880747711</c:v>
                </c:pt>
                <c:pt idx="6">
                  <c:v>0.1369017851652235</c:v>
                </c:pt>
                <c:pt idx="7">
                  <c:v>0.15569615973639034</c:v>
                </c:pt>
                <c:pt idx="8">
                  <c:v>0.17433829808170961</c:v>
                </c:pt>
                <c:pt idx="9">
                  <c:v>0.19242539241255197</c:v>
                </c:pt>
                <c:pt idx="10">
                  <c:v>0.20957456568202973</c:v>
                </c:pt>
                <c:pt idx="11">
                  <c:v>0.22543686937667734</c:v>
                </c:pt>
                <c:pt idx="12">
                  <c:v>0.23970851429234516</c:v>
                </c:pt>
                <c:pt idx="13">
                  <c:v>0.25213905494272382</c:v>
                </c:pt>
                <c:pt idx="14">
                  <c:v>0.26253647459962409</c:v>
                </c:pt>
                <c:pt idx="15">
                  <c:v>0.27076930746069877</c:v>
                </c:pt>
                <c:pt idx="16">
                  <c:v>0.27676608092564647</c:v>
                </c:pt>
                <c:pt idx="17">
                  <c:v>0.28051246304186256</c:v>
                </c:pt>
                <c:pt idx="18">
                  <c:v>0.28204656012983181</c:v>
                </c:pt>
                <c:pt idx="19">
                  <c:v>0.28145283224847373</c:v>
                </c:pt>
                <c:pt idx="20">
                  <c:v>0.27885508587497104</c:v>
                </c:pt>
                <c:pt idx="21">
                  <c:v>0.2744089709787163</c:v>
                </c:pt>
                <c:pt idx="22">
                  <c:v>0.26829436056819916</c:v>
                </c:pt>
                <c:pt idx="23">
                  <c:v>0.26070793126579955</c:v>
                </c:pt>
                <c:pt idx="24">
                  <c:v>0.25185619915836327</c:v>
                </c:pt>
                <c:pt idx="25">
                  <c:v>0.24194920070518858</c:v>
                </c:pt>
                <c:pt idx="26">
                  <c:v>0.23119494741560451</c:v>
                </c:pt>
                <c:pt idx="27">
                  <c:v>0.21979472786091417</c:v>
                </c:pt>
                <c:pt idx="28">
                  <c:v>0.20793928295323649</c:v>
                </c:pt>
                <c:pt idx="29">
                  <c:v>0.19580584110288674</c:v>
                </c:pt>
                <c:pt idx="30">
                  <c:v>0.18355596900733887</c:v>
                </c:pt>
                <c:pt idx="31">
                  <c:v>0.17133417108707397</c:v>
                </c:pt>
                <c:pt idx="32">
                  <c:v>0.15926715527614177</c:v>
                </c:pt>
                <c:pt idx="33">
                  <c:v>0.14746367408516151</c:v>
                </c:pt>
                <c:pt idx="34">
                  <c:v>0.13601484655296656</c:v>
                </c:pt>
                <c:pt idx="35">
                  <c:v>0.12499486783077078</c:v>
                </c:pt>
                <c:pt idx="36">
                  <c:v>0.11446201767390597</c:v>
                </c:pt>
                <c:pt idx="37">
                  <c:v>0.10445988610424556</c:v>
                </c:pt>
                <c:pt idx="38">
                  <c:v>9.5018743112919177E-2</c:v>
                </c:pt>
                <c:pt idx="39">
                  <c:v>8.6156988782721919E-2</c:v>
                </c:pt>
                <c:pt idx="40">
                  <c:v>7.7882630035753547E-2</c:v>
                </c:pt>
                <c:pt idx="41">
                  <c:v>7.019473989191255E-2</c:v>
                </c:pt>
                <c:pt idx="42">
                  <c:v>6.3084864311269528E-2</c:v>
                </c:pt>
                <c:pt idx="43">
                  <c:v>5.6538350144418173E-2</c:v>
                </c:pt>
                <c:pt idx="44">
                  <c:v>5.0535575274730654E-2</c:v>
                </c:pt>
                <c:pt idx="45">
                  <c:v>4.5053068623518967E-2</c:v>
                </c:pt>
                <c:pt idx="46">
                  <c:v>4.006451328091111E-2</c:v>
                </c:pt>
                <c:pt idx="47">
                  <c:v>3.554163064429456E-2</c:v>
                </c:pt>
                <c:pt idx="48">
                  <c:v>3.1454947147952148E-2</c:v>
                </c:pt>
                <c:pt idx="49">
                  <c:v>2.7774448029853755E-2</c:v>
                </c:pt>
                <c:pt idx="50">
                  <c:v>2.4470124695800091E-2</c:v>
                </c:pt>
                <c:pt idx="51">
                  <c:v>2.151242370494964E-2</c:v>
                </c:pt>
                <c:pt idx="52">
                  <c:v>1.8872606312733506E-2</c:v>
                </c:pt>
                <c:pt idx="53">
                  <c:v>1.6523027962454518E-2</c:v>
                </c:pt>
                <c:pt idx="54">
                  <c:v>1.4437347204397141E-2</c:v>
                </c:pt>
                <c:pt idx="55">
                  <c:v>1.2590673321805069E-2</c:v>
                </c:pt>
                <c:pt idx="56">
                  <c:v>1.0959661528136088E-2</c:v>
                </c:pt>
                <c:pt idx="57">
                  <c:v>9.5225640314692273E-3</c:v>
                </c:pt>
                <c:pt idx="58">
                  <c:v>8.2592445921602278E-3</c:v>
                </c:pt>
                <c:pt idx="59">
                  <c:v>7.1511634720610199E-3</c:v>
                </c:pt>
                <c:pt idx="60">
                  <c:v>6.1813389226757116E-3</c:v>
                </c:pt>
                <c:pt idx="61">
                  <c:v>5.3342906128037576E-3</c:v>
                </c:pt>
                <c:pt idx="62">
                  <c:v>4.59596967415353E-3</c:v>
                </c:pt>
                <c:pt idx="63">
                  <c:v>3.9536793610126198E-3</c:v>
                </c:pt>
                <c:pt idx="64">
                  <c:v>3.3959896874653952E-3</c:v>
                </c:pt>
                <c:pt idx="65">
                  <c:v>2.9126488289983126E-3</c:v>
                </c:pt>
                <c:pt idx="66">
                  <c:v>2.4944935576230944E-3</c:v>
                </c:pt>
                <c:pt idx="67">
                  <c:v>2.1333605213626622E-3</c:v>
                </c:pt>
                <c:pt idx="68">
                  <c:v>1.8219997786946447E-3</c:v>
                </c:pt>
                <c:pt idx="69">
                  <c:v>1.5539916535665002E-3</c:v>
                </c:pt>
                <c:pt idx="70">
                  <c:v>1.3236676831711587E-3</c:v>
                </c:pt>
                <c:pt idx="71">
                  <c:v>1.1260361845070446E-3</c:v>
                </c:pt>
                <c:pt idx="72">
                  <c:v>9.5671276222204218E-4</c:v>
                </c:pt>
                <c:pt idx="73">
                  <c:v>8.1185591465994587E-4</c:v>
                </c:pt>
                <c:pt idx="74">
                  <c:v>6.8810776275486532E-4</c:v>
                </c:pt>
                <c:pt idx="75">
                  <c:v>5.8253982302656267E-4</c:v>
                </c:pt>
                <c:pt idx="76">
                  <c:v>4.9260366725976544E-4</c:v>
                </c:pt>
                <c:pt idx="77">
                  <c:v>4.1608625368410435E-4</c:v>
                </c:pt>
                <c:pt idx="78">
                  <c:v>3.5106967414973687E-4</c:v>
                </c:pt>
                <c:pt idx="79">
                  <c:v>2.9589503582772356E-4</c:v>
                </c:pt>
                <c:pt idx="80">
                  <c:v>2.4913018163617764E-4</c:v>
                </c:pt>
                <c:pt idx="81">
                  <c:v>2.095409485356673E-4</c:v>
                </c:pt>
                <c:pt idx="82">
                  <c:v>1.7606566501690593E-4</c:v>
                </c:pt>
                <c:pt idx="83">
                  <c:v>1.4779259679222712E-4</c:v>
                </c:pt>
                <c:pt idx="84">
                  <c:v>1.239400614491947E-4</c:v>
                </c:pt>
                <c:pt idx="85">
                  <c:v>1.0383894742747906E-4</c:v>
                </c:pt>
                <c:pt idx="86">
                  <c:v>8.6917389155564661E-5</c:v>
                </c:pt>
                <c:pt idx="87">
                  <c:v>7.2687367738976345E-5</c:v>
                </c:pt>
                <c:pt idx="88">
                  <c:v>6.07330245987359E-5</c:v>
                </c:pt>
                <c:pt idx="89">
                  <c:v>5.0700493429180489E-5</c:v>
                </c:pt>
                <c:pt idx="90">
                  <c:v>4.2289073408323156E-5</c:v>
                </c:pt>
                <c:pt idx="91">
                  <c:v>3.5243583479676326E-5</c:v>
                </c:pt>
                <c:pt idx="92">
                  <c:v>2.9347753540926521E-5</c:v>
                </c:pt>
                <c:pt idx="93">
                  <c:v>2.4418523396768118E-5</c:v>
                </c:pt>
                <c:pt idx="94">
                  <c:v>2.0301134287736205E-5</c:v>
                </c:pt>
                <c:pt idx="95">
                  <c:v>1.6864910662506378E-5</c:v>
                </c:pt>
                <c:pt idx="96">
                  <c:v>1.399964161829689E-5</c:v>
                </c:pt>
                <c:pt idx="97">
                  <c:v>1.1612482117035447E-5</c:v>
                </c:pt>
                <c:pt idx="98">
                  <c:v>9.6253037357431813E-6</c:v>
                </c:pt>
                <c:pt idx="99">
                  <c:v>7.9724333821370375E-6</c:v>
                </c:pt>
                <c:pt idx="100">
                  <c:v>6.5987261627069869E-6</c:v>
                </c:pt>
                <c:pt idx="101">
                  <c:v>5.457925496907578E-6</c:v>
                </c:pt>
                <c:pt idx="102">
                  <c:v>4.5112696958965185E-6</c:v>
                </c:pt>
                <c:pt idx="103">
                  <c:v>3.7263096355983112E-6</c:v>
                </c:pt>
                <c:pt idx="104">
                  <c:v>3.07590691821161E-6</c:v>
                </c:pt>
                <c:pt idx="105">
                  <c:v>2.537386097340674E-6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Stochastic!$E$22</c:f>
              <c:strCache>
                <c:ptCount val="1"/>
                <c:pt idx="0">
                  <c:v>2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Stochastic!$A$24:$A$104</c:f>
              <c:numCache>
                <c:formatCode>General</c:formatCode>
                <c:ptCount val="81"/>
                <c:pt idx="0">
                  <c:v>4.8854423476569426</c:v>
                </c:pt>
                <c:pt idx="1">
                  <c:v>5.0785828325519899</c:v>
                </c:pt>
                <c:pt idx="2">
                  <c:v>5.2646087539943309</c:v>
                </c:pt>
                <c:pt idx="3">
                  <c:v>5.4441788078660913</c:v>
                </c:pt>
                <c:pt idx="4">
                  <c:v>5.6178579778391713</c:v>
                </c:pt>
                <c:pt idx="5">
                  <c:v>5.786135043349967</c:v>
                </c:pt>
                <c:pt idx="6">
                  <c:v>5.9494361130885718</c:v>
                </c:pt>
                <c:pt idx="7">
                  <c:v>6.1081352310038639</c:v>
                </c:pt>
                <c:pt idx="8">
                  <c:v>6.2625627912932229</c:v>
                </c:pt>
                <c:pt idx="9">
                  <c:v>6.4130122898300179</c:v>
                </c:pt>
                <c:pt idx="10">
                  <c:v>6.5597457959711942</c:v>
                </c:pt>
                <c:pt idx="11">
                  <c:v>6.7029984283672706</c:v>
                </c:pt>
                <c:pt idx="12">
                  <c:v>6.8429820471163803</c:v>
                </c:pt>
                <c:pt idx="13">
                  <c:v>6.9798883231986579</c:v>
                </c:pt>
                <c:pt idx="14">
                  <c:v>7.113891308546938</c:v>
                </c:pt>
                <c:pt idx="15">
                  <c:v>7.2451496022904722</c:v>
                </c:pt>
                <c:pt idx="16">
                  <c:v>7.3738081878757438</c:v>
                </c:pt>
                <c:pt idx="17">
                  <c:v>7.5000000000000018</c:v>
                </c:pt>
                <c:pt idx="18">
                  <c:v>7.6238472682392278</c:v>
                </c:pt>
                <c:pt idx="19">
                  <c:v>7.7454626749519857</c:v>
                </c:pt>
                <c:pt idx="20">
                  <c:v>7.864950357803151</c:v>
                </c:pt>
                <c:pt idx="21">
                  <c:v>7.9824067815736894</c:v>
                </c:pt>
                <c:pt idx="22">
                  <c:v>8.0979214994345217</c:v>
                </c:pt>
                <c:pt idx="23">
                  <c:v>8.2115778202896372</c:v>
                </c:pt>
                <c:pt idx="24">
                  <c:v>8.3234533959302865</c:v>
                </c:pt>
                <c:pt idx="25">
                  <c:v>8.4336207394327811</c:v>
                </c:pt>
                <c:pt idx="26">
                  <c:v>8.5421476843590423</c:v>
                </c:pt>
                <c:pt idx="27">
                  <c:v>8.6490977927905455</c:v>
                </c:pt>
                <c:pt idx="28">
                  <c:v>8.7545307189726032</c:v>
                </c:pt>
                <c:pt idx="29">
                  <c:v>8.8585025343124499</c:v>
                </c:pt>
                <c:pt idx="30">
                  <c:v>8.9610660186184905</c:v>
                </c:pt>
                <c:pt idx="31">
                  <c:v>9.062270921755621</c:v>
                </c:pt>
                <c:pt idx="32">
                  <c:v>9.1621641992962353</c:v>
                </c:pt>
                <c:pt idx="33">
                  <c:v>9.2607902252467369</c:v>
                </c:pt>
                <c:pt idx="34">
                  <c:v>9.3581909845084166</c:v>
                </c:pt>
                <c:pt idx="35">
                  <c:v>9.4544062473754629</c:v>
                </c:pt>
                <c:pt idx="36">
                  <c:v>9.5494737280705575</c:v>
                </c:pt>
                <c:pt idx="37">
                  <c:v>9.6434292290611268</c:v>
                </c:pt>
                <c:pt idx="38">
                  <c:v>9.7363067726791925</c:v>
                </c:pt>
                <c:pt idx="39">
                  <c:v>9.8281387213791938</c:v>
                </c:pt>
                <c:pt idx="40">
                  <c:v>9.9189558878058417</c:v>
                </c:pt>
                <c:pt idx="41">
                  <c:v>10.008787635704222</c:v>
                </c:pt>
                <c:pt idx="42">
                  <c:v>10.097661972583209</c:v>
                </c:pt>
                <c:pt idx="43">
                  <c:v>10.185605634938456</c:v>
                </c:pt>
                <c:pt idx="44">
                  <c:v>10.272644166749672</c:v>
                </c:pt>
                <c:pt idx="45">
                  <c:v>10.358801991887605</c:v>
                </c:pt>
                <c:pt idx="46">
                  <c:v>10.444102480996419</c:v>
                </c:pt>
                <c:pt idx="47">
                  <c:v>10.528568013356221</c:v>
                </c:pt>
                <c:pt idx="48">
                  <c:v>10.612220034177101</c:v>
                </c:pt>
                <c:pt idx="49">
                  <c:v>10.695079107728942</c:v>
                </c:pt>
                <c:pt idx="50">
                  <c:v>10.777164966669694</c:v>
                </c:pt>
                <c:pt idx="51">
                  <c:v>10.858496557898214</c:v>
                </c:pt>
                <c:pt idx="52">
                  <c:v>10.939092085225278</c:v>
                </c:pt>
                <c:pt idx="53">
                  <c:v>11.018969049127563</c:v>
                </c:pt>
                <c:pt idx="54">
                  <c:v>11.098144283823808</c:v>
                </c:pt>
                <c:pt idx="55">
                  <c:v>11.176633991889599</c:v>
                </c:pt>
                <c:pt idx="56">
                  <c:v>11.254453776606841</c:v>
                </c:pt>
                <c:pt idx="57">
                  <c:v>11.331618672225915</c:v>
                </c:pt>
                <c:pt idx="58">
                  <c:v>11.408143172302184</c:v>
                </c:pt>
                <c:pt idx="59">
                  <c:v>11.484041256253985</c:v>
                </c:pt>
                <c:pt idx="60">
                  <c:v>11.559326414276182</c:v>
                </c:pt>
                <c:pt idx="61">
                  <c:v>11.634011670731651</c:v>
                </c:pt>
                <c:pt idx="62">
                  <c:v>11.708109606132261</c:v>
                </c:pt>
                <c:pt idx="63">
                  <c:v>11.781632377811761</c:v>
                </c:pt>
                <c:pt idx="64">
                  <c:v>11.854591739383965</c:v>
                </c:pt>
                <c:pt idx="65">
                  <c:v>11.926999059072134</c:v>
                </c:pt>
                <c:pt idx="66">
                  <c:v>11.998865336988224</c:v>
                </c:pt>
                <c:pt idx="67">
                  <c:v>12.070201221434353</c:v>
                </c:pt>
                <c:pt idx="68">
                  <c:v>12.141017024293097</c:v>
                </c:pt>
                <c:pt idx="69">
                  <c:v>12.211322735567737</c:v>
                </c:pt>
                <c:pt idx="70">
                  <c:v>12.281128037129099</c:v>
                </c:pt>
                <c:pt idx="71">
                  <c:v>12.350442315720894</c:v>
                </c:pt>
                <c:pt idx="72">
                  <c:v>12.419274675271911</c:v>
                </c:pt>
                <c:pt idx="73">
                  <c:v>12.487633948559251</c:v>
                </c:pt>
                <c:pt idx="74">
                  <c:v>12.555528708264029</c:v>
                </c:pt>
                <c:pt idx="75">
                  <c:v>12.6229672774575</c:v>
                </c:pt>
                <c:pt idx="76">
                  <c:v>12.6899577395529</c:v>
                </c:pt>
                <c:pt idx="77">
                  <c:v>12.756507947755948</c:v>
                </c:pt>
                <c:pt idx="78">
                  <c:v>12.822625534044214</c:v>
                </c:pt>
                <c:pt idx="79">
                  <c:v>12.888317917703819</c:v>
                </c:pt>
                <c:pt idx="80">
                  <c:v>12.953592313449654</c:v>
                </c:pt>
              </c:numCache>
            </c:numRef>
          </c:xVal>
          <c:yVal>
            <c:numRef>
              <c:f>Stochastic!$E$24:$E$104</c:f>
              <c:numCache>
                <c:formatCode>General</c:formatCode>
                <c:ptCount val="81"/>
                <c:pt idx="0">
                  <c:v>4.5494669004465763E-2</c:v>
                </c:pt>
                <c:pt idx="1">
                  <c:v>5.3751165996665268E-2</c:v>
                </c:pt>
                <c:pt idx="2">
                  <c:v>6.2534830301720565E-2</c:v>
                </c:pt>
                <c:pt idx="3">
                  <c:v>7.1751046187280343E-2</c:v>
                </c:pt>
                <c:pt idx="4">
                  <c:v>8.1296998652164915E-2</c:v>
                </c:pt>
                <c:pt idx="5">
                  <c:v>9.1064598188252036E-2</c:v>
                </c:pt>
                <c:pt idx="6">
                  <c:v>0.10094328832161015</c:v>
                </c:pt>
                <c:pt idx="7">
                  <c:v>0.11082265924683989</c:v>
                </c:pt>
                <c:pt idx="8">
                  <c:v>0.1205948104145973</c:v>
                </c:pt>
                <c:pt idx="9">
                  <c:v>0.13015642293243559</c:v>
                </c:pt>
                <c:pt idx="10">
                  <c:v>0.13941051868142779</c:v>
                </c:pt>
                <c:pt idx="11">
                  <c:v>0.14826789691093642</c:v>
                </c:pt>
                <c:pt idx="12">
                  <c:v>0.15664825067451638</c:v>
                </c:pt>
                <c:pt idx="13">
                  <c:v>0.16448097484694191</c:v>
                </c:pt>
                <c:pt idx="14">
                  <c:v>0.17170568473312264</c:v>
                </c:pt>
                <c:pt idx="15">
                  <c:v>0.17827246961758142</c:v>
                </c:pt>
                <c:pt idx="16">
                  <c:v>0.18414190921619375</c:v>
                </c:pt>
                <c:pt idx="17">
                  <c:v>0.18928488310562103</c:v>
                </c:pt>
                <c:pt idx="18">
                  <c:v>0.19368220405027478</c:v>
                </c:pt>
                <c:pt idx="19">
                  <c:v>0.19732410594606975</c:v>
                </c:pt>
                <c:pt idx="20">
                  <c:v>0.20020961606633311</c:v>
                </c:pt>
                <c:pt idx="21">
                  <c:v>0.20234583962216302</c:v>
                </c:pt>
                <c:pt idx="22">
                  <c:v>0.20374718251102458</c:v>
                </c:pt>
                <c:pt idx="23">
                  <c:v>0.20443453567538128</c:v>
                </c:pt>
                <c:pt idx="24">
                  <c:v>0.20443444185761198</c:v>
                </c:pt>
                <c:pt idx="25">
                  <c:v>0.20377826282688069</c:v>
                </c:pt>
                <c:pt idx="26">
                  <c:v>0.20250136245637421</c:v>
                </c:pt>
                <c:pt idx="27">
                  <c:v>0.20064231841524877</c:v>
                </c:pt>
                <c:pt idx="28">
                  <c:v>0.19824217276195399</c:v>
                </c:pt>
                <c:pt idx="29">
                  <c:v>0.19534372942291547</c:v>
                </c:pt>
                <c:pt idx="30">
                  <c:v>0.19199090443884231</c:v>
                </c:pt>
                <c:pt idx="31">
                  <c:v>0.18822813297548335</c:v>
                </c:pt>
                <c:pt idx="32">
                  <c:v>0.18409983543297853</c:v>
                </c:pt>
                <c:pt idx="33">
                  <c:v>0.17964994354740069</c:v>
                </c:pt>
                <c:pt idx="34">
                  <c:v>0.17492148615340705</c:v>
                </c:pt>
                <c:pt idx="35">
                  <c:v>0.16995623325762313</c:v>
                </c:pt>
                <c:pt idx="36">
                  <c:v>0.16479439624489722</c:v>
                </c:pt>
                <c:pt idx="37">
                  <c:v>0.15947438138822564</c:v>
                </c:pt>
                <c:pt idx="38">
                  <c:v>0.15403259334108604</c:v>
                </c:pt>
                <c:pt idx="39">
                  <c:v>0.14850328494068293</c:v>
                </c:pt>
                <c:pt idx="40">
                  <c:v>0.14291844942479029</c:v>
                </c:pt>
                <c:pt idx="41">
                  <c:v>0.13730775104648144</c:v>
                </c:pt>
                <c:pt idx="42">
                  <c:v>0.13169849004387055</c:v>
                </c:pt>
                <c:pt idx="43">
                  <c:v>0.12611559797082966</c:v>
                </c:pt>
                <c:pt idx="44">
                  <c:v>0.12058165950550001</c:v>
                </c:pt>
                <c:pt idx="45">
                  <c:v>0.11511695701347416</c:v>
                </c:pt>
                <c:pt idx="46">
                  <c:v>0.1097395343403906</c:v>
                </c:pt>
                <c:pt idx="47">
                  <c:v>0.10446527653419262</c:v>
                </c:pt>
                <c:pt idx="48">
                  <c:v>9.9308002441609811E-2</c:v>
                </c:pt>
                <c:pt idx="49">
                  <c:v>9.4279567378927273E-2</c:v>
                </c:pt>
                <c:pt idx="50">
                  <c:v>8.9389973337347689E-2</c:v>
                </c:pt>
                <c:pt idx="51">
                  <c:v>8.4647484442831766E-2</c:v>
                </c:pt>
                <c:pt idx="52">
                  <c:v>8.0058745644837101E-2</c:v>
                </c:pt>
                <c:pt idx="53">
                  <c:v>7.5628902854342137E-2</c:v>
                </c:pt>
                <c:pt idx="54">
                  <c:v>7.1361722986204301E-2</c:v>
                </c:pt>
                <c:pt idx="55">
                  <c:v>6.7259712582241435E-2</c:v>
                </c:pt>
                <c:pt idx="56">
                  <c:v>6.3324233898006066E-2</c:v>
                </c:pt>
                <c:pt idx="57">
                  <c:v>5.9555617527129748E-2</c:v>
                </c:pt>
                <c:pt idx="58">
                  <c:v>5.5953270811892379E-2</c:v>
                </c:pt>
                <c:pt idx="59">
                  <c:v>5.2515781447199969E-2</c:v>
                </c:pt>
                <c:pt idx="60">
                  <c:v>4.9241015827634085E-2</c:v>
                </c:pt>
                <c:pt idx="61">
                  <c:v>4.6126211814105103E-2</c:v>
                </c:pt>
                <c:pt idx="62">
                  <c:v>4.3168065708527999E-2</c:v>
                </c:pt>
                <c:pt idx="63">
                  <c:v>4.0362813322578982E-2</c:v>
                </c:pt>
                <c:pt idx="64">
                  <c:v>3.7706305110903678E-2</c:v>
                </c:pt>
                <c:pt idx="65">
                  <c:v>3.5194075411010058E-2</c:v>
                </c:pt>
                <c:pt idx="66">
                  <c:v>3.2821405892507829E-2</c:v>
                </c:pt>
                <c:pt idx="67">
                  <c:v>3.0583383368314999E-2</c:v>
                </c:pt>
                <c:pt idx="68">
                  <c:v>2.8474952160931124E-2</c:v>
                </c:pt>
                <c:pt idx="69">
                  <c:v>2.6490961248847499E-2</c:v>
                </c:pt>
                <c:pt idx="70">
                  <c:v>2.462620644252737E-2</c:v>
                </c:pt>
                <c:pt idx="71">
                  <c:v>2.2875467857071844E-2</c:v>
                </c:pt>
                <c:pt idx="72">
                  <c:v>2.1233542960475721E-2</c:v>
                </c:pt>
                <c:pt idx="73">
                  <c:v>1.9695275483106373E-2</c:v>
                </c:pt>
                <c:pt idx="74">
                  <c:v>1.8255580476376047E-2</c:v>
                </c:pt>
                <c:pt idx="75">
                  <c:v>1.6909465807241415E-2</c:v>
                </c:pt>
                <c:pt idx="76">
                  <c:v>1.5652050370720462E-2</c:v>
                </c:pt>
                <c:pt idx="77">
                  <c:v>1.4478579295630099E-2</c:v>
                </c:pt>
                <c:pt idx="78">
                  <c:v>1.3384436409718366E-2</c:v>
                </c:pt>
                <c:pt idx="79">
                  <c:v>1.2365154219708173E-2</c:v>
                </c:pt>
                <c:pt idx="80">
                  <c:v>1.1416421649897786E-2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Stochastic!$F$22</c:f>
              <c:strCache>
                <c:ptCount val="1"/>
                <c:pt idx="0">
                  <c:v>3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Stochastic!$A$24:$A$129</c:f>
              <c:numCache>
                <c:formatCode>General</c:formatCode>
                <c:ptCount val="106"/>
                <c:pt idx="0">
                  <c:v>4.8854423476569426</c:v>
                </c:pt>
                <c:pt idx="1">
                  <c:v>5.0785828325519899</c:v>
                </c:pt>
                <c:pt idx="2">
                  <c:v>5.2646087539943309</c:v>
                </c:pt>
                <c:pt idx="3">
                  <c:v>5.4441788078660913</c:v>
                </c:pt>
                <c:pt idx="4">
                  <c:v>5.6178579778391713</c:v>
                </c:pt>
                <c:pt idx="5">
                  <c:v>5.786135043349967</c:v>
                </c:pt>
                <c:pt idx="6">
                  <c:v>5.9494361130885718</c:v>
                </c:pt>
                <c:pt idx="7">
                  <c:v>6.1081352310038639</c:v>
                </c:pt>
                <c:pt idx="8">
                  <c:v>6.2625627912932229</c:v>
                </c:pt>
                <c:pt idx="9">
                  <c:v>6.4130122898300179</c:v>
                </c:pt>
                <c:pt idx="10">
                  <c:v>6.5597457959711942</c:v>
                </c:pt>
                <c:pt idx="11">
                  <c:v>6.7029984283672706</c:v>
                </c:pt>
                <c:pt idx="12">
                  <c:v>6.8429820471163803</c:v>
                </c:pt>
                <c:pt idx="13">
                  <c:v>6.9798883231986579</c:v>
                </c:pt>
                <c:pt idx="14">
                  <c:v>7.113891308546938</c:v>
                </c:pt>
                <c:pt idx="15">
                  <c:v>7.2451496022904722</c:v>
                </c:pt>
                <c:pt idx="16">
                  <c:v>7.3738081878757438</c:v>
                </c:pt>
                <c:pt idx="17">
                  <c:v>7.5000000000000018</c:v>
                </c:pt>
                <c:pt idx="18">
                  <c:v>7.6238472682392278</c:v>
                </c:pt>
                <c:pt idx="19">
                  <c:v>7.7454626749519857</c:v>
                </c:pt>
                <c:pt idx="20">
                  <c:v>7.864950357803151</c:v>
                </c:pt>
                <c:pt idx="21">
                  <c:v>7.9824067815736894</c:v>
                </c:pt>
                <c:pt idx="22">
                  <c:v>8.0979214994345217</c:v>
                </c:pt>
                <c:pt idx="23">
                  <c:v>8.2115778202896372</c:v>
                </c:pt>
                <c:pt idx="24">
                  <c:v>8.3234533959302865</c:v>
                </c:pt>
                <c:pt idx="25">
                  <c:v>8.4336207394327811</c:v>
                </c:pt>
                <c:pt idx="26">
                  <c:v>8.5421476843590423</c:v>
                </c:pt>
                <c:pt idx="27">
                  <c:v>8.6490977927905455</c:v>
                </c:pt>
                <c:pt idx="28">
                  <c:v>8.7545307189726032</c:v>
                </c:pt>
                <c:pt idx="29">
                  <c:v>8.8585025343124499</c:v>
                </c:pt>
                <c:pt idx="30">
                  <c:v>8.9610660186184905</c:v>
                </c:pt>
                <c:pt idx="31">
                  <c:v>9.062270921755621</c:v>
                </c:pt>
                <c:pt idx="32">
                  <c:v>9.1621641992962353</c:v>
                </c:pt>
                <c:pt idx="33">
                  <c:v>9.2607902252467369</c:v>
                </c:pt>
                <c:pt idx="34">
                  <c:v>9.3581909845084166</c:v>
                </c:pt>
                <c:pt idx="35">
                  <c:v>9.4544062473754629</c:v>
                </c:pt>
                <c:pt idx="36">
                  <c:v>9.5494737280705575</c:v>
                </c:pt>
                <c:pt idx="37">
                  <c:v>9.6434292290611268</c:v>
                </c:pt>
                <c:pt idx="38">
                  <c:v>9.7363067726791925</c:v>
                </c:pt>
                <c:pt idx="39">
                  <c:v>9.8281387213791938</c:v>
                </c:pt>
                <c:pt idx="40">
                  <c:v>9.9189558878058417</c:v>
                </c:pt>
                <c:pt idx="41">
                  <c:v>10.008787635704222</c:v>
                </c:pt>
                <c:pt idx="42">
                  <c:v>10.097661972583209</c:v>
                </c:pt>
                <c:pt idx="43">
                  <c:v>10.185605634938456</c:v>
                </c:pt>
                <c:pt idx="44">
                  <c:v>10.272644166749672</c:v>
                </c:pt>
                <c:pt idx="45">
                  <c:v>10.358801991887605</c:v>
                </c:pt>
                <c:pt idx="46">
                  <c:v>10.444102480996419</c:v>
                </c:pt>
                <c:pt idx="47">
                  <c:v>10.528568013356221</c:v>
                </c:pt>
                <c:pt idx="48">
                  <c:v>10.612220034177101</c:v>
                </c:pt>
                <c:pt idx="49">
                  <c:v>10.695079107728942</c:v>
                </c:pt>
                <c:pt idx="50">
                  <c:v>10.777164966669694</c:v>
                </c:pt>
                <c:pt idx="51">
                  <c:v>10.858496557898214</c:v>
                </c:pt>
                <c:pt idx="52">
                  <c:v>10.939092085225278</c:v>
                </c:pt>
                <c:pt idx="53">
                  <c:v>11.018969049127563</c:v>
                </c:pt>
                <c:pt idx="54">
                  <c:v>11.098144283823808</c:v>
                </c:pt>
                <c:pt idx="55">
                  <c:v>11.176633991889599</c:v>
                </c:pt>
                <c:pt idx="56">
                  <c:v>11.254453776606841</c:v>
                </c:pt>
                <c:pt idx="57">
                  <c:v>11.331618672225915</c:v>
                </c:pt>
                <c:pt idx="58">
                  <c:v>11.408143172302184</c:v>
                </c:pt>
                <c:pt idx="59">
                  <c:v>11.484041256253985</c:v>
                </c:pt>
                <c:pt idx="60">
                  <c:v>11.559326414276182</c:v>
                </c:pt>
                <c:pt idx="61">
                  <c:v>11.634011670731651</c:v>
                </c:pt>
                <c:pt idx="62">
                  <c:v>11.708109606132261</c:v>
                </c:pt>
                <c:pt idx="63">
                  <c:v>11.781632377811761</c:v>
                </c:pt>
                <c:pt idx="64">
                  <c:v>11.854591739383965</c:v>
                </c:pt>
                <c:pt idx="65">
                  <c:v>11.926999059072134</c:v>
                </c:pt>
                <c:pt idx="66">
                  <c:v>11.998865336988224</c:v>
                </c:pt>
                <c:pt idx="67">
                  <c:v>12.070201221434353</c:v>
                </c:pt>
                <c:pt idx="68">
                  <c:v>12.141017024293097</c:v>
                </c:pt>
                <c:pt idx="69">
                  <c:v>12.211322735567737</c:v>
                </c:pt>
                <c:pt idx="70">
                  <c:v>12.281128037129099</c:v>
                </c:pt>
                <c:pt idx="71">
                  <c:v>12.350442315720894</c:v>
                </c:pt>
                <c:pt idx="72">
                  <c:v>12.419274675271911</c:v>
                </c:pt>
                <c:pt idx="73">
                  <c:v>12.487633948559251</c:v>
                </c:pt>
                <c:pt idx="74">
                  <c:v>12.555528708264029</c:v>
                </c:pt>
                <c:pt idx="75">
                  <c:v>12.6229672774575</c:v>
                </c:pt>
                <c:pt idx="76">
                  <c:v>12.6899577395529</c:v>
                </c:pt>
                <c:pt idx="77">
                  <c:v>12.756507947755948</c:v>
                </c:pt>
                <c:pt idx="78">
                  <c:v>12.822625534044214</c:v>
                </c:pt>
                <c:pt idx="79">
                  <c:v>12.888317917703819</c:v>
                </c:pt>
                <c:pt idx="80">
                  <c:v>12.953592313449654</c:v>
                </c:pt>
                <c:pt idx="81">
                  <c:v>13.018455739153598</c:v>
                </c:pt>
                <c:pt idx="82">
                  <c:v>13.082915023203574</c:v>
                </c:pt>
                <c:pt idx="83">
                  <c:v>13.146976811514675</c:v>
                </c:pt>
                <c:pt idx="84">
                  <c:v>13.21064757421215</c:v>
                </c:pt>
                <c:pt idx="85">
                  <c:v>13.273933612004836</c:v>
                </c:pt>
                <c:pt idx="86">
                  <c:v>13.33684106226619</c:v>
                </c:pt>
                <c:pt idx="87">
                  <c:v>13.399375904839259</c:v>
                </c:pt>
                <c:pt idx="88">
                  <c:v>13.461543967580534</c:v>
                </c:pt>
                <c:pt idx="89">
                  <c:v>13.523350931656944</c:v>
                </c:pt>
                <c:pt idx="90">
                  <c:v>13.58480233660924</c:v>
                </c:pt>
                <c:pt idx="91">
                  <c:v>13.645903585194139</c:v>
                </c:pt>
                <c:pt idx="92">
                  <c:v>13.706659948016927</c:v>
                </c:pt>
                <c:pt idx="93">
                  <c:v>13.76707656796548</c:v>
                </c:pt>
                <c:pt idx="94">
                  <c:v>13.827158464455884</c:v>
                </c:pt>
                <c:pt idx="95">
                  <c:v>13.886910537499421</c:v>
                </c:pt>
                <c:pt idx="96">
                  <c:v>13.946337571599891</c:v>
                </c:pt>
                <c:pt idx="97">
                  <c:v>14.005444239489881</c:v>
                </c:pt>
                <c:pt idx="98">
                  <c:v>14.064235105713966</c:v>
                </c:pt>
                <c:pt idx="99">
                  <c:v>14.12271463006641</c:v>
                </c:pt>
                <c:pt idx="100">
                  <c:v>14.18088717089055</c:v>
                </c:pt>
                <c:pt idx="101">
                  <c:v>14.238756988246497</c:v>
                </c:pt>
                <c:pt idx="102">
                  <c:v>14.296328246953586</c:v>
                </c:pt>
                <c:pt idx="103">
                  <c:v>14.353605019513452</c:v>
                </c:pt>
                <c:pt idx="104">
                  <c:v>14.410591288919489</c:v>
                </c:pt>
                <c:pt idx="105">
                  <c:v>14.467290951357944</c:v>
                </c:pt>
              </c:numCache>
            </c:numRef>
          </c:xVal>
          <c:yVal>
            <c:numRef>
              <c:f>Stochastic!$F$24:$F$129</c:f>
              <c:numCache>
                <c:formatCode>General</c:formatCode>
                <c:ptCount val="106"/>
                <c:pt idx="0">
                  <c:v>4.0174473983548398E-2</c:v>
                </c:pt>
                <c:pt idx="1">
                  <c:v>4.6102070720477742E-2</c:v>
                </c:pt>
                <c:pt idx="2">
                  <c:v>5.2296224238147899E-2</c:v>
                </c:pt>
                <c:pt idx="3">
                  <c:v>5.8707929083238013E-2</c:v>
                </c:pt>
                <c:pt idx="4">
                  <c:v>6.5286563868071398E-2</c:v>
                </c:pt>
                <c:pt idx="5">
                  <c:v>7.1980797235062371E-2</c:v>
                </c:pt>
                <c:pt idx="6">
                  <c:v>7.8739412233941222E-2</c:v>
                </c:pt>
                <c:pt idx="7">
                  <c:v>8.5512043278174119E-2</c:v>
                </c:pt>
                <c:pt idx="8">
                  <c:v>9.2249822794826325E-2</c:v>
                </c:pt>
                <c:pt idx="9">
                  <c:v>9.8905937134570188E-2</c:v>
                </c:pt>
                <c:pt idx="10">
                  <c:v>0.105436093308985</c:v>
                </c:pt>
                <c:pt idx="11">
                  <c:v>0.11179889971596331</c:v>
                </c:pt>
                <c:pt idx="12">
                  <c:v>0.11795616524629533</c:v>
                </c:pt>
                <c:pt idx="13">
                  <c:v>0.12387312207970125</c:v>
                </c:pt>
                <c:pt idx="14">
                  <c:v>0.12951857811906145</c:v>
                </c:pt>
                <c:pt idx="15">
                  <c:v>0.13486500541715205</c:v>
                </c:pt>
                <c:pt idx="16">
                  <c:v>0.1398885711576264</c:v>
                </c:pt>
                <c:pt idx="17">
                  <c:v>0.14456911779488593</c:v>
                </c:pt>
                <c:pt idx="18">
                  <c:v>0.14889009886618559</c:v>
                </c:pt>
                <c:pt idx="19">
                  <c:v>0.15283847679084211</c:v>
                </c:pt>
                <c:pt idx="20">
                  <c:v>0.15640458868963628</c:v>
                </c:pt>
                <c:pt idx="21">
                  <c:v>0.15958198591324979</c:v>
                </c:pt>
                <c:pt idx="22">
                  <c:v>0.16236725257984588</c:v>
                </c:pt>
                <c:pt idx="23">
                  <c:v>0.16475980800405005</c:v>
                </c:pt>
                <c:pt idx="24">
                  <c:v>0.1667616974655636</c:v>
                </c:pt>
                <c:pt idx="25">
                  <c:v>0.16837737532621541</c:v>
                </c:pt>
                <c:pt idx="26">
                  <c:v>0.16961348406824575</c:v>
                </c:pt>
                <c:pt idx="27">
                  <c:v>0.17047863240109601</c:v>
                </c:pt>
                <c:pt idx="28">
                  <c:v>0.17098317517450631</c:v>
                </c:pt>
                <c:pt idx="29">
                  <c:v>0.17113899744652422</c:v>
                </c:pt>
                <c:pt idx="30">
                  <c:v>0.17095930468917911</c:v>
                </c:pt>
                <c:pt idx="31">
                  <c:v>0.17045842077417597</c:v>
                </c:pt>
                <c:pt idx="32">
                  <c:v>0.16965159506728278</c:v>
                </c:pt>
                <c:pt idx="33">
                  <c:v>0.16855481967370345</c:v>
                </c:pt>
                <c:pt idx="34">
                  <c:v>0.16718465761765985</c:v>
                </c:pt>
                <c:pt idx="35">
                  <c:v>0.16555808250720191</c:v>
                </c:pt>
                <c:pt idx="36">
                  <c:v>0.16369233002911293</c:v>
                </c:pt>
                <c:pt idx="37">
                  <c:v>0.16160476143758318</c:v>
                </c:pt>
                <c:pt idx="38">
                  <c:v>0.15931273904278989</c:v>
                </c:pt>
                <c:pt idx="39">
                  <c:v>0.15683351357018308</c:v>
                </c:pt>
                <c:pt idx="40">
                  <c:v>0.15418412314659843</c:v>
                </c:pt>
                <c:pt idx="41">
                  <c:v>0.15138130357368246</c:v>
                </c:pt>
                <c:pt idx="42">
                  <c:v>0.14844140947091533</c:v>
                </c:pt>
                <c:pt idx="43">
                  <c:v>0.14538034580812645</c:v>
                </c:pt>
                <c:pt idx="44">
                  <c:v>0.14221350929926788</c:v>
                </c:pt>
                <c:pt idx="45">
                  <c:v>0.13895573909378645</c:v>
                </c:pt>
                <c:pt idx="46">
                  <c:v>0.13562127617780004</c:v>
                </c:pt>
                <c:pt idx="47">
                  <c:v>0.13222373088303876</c:v>
                </c:pt>
                <c:pt idx="48">
                  <c:v>0.12877605789587354</c:v>
                </c:pt>
                <c:pt idx="49">
                  <c:v>0.12529053816052721</c:v>
                </c:pt>
                <c:pt idx="50">
                  <c:v>0.12177876707864008</c:v>
                </c:pt>
                <c:pt idx="51">
                  <c:v>0.11825164842071569</c:v>
                </c:pt>
                <c:pt idx="52">
                  <c:v>0.11471939338269262</c:v>
                </c:pt>
                <c:pt idx="53">
                  <c:v>0.11119152424213112</c:v>
                </c:pt>
                <c:pt idx="54">
                  <c:v>0.10767688209251858</c:v>
                </c:pt>
                <c:pt idx="55">
                  <c:v>0.10418363816031968</c:v>
                </c:pt>
                <c:pt idx="56">
                  <c:v>0.1007193082370315</c:v>
                </c:pt>
                <c:pt idx="57">
                  <c:v>9.7290769787131776E-2</c:v>
                </c:pt>
                <c:pt idx="58">
                  <c:v>9.3904281321977881E-2</c:v>
                </c:pt>
                <c:pt idx="59">
                  <c:v>9.05655036590374E-2</c:v>
                </c:pt>
                <c:pt idx="60">
                  <c:v>8.7279522714968874E-2</c:v>
                </c:pt>
                <c:pt idx="61">
                  <c:v>8.4050873509750532E-2</c:v>
                </c:pt>
                <c:pt idx="62">
                  <c:v>8.0883565087047055E-2</c:v>
                </c:pt>
                <c:pt idx="63">
                  <c:v>7.7781106083089996E-2</c:v>
                </c:pt>
                <c:pt idx="64">
                  <c:v>7.474653070242529E-2</c:v>
                </c:pt>
                <c:pt idx="65">
                  <c:v>7.1782424883778159E-2</c:v>
                </c:pt>
                <c:pt idx="66">
                  <c:v>6.8890952462956845E-2</c:v>
                </c:pt>
                <c:pt idx="67">
                  <c:v>6.6073881162071968E-2</c:v>
                </c:pt>
                <c:pt idx="68">
                  <c:v>6.3332608255363743E-2</c:v>
                </c:pt>
                <c:pt idx="69">
                  <c:v>6.0668185781590202E-2</c:v>
                </c:pt>
                <c:pt idx="70">
                  <c:v>5.8081345191206411E-2</c:v>
                </c:pt>
                <c:pt idx="71">
                  <c:v>5.557252133351772E-2</c:v>
                </c:pt>
                <c:pt idx="72">
                  <c:v>5.3141875704585374E-2</c:v>
                </c:pt>
                <c:pt idx="73">
                  <c:v>5.0789318891001009E-2</c:v>
                </c:pt>
                <c:pt idx="74">
                  <c:v>4.8514532157696612E-2</c:v>
                </c:pt>
                <c:pt idx="75">
                  <c:v>4.6316988139842467E-2</c:v>
                </c:pt>
                <c:pt idx="76">
                  <c:v>4.4195970609603508E-2</c:v>
                </c:pt>
                <c:pt idx="77">
                  <c:v>4.2150593298152968E-2</c:v>
                </c:pt>
                <c:pt idx="78">
                  <c:v>4.0179817761959703E-2</c:v>
                </c:pt>
                <c:pt idx="79">
                  <c:v>3.828247028999137E-2</c:v>
                </c:pt>
                <c:pt idx="80">
                  <c:v>3.6457257855214066E-2</c:v>
                </c:pt>
                <c:pt idx="81">
                  <c:v>3.4702783119654738E-2</c:v>
                </c:pt>
                <c:pt idx="82">
                  <c:v>3.3017558507393775E-2</c:v>
                </c:pt>
                <c:pt idx="83">
                  <c:v>3.1400019364237142E-2</c:v>
                </c:pt>
                <c:pt idx="84">
                  <c:v>2.9848536226531663E-2</c:v>
                </c:pt>
                <c:pt idx="85">
                  <c:v>2.8361426224688135E-2</c:v>
                </c:pt>
                <c:pt idx="86">
                  <c:v>2.6936963649530098E-2</c:v>
                </c:pt>
                <c:pt idx="87">
                  <c:v>2.5573389711621694E-2</c:v>
                </c:pt>
                <c:pt idx="88">
                  <c:v>2.4268921525323266E-2</c:v>
                </c:pt>
                <c:pt idx="89">
                  <c:v>2.3021760350493723E-2</c:v>
                </c:pt>
                <c:pt idx="90">
                  <c:v>2.1830099125570813E-2</c:v>
                </c:pt>
                <c:pt idx="91">
                  <c:v>2.0692129326245222E-2</c:v>
                </c:pt>
                <c:pt idx="92">
                  <c:v>1.9606047184136974E-2</c:v>
                </c:pt>
                <c:pt idx="93">
                  <c:v>1.8570059299825269E-2</c:v>
                </c:pt>
                <c:pt idx="94">
                  <c:v>1.7582387684304278E-2</c:v>
                </c:pt>
                <c:pt idx="95">
                  <c:v>1.6641274262465006E-2</c:v>
                </c:pt>
                <c:pt idx="96">
                  <c:v>1.5744984871571603E-2</c:v>
                </c:pt>
                <c:pt idx="97">
                  <c:v>1.4891812786926658E-2</c:v>
                </c:pt>
                <c:pt idx="98">
                  <c:v>1.4080081806033833E-2</c:v>
                </c:pt>
                <c:pt idx="99">
                  <c:v>1.3308148921583106E-2</c:v>
                </c:pt>
                <c:pt idx="100">
                  <c:v>1.2574406612525698E-2</c:v>
                </c:pt>
                <c:pt idx="101">
                  <c:v>1.1877284781390399E-2</c:v>
                </c:pt>
                <c:pt idx="102">
                  <c:v>1.1215252364829916E-2</c:v>
                </c:pt>
                <c:pt idx="103">
                  <c:v>1.0586818643197217E-2</c:v>
                </c:pt>
                <c:pt idx="104">
                  <c:v>9.9905342737400486E-3</c:v>
                </c:pt>
                <c:pt idx="105">
                  <c:v>9.4249920707859623E-3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Stochastic!$G$22</c:f>
              <c:strCache>
                <c:ptCount val="1"/>
                <c:pt idx="0">
                  <c:v>4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Stochastic!$A$24:$A$129</c:f>
              <c:numCache>
                <c:formatCode>General</c:formatCode>
                <c:ptCount val="106"/>
                <c:pt idx="0">
                  <c:v>4.8854423476569426</c:v>
                </c:pt>
                <c:pt idx="1">
                  <c:v>5.0785828325519899</c:v>
                </c:pt>
                <c:pt idx="2">
                  <c:v>5.2646087539943309</c:v>
                </c:pt>
                <c:pt idx="3">
                  <c:v>5.4441788078660913</c:v>
                </c:pt>
                <c:pt idx="4">
                  <c:v>5.6178579778391713</c:v>
                </c:pt>
                <c:pt idx="5">
                  <c:v>5.786135043349967</c:v>
                </c:pt>
                <c:pt idx="6">
                  <c:v>5.9494361130885718</c:v>
                </c:pt>
                <c:pt idx="7">
                  <c:v>6.1081352310038639</c:v>
                </c:pt>
                <c:pt idx="8">
                  <c:v>6.2625627912932229</c:v>
                </c:pt>
                <c:pt idx="9">
                  <c:v>6.4130122898300179</c:v>
                </c:pt>
                <c:pt idx="10">
                  <c:v>6.5597457959711942</c:v>
                </c:pt>
                <c:pt idx="11">
                  <c:v>6.7029984283672706</c:v>
                </c:pt>
                <c:pt idx="12">
                  <c:v>6.8429820471163803</c:v>
                </c:pt>
                <c:pt idx="13">
                  <c:v>6.9798883231986579</c:v>
                </c:pt>
                <c:pt idx="14">
                  <c:v>7.113891308546938</c:v>
                </c:pt>
                <c:pt idx="15">
                  <c:v>7.2451496022904722</c:v>
                </c:pt>
                <c:pt idx="16">
                  <c:v>7.3738081878757438</c:v>
                </c:pt>
                <c:pt idx="17">
                  <c:v>7.5000000000000018</c:v>
                </c:pt>
                <c:pt idx="18">
                  <c:v>7.6238472682392278</c:v>
                </c:pt>
                <c:pt idx="19">
                  <c:v>7.7454626749519857</c:v>
                </c:pt>
                <c:pt idx="20">
                  <c:v>7.864950357803151</c:v>
                </c:pt>
                <c:pt idx="21">
                  <c:v>7.9824067815736894</c:v>
                </c:pt>
                <c:pt idx="22">
                  <c:v>8.0979214994345217</c:v>
                </c:pt>
                <c:pt idx="23">
                  <c:v>8.2115778202896372</c:v>
                </c:pt>
                <c:pt idx="24">
                  <c:v>8.3234533959302865</c:v>
                </c:pt>
                <c:pt idx="25">
                  <c:v>8.4336207394327811</c:v>
                </c:pt>
                <c:pt idx="26">
                  <c:v>8.5421476843590423</c:v>
                </c:pt>
                <c:pt idx="27">
                  <c:v>8.6490977927905455</c:v>
                </c:pt>
                <c:pt idx="28">
                  <c:v>8.7545307189726032</c:v>
                </c:pt>
                <c:pt idx="29">
                  <c:v>8.8585025343124499</c:v>
                </c:pt>
                <c:pt idx="30">
                  <c:v>8.9610660186184905</c:v>
                </c:pt>
                <c:pt idx="31">
                  <c:v>9.062270921755621</c:v>
                </c:pt>
                <c:pt idx="32">
                  <c:v>9.1621641992962353</c:v>
                </c:pt>
                <c:pt idx="33">
                  <c:v>9.2607902252467369</c:v>
                </c:pt>
                <c:pt idx="34">
                  <c:v>9.3581909845084166</c:v>
                </c:pt>
                <c:pt idx="35">
                  <c:v>9.4544062473754629</c:v>
                </c:pt>
                <c:pt idx="36">
                  <c:v>9.5494737280705575</c:v>
                </c:pt>
                <c:pt idx="37">
                  <c:v>9.6434292290611268</c:v>
                </c:pt>
                <c:pt idx="38">
                  <c:v>9.7363067726791925</c:v>
                </c:pt>
                <c:pt idx="39">
                  <c:v>9.8281387213791938</c:v>
                </c:pt>
                <c:pt idx="40">
                  <c:v>9.9189558878058417</c:v>
                </c:pt>
                <c:pt idx="41">
                  <c:v>10.008787635704222</c:v>
                </c:pt>
                <c:pt idx="42">
                  <c:v>10.097661972583209</c:v>
                </c:pt>
                <c:pt idx="43">
                  <c:v>10.185605634938456</c:v>
                </c:pt>
                <c:pt idx="44">
                  <c:v>10.272644166749672</c:v>
                </c:pt>
                <c:pt idx="45">
                  <c:v>10.358801991887605</c:v>
                </c:pt>
                <c:pt idx="46">
                  <c:v>10.444102480996419</c:v>
                </c:pt>
                <c:pt idx="47">
                  <c:v>10.528568013356221</c:v>
                </c:pt>
                <c:pt idx="48">
                  <c:v>10.612220034177101</c:v>
                </c:pt>
                <c:pt idx="49">
                  <c:v>10.695079107728942</c:v>
                </c:pt>
                <c:pt idx="50">
                  <c:v>10.777164966669694</c:v>
                </c:pt>
                <c:pt idx="51">
                  <c:v>10.858496557898214</c:v>
                </c:pt>
                <c:pt idx="52">
                  <c:v>10.939092085225278</c:v>
                </c:pt>
                <c:pt idx="53">
                  <c:v>11.018969049127563</c:v>
                </c:pt>
                <c:pt idx="54">
                  <c:v>11.098144283823808</c:v>
                </c:pt>
                <c:pt idx="55">
                  <c:v>11.176633991889599</c:v>
                </c:pt>
                <c:pt idx="56">
                  <c:v>11.254453776606841</c:v>
                </c:pt>
                <c:pt idx="57">
                  <c:v>11.331618672225915</c:v>
                </c:pt>
                <c:pt idx="58">
                  <c:v>11.408143172302184</c:v>
                </c:pt>
                <c:pt idx="59">
                  <c:v>11.484041256253985</c:v>
                </c:pt>
                <c:pt idx="60">
                  <c:v>11.559326414276182</c:v>
                </c:pt>
                <c:pt idx="61">
                  <c:v>11.634011670731651</c:v>
                </c:pt>
                <c:pt idx="62">
                  <c:v>11.708109606132261</c:v>
                </c:pt>
                <c:pt idx="63">
                  <c:v>11.781632377811761</c:v>
                </c:pt>
                <c:pt idx="64">
                  <c:v>11.854591739383965</c:v>
                </c:pt>
                <c:pt idx="65">
                  <c:v>11.926999059072134</c:v>
                </c:pt>
                <c:pt idx="66">
                  <c:v>11.998865336988224</c:v>
                </c:pt>
                <c:pt idx="67">
                  <c:v>12.070201221434353</c:v>
                </c:pt>
                <c:pt idx="68">
                  <c:v>12.141017024293097</c:v>
                </c:pt>
                <c:pt idx="69">
                  <c:v>12.211322735567737</c:v>
                </c:pt>
                <c:pt idx="70">
                  <c:v>12.281128037129099</c:v>
                </c:pt>
                <c:pt idx="71">
                  <c:v>12.350442315720894</c:v>
                </c:pt>
                <c:pt idx="72">
                  <c:v>12.419274675271911</c:v>
                </c:pt>
                <c:pt idx="73">
                  <c:v>12.487633948559251</c:v>
                </c:pt>
                <c:pt idx="74">
                  <c:v>12.555528708264029</c:v>
                </c:pt>
                <c:pt idx="75">
                  <c:v>12.6229672774575</c:v>
                </c:pt>
                <c:pt idx="76">
                  <c:v>12.6899577395529</c:v>
                </c:pt>
                <c:pt idx="77">
                  <c:v>12.756507947755948</c:v>
                </c:pt>
                <c:pt idx="78">
                  <c:v>12.822625534044214</c:v>
                </c:pt>
                <c:pt idx="79">
                  <c:v>12.888317917703819</c:v>
                </c:pt>
                <c:pt idx="80">
                  <c:v>12.953592313449654</c:v>
                </c:pt>
                <c:pt idx="81">
                  <c:v>13.018455739153598</c:v>
                </c:pt>
                <c:pt idx="82">
                  <c:v>13.082915023203574</c:v>
                </c:pt>
                <c:pt idx="83">
                  <c:v>13.146976811514675</c:v>
                </c:pt>
                <c:pt idx="84">
                  <c:v>13.21064757421215</c:v>
                </c:pt>
                <c:pt idx="85">
                  <c:v>13.273933612004836</c:v>
                </c:pt>
                <c:pt idx="86">
                  <c:v>13.33684106226619</c:v>
                </c:pt>
                <c:pt idx="87">
                  <c:v>13.399375904839259</c:v>
                </c:pt>
                <c:pt idx="88">
                  <c:v>13.461543967580534</c:v>
                </c:pt>
                <c:pt idx="89">
                  <c:v>13.523350931656944</c:v>
                </c:pt>
                <c:pt idx="90">
                  <c:v>13.58480233660924</c:v>
                </c:pt>
                <c:pt idx="91">
                  <c:v>13.645903585194139</c:v>
                </c:pt>
                <c:pt idx="92">
                  <c:v>13.706659948016927</c:v>
                </c:pt>
                <c:pt idx="93">
                  <c:v>13.76707656796548</c:v>
                </c:pt>
                <c:pt idx="94">
                  <c:v>13.827158464455884</c:v>
                </c:pt>
                <c:pt idx="95">
                  <c:v>13.886910537499421</c:v>
                </c:pt>
                <c:pt idx="96">
                  <c:v>13.946337571599891</c:v>
                </c:pt>
                <c:pt idx="97">
                  <c:v>14.005444239489881</c:v>
                </c:pt>
                <c:pt idx="98">
                  <c:v>14.064235105713966</c:v>
                </c:pt>
                <c:pt idx="99">
                  <c:v>14.12271463006641</c:v>
                </c:pt>
                <c:pt idx="100">
                  <c:v>14.18088717089055</c:v>
                </c:pt>
                <c:pt idx="101">
                  <c:v>14.238756988246497</c:v>
                </c:pt>
                <c:pt idx="102">
                  <c:v>14.296328246953586</c:v>
                </c:pt>
                <c:pt idx="103">
                  <c:v>14.353605019513452</c:v>
                </c:pt>
                <c:pt idx="104">
                  <c:v>14.410591288919489</c:v>
                </c:pt>
                <c:pt idx="105">
                  <c:v>14.467290951357944</c:v>
                </c:pt>
              </c:numCache>
            </c:numRef>
          </c:xVal>
          <c:yVal>
            <c:numRef>
              <c:f>Stochastic!$G$24:$G$129</c:f>
              <c:numCache>
                <c:formatCode>General</c:formatCode>
                <c:ptCount val="106"/>
                <c:pt idx="0">
                  <c:v>3.4441867709015271E-2</c:v>
                </c:pt>
                <c:pt idx="1">
                  <c:v>3.8985224660677199E-2</c:v>
                </c:pt>
                <c:pt idx="2">
                  <c:v>4.3703144361613218E-2</c:v>
                </c:pt>
                <c:pt idx="3">
                  <c:v>4.8566719756473684E-2</c:v>
                </c:pt>
                <c:pt idx="4">
                  <c:v>5.3546599850817493E-2</c:v>
                </c:pt>
                <c:pt idx="5">
                  <c:v>5.8613358634633538E-2</c:v>
                </c:pt>
                <c:pt idx="6">
                  <c:v>6.3737825618259747E-2</c:v>
                </c:pt>
                <c:pt idx="7">
                  <c:v>6.8891378361643399E-2</c:v>
                </c:pt>
                <c:pt idx="8">
                  <c:v>7.4046197913389261E-2</c:v>
                </c:pt>
                <c:pt idx="9">
                  <c:v>7.9175488500080826E-2</c:v>
                </c:pt>
                <c:pt idx="10">
                  <c:v>8.4253663133563403E-2</c:v>
                </c:pt>
                <c:pt idx="11">
                  <c:v>8.9256497047514205E-2</c:v>
                </c:pt>
                <c:pt idx="12">
                  <c:v>9.4161251046625288E-2</c:v>
                </c:pt>
                <c:pt idx="13">
                  <c:v>9.8946766962830154E-2</c:v>
                </c:pt>
                <c:pt idx="14">
                  <c:v>0.10359353747277149</c:v>
                </c:pt>
                <c:pt idx="15">
                  <c:v>0.10808375254764339</c:v>
                </c:pt>
                <c:pt idx="16">
                  <c:v>0.11240132478816799</c:v>
                </c:pt>
                <c:pt idx="17">
                  <c:v>0.1165318958503848</c:v>
                </c:pt>
                <c:pt idx="18">
                  <c:v>0.12046282609794755</c:v>
                </c:pt>
                <c:pt idx="19">
                  <c:v>0.1241831695287533</c:v>
                </c:pt>
                <c:pt idx="20">
                  <c:v>0.12768363592234941</c:v>
                </c:pt>
                <c:pt idx="21">
                  <c:v>0.13095654204341034</c:v>
                </c:pt>
                <c:pt idx="22">
                  <c:v>0.13399575361885377</c:v>
                </c:pt>
                <c:pt idx="23">
                  <c:v>0.1367966196845781</c:v>
                </c:pt>
                <c:pt idx="24">
                  <c:v>0.13935590077463142</c:v>
                </c:pt>
                <c:pt idx="25">
                  <c:v>0.1416716923027467</c:v>
                </c:pt>
                <c:pt idx="26">
                  <c:v>0.14374334436515507</c:v>
                </c:pt>
                <c:pt idx="27">
                  <c:v>0.14557137907566528</c:v>
                </c:pt>
                <c:pt idx="28">
                  <c:v>0.14715740643016503</c:v>
                </c:pt>
                <c:pt idx="29">
                  <c:v>0.14850403958872571</c:v>
                </c:pt>
                <c:pt idx="30">
                  <c:v>0.14961481035994459</c:v>
                </c:pt>
                <c:pt idx="31">
                  <c:v>0.15049408557444144</c:v>
                </c:pt>
                <c:pt idx="32">
                  <c:v>0.15114698494280307</c:v>
                </c:pt>
                <c:pt idx="33">
                  <c:v>0.15157930090787608</c:v>
                </c:pt>
                <c:pt idx="34">
                  <c:v>0.1517974209221884</c:v>
                </c:pt>
                <c:pt idx="35">
                  <c:v>0.15180825250838811</c:v>
                </c:pt>
                <c:pt idx="36">
                  <c:v>0.15161915139381305</c:v>
                </c:pt>
                <c:pt idx="37">
                  <c:v>0.151237852949478</c:v>
                </c:pt>
                <c:pt idx="38">
                  <c:v>0.15067240710867894</c:v>
                </c:pt>
                <c:pt idx="39">
                  <c:v>0.14993111689082048</c:v>
                </c:pt>
                <c:pt idx="40">
                  <c:v>0.14902248061170728</c:v>
                </c:pt>
                <c:pt idx="41">
                  <c:v>0.14795513782211267</c:v>
                </c:pt>
                <c:pt idx="42">
                  <c:v>0.14673781898165655</c:v>
                </c:pt>
                <c:pt idx="43">
                  <c:v>0.14537929884458153</c:v>
                </c:pt>
                <c:pt idx="44">
                  <c:v>0.14388835350761686</c:v>
                </c:pt>
                <c:pt idx="45">
                  <c:v>0.14227372104744831</c:v>
                </c:pt>
                <c:pt idx="46">
                  <c:v>0.14054406565609182</c:v>
                </c:pt>
                <c:pt idx="47">
                  <c:v>0.13870794516639759</c:v>
                </c:pt>
                <c:pt idx="48">
                  <c:v>0.13677378184671865</c:v>
                </c:pt>
                <c:pt idx="49">
                  <c:v>0.13474983633319632</c:v>
                </c:pt>
                <c:pt idx="50">
                  <c:v>0.13264418455989599</c:v>
                </c:pt>
                <c:pt idx="51">
                  <c:v>0.13046469754091997</c:v>
                </c:pt>
                <c:pt idx="52">
                  <c:v>0.12821902385441469</c:v>
                </c:pt>
                <c:pt idx="53">
                  <c:v>0.1259145746758604</c:v>
                </c:pt>
                <c:pt idx="54">
                  <c:v>0.12355851120698338</c:v>
                </c:pt>
                <c:pt idx="55">
                  <c:v>0.12115773434688303</c:v>
                </c:pt>
                <c:pt idx="56">
                  <c:v>0.11871887645334733</c:v>
                </c:pt>
                <c:pt idx="57">
                  <c:v>0.11624829504468347</c:v>
                </c:pt>
                <c:pt idx="58">
                  <c:v>0.11375206829557009</c:v>
                </c:pt>
                <c:pt idx="59">
                  <c:v>0.11123599218432009</c:v>
                </c:pt>
                <c:pt idx="60">
                  <c:v>0.10870557915339377</c:v>
                </c:pt>
                <c:pt idx="61">
                  <c:v>0.10616605814992952</c:v>
                </c:pt>
                <c:pt idx="62">
                  <c:v>0.10362237591836028</c:v>
                </c:pt>
                <c:pt idx="63">
                  <c:v>0.10107919942275406</c:v>
                </c:pt>
                <c:pt idx="64">
                  <c:v>9.8540919282315578E-2</c:v>
                </c:pt>
                <c:pt idx="65">
                  <c:v>9.6011654109399339E-2</c:v>
                </c:pt>
                <c:pt idx="66">
                  <c:v>9.3495255645387756E-2</c:v>
                </c:pt>
                <c:pt idx="67">
                  <c:v>9.099531459580483E-2</c:v>
                </c:pt>
                <c:pt idx="68">
                  <c:v>8.851516707202628E-2</c:v>
                </c:pt>
                <c:pt idx="69">
                  <c:v>8.6057901552881427E-2</c:v>
                </c:pt>
                <c:pt idx="70">
                  <c:v>8.3626366285256964E-2</c:v>
                </c:pt>
                <c:pt idx="71">
                  <c:v>8.1223177048520334E-2</c:v>
                </c:pt>
                <c:pt idx="72">
                  <c:v>7.885072521310682E-2</c:v>
                </c:pt>
                <c:pt idx="73">
                  <c:v>7.6511186028996842E-2</c:v>
                </c:pt>
                <c:pt idx="74">
                  <c:v>7.4206527084965349E-2</c:v>
                </c:pt>
                <c:pt idx="75">
                  <c:v>7.1938516884469408E-2</c:v>
                </c:pt>
                <c:pt idx="76">
                  <c:v>6.970873348879196E-2</c:v>
                </c:pt>
                <c:pt idx="77">
                  <c:v>6.7518573182589386E-2</c:v>
                </c:pt>
                <c:pt idx="78">
                  <c:v>6.5369259121313097E-2</c:v>
                </c:pt>
                <c:pt idx="79">
                  <c:v>6.3261849924048263E-2</c:v>
                </c:pt>
                <c:pt idx="80">
                  <c:v>6.1197248179177981E-2</c:v>
                </c:pt>
                <c:pt idx="81">
                  <c:v>5.917620883390963E-2</c:v>
                </c:pt>
                <c:pt idx="82">
                  <c:v>5.719934744210893E-2</c:v>
                </c:pt>
                <c:pt idx="83">
                  <c:v>5.5267148248078102E-2</c:v>
                </c:pt>
                <c:pt idx="84">
                  <c:v>5.337997208689229E-2</c:v>
                </c:pt>
                <c:pt idx="85">
                  <c:v>5.1538064084674817E-2</c:v>
                </c:pt>
                <c:pt idx="86">
                  <c:v>4.9741561144765072E-2</c:v>
                </c:pt>
                <c:pt idx="87">
                  <c:v>4.7990499208099266E-2</c:v>
                </c:pt>
                <c:pt idx="88">
                  <c:v>4.62848202783218E-2</c:v>
                </c:pt>
                <c:pt idx="89">
                  <c:v>4.4624379204147691E-2</c:v>
                </c:pt>
                <c:pt idx="90">
                  <c:v>4.3008950213338594E-2</c:v>
                </c:pt>
                <c:pt idx="91">
                  <c:v>4.1438233194334859E-2</c:v>
                </c:pt>
                <c:pt idx="92">
                  <c:v>3.991185972310736E-2</c:v>
                </c:pt>
                <c:pt idx="93">
                  <c:v>3.8429398834172568E-2</c:v>
                </c:pt>
                <c:pt idx="94">
                  <c:v>3.6990362535959317E-2</c:v>
                </c:pt>
                <c:pt idx="95">
                  <c:v>3.5594211071824276E-2</c:v>
                </c:pt>
                <c:pt idx="96">
                  <c:v>3.4240357929010097E-2</c:v>
                </c:pt>
                <c:pt idx="97">
                  <c:v>3.2928174598716234E-2</c:v>
                </c:pt>
                <c:pt idx="98">
                  <c:v>3.1656995091228268E-2</c:v>
                </c:pt>
                <c:pt idx="99">
                  <c:v>3.0426120210726815E-2</c:v>
                </c:pt>
                <c:pt idx="100">
                  <c:v>2.923482159498E-2</c:v>
                </c:pt>
                <c:pt idx="101">
                  <c:v>2.8082345525626624E-2</c:v>
                </c:pt>
                <c:pt idx="102">
                  <c:v>2.6967916515176143E-2</c:v>
                </c:pt>
                <c:pt idx="103">
                  <c:v>2.5890740677205676E-2</c:v>
                </c:pt>
                <c:pt idx="104">
                  <c:v>2.4850008886515399E-2</c:v>
                </c:pt>
                <c:pt idx="105">
                  <c:v>2.3844899736231683E-2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Stochastic!$H$22</c:f>
              <c:strCache>
                <c:ptCount val="1"/>
                <c:pt idx="0">
                  <c:v>5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Stochastic!$A$24:$A$29</c:f>
              <c:numCache>
                <c:formatCode>General</c:formatCode>
                <c:ptCount val="6"/>
                <c:pt idx="0">
                  <c:v>4.8854423476569426</c:v>
                </c:pt>
                <c:pt idx="1">
                  <c:v>5.0785828325519899</c:v>
                </c:pt>
                <c:pt idx="2">
                  <c:v>5.2646087539943309</c:v>
                </c:pt>
                <c:pt idx="3">
                  <c:v>5.4441788078660913</c:v>
                </c:pt>
                <c:pt idx="4">
                  <c:v>5.6178579778391713</c:v>
                </c:pt>
                <c:pt idx="5">
                  <c:v>5.786135043349967</c:v>
                </c:pt>
              </c:numCache>
            </c:numRef>
          </c:xVal>
          <c:yVal>
            <c:numRef>
              <c:f>Stochastic!$H$24:$H$129</c:f>
              <c:numCache>
                <c:formatCode>General</c:formatCode>
                <c:ptCount val="106"/>
                <c:pt idx="0">
                  <c:v>2.9440629346307E-2</c:v>
                </c:pt>
                <c:pt idx="1">
                  <c:v>3.3073562803317587E-2</c:v>
                </c:pt>
                <c:pt idx="2">
                  <c:v>3.6837706325134854E-2</c:v>
                </c:pt>
                <c:pt idx="3">
                  <c:v>4.071436603132271E-2</c:v>
                </c:pt>
                <c:pt idx="4">
                  <c:v>4.4684679440371404E-2</c:v>
                </c:pt>
                <c:pt idx="5">
                  <c:v>4.8729796181349989E-2</c:v>
                </c:pt>
                <c:pt idx="6">
                  <c:v>5.2831039607088556E-2</c:v>
                </c:pt>
                <c:pt idx="7">
                  <c:v>5.6970050024395945E-2</c:v>
                </c:pt>
                <c:pt idx="8">
                  <c:v>6.1128910361279834E-2</c:v>
                </c:pt>
                <c:pt idx="9">
                  <c:v>6.5290255168662339E-2</c:v>
                </c:pt>
                <c:pt idx="10">
                  <c:v>6.9437363908504829E-2</c:v>
                </c:pt>
                <c:pt idx="11">
                  <c:v>7.3554239514964592E-2</c:v>
                </c:pt>
                <c:pt idx="12">
                  <c:v>7.7625673233182133E-2</c:v>
                </c:pt>
                <c:pt idx="13">
                  <c:v>8.1637296744205265E-2</c:v>
                </c:pt>
                <c:pt idx="14">
                  <c:v>8.5575622576720314E-2</c:v>
                </c:pt>
                <c:pt idx="15">
                  <c:v>8.9428073788741749E-2</c:v>
                </c:pt>
                <c:pt idx="16">
                  <c:v>9.3183003877019471E-2</c:v>
                </c:pt>
                <c:pt idx="17">
                  <c:v>9.6829707840224474E-2</c:v>
                </c:pt>
                <c:pt idx="18">
                  <c:v>0.10035842528536049</c:v>
                </c:pt>
                <c:pt idx="19">
                  <c:v>0.10376033642649565</c:v>
                </c:pt>
                <c:pt idx="20">
                  <c:v>0.10702755178185969</c:v>
                </c:pt>
                <c:pt idx="21">
                  <c:v>0.11015309633048301</c:v>
                </c:pt>
                <c:pt idx="22">
                  <c:v>0.1131308888436226</c:v>
                </c:pt>
                <c:pt idx="23">
                  <c:v>0.11595571705986421</c:v>
                </c:pt>
                <c:pt idx="24">
                  <c:v>0.11862320932655075</c:v>
                </c:pt>
                <c:pt idx="25">
                  <c:v>0.12112980328450682</c:v>
                </c:pt>
                <c:pt idx="26">
                  <c:v>0.12347271212828241</c:v>
                </c:pt>
                <c:pt idx="27">
                  <c:v>0.12564988893062073</c:v>
                </c:pt>
                <c:pt idx="28">
                  <c:v>0.12765998947780371</c:v>
                </c:pt>
                <c:pt idx="29">
                  <c:v>0.12950233402213407</c:v>
                </c:pt>
                <c:pt idx="30">
                  <c:v>0.13117686831920805</c:v>
                </c:pt>
                <c:pt idx="31">
                  <c:v>0.13268412428092169</c:v>
                </c:pt>
                <c:pt idx="32">
                  <c:v>0.13402518054040183</c:v>
                </c:pt>
                <c:pt idx="33">
                  <c:v>0.13520162319229373</c:v>
                </c:pt>
                <c:pt idx="34">
                  <c:v>0.13621550694108658</c:v>
                </c:pt>
                <c:pt idx="35">
                  <c:v>0.13706931686140275</c:v>
                </c:pt>
                <c:pt idx="36">
                  <c:v>0.13776593094739462</c:v>
                </c:pt>
                <c:pt idx="37">
                  <c:v>0.13830858360353906</c:v>
                </c:pt>
                <c:pt idx="38">
                  <c:v>0.13870083020614482</c:v>
                </c:pt>
                <c:pt idx="39">
                  <c:v>0.13894651284372969</c:v>
                </c:pt>
                <c:pt idx="40">
                  <c:v>0.13904972732501328</c:v>
                </c:pt>
                <c:pt idx="41">
                  <c:v>0.13901479152553292</c:v>
                </c:pt>
                <c:pt idx="42">
                  <c:v>0.13884621512774897</c:v>
                </c:pt>
                <c:pt idx="43">
                  <c:v>0.13854867079487573</c:v>
                </c:pt>
                <c:pt idx="44">
                  <c:v>0.13812696680547923</c:v>
                </c:pt>
                <c:pt idx="45">
                  <c:v>0.13758602116403598</c:v>
                </c:pt>
                <c:pt idx="46">
                  <c:v>0.13693083719206683</c:v>
                </c:pt>
                <c:pt idx="47">
                  <c:v>0.13616648059506531</c:v>
                </c:pt>
                <c:pt idx="48">
                  <c:v>0.13529805799215311</c:v>
                </c:pt>
                <c:pt idx="49">
                  <c:v>0.13433069688813187</c:v>
                </c:pt>
                <c:pt idx="50">
                  <c:v>0.13326952706129594</c:v>
                </c:pt>
                <c:pt idx="51">
                  <c:v>0.13211966333493982</c:v>
                </c:pt>
                <c:pt idx="52">
                  <c:v>0.13088618969587856</c:v>
                </c:pt>
                <c:pt idx="53">
                  <c:v>0.12957414471942294</c:v>
                </c:pt>
                <c:pt idx="54">
                  <c:v>0.12818850825705835</c:v>
                </c:pt>
                <c:pt idx="55">
                  <c:v>0.12673418934050054</c:v>
                </c:pt>
                <c:pt idx="56">
                  <c:v>0.12521601525378953</c:v>
                </c:pt>
                <c:pt idx="57">
                  <c:v>0.12363872172357984</c:v>
                </c:pt>
                <c:pt idx="58">
                  <c:v>0.12200694417673964</c:v>
                </c:pt>
                <c:pt idx="59">
                  <c:v>0.12032521001373957</c:v>
                </c:pt>
                <c:pt idx="60">
                  <c:v>0.11859793184604298</c:v>
                </c:pt>
                <c:pt idx="61">
                  <c:v>0.11682940164576906</c:v>
                </c:pt>
                <c:pt idx="62">
                  <c:v>0.11502378575625125</c:v>
                </c:pt>
                <c:pt idx="63">
                  <c:v>0.11318512071270349</c:v>
                </c:pt>
                <c:pt idx="64">
                  <c:v>0.1113173098230351</c:v>
                </c:pt>
                <c:pt idx="65">
                  <c:v>0.10942412045985585</c:v>
                </c:pt>
                <c:pt idx="66">
                  <c:v>0.10750918201588601</c:v>
                </c:pt>
                <c:pt idx="67">
                  <c:v>0.10557598447629082</c:v>
                </c:pt>
                <c:pt idx="68">
                  <c:v>0.10362787756287588</c:v>
                </c:pt>
                <c:pt idx="69">
                  <c:v>0.10166807040659721</c:v>
                </c:pt>
                <c:pt idx="70">
                  <c:v>9.9699631706414951E-2</c:v>
                </c:pt>
                <c:pt idx="71">
                  <c:v>9.7725490334170079E-2</c:v>
                </c:pt>
                <c:pt idx="72">
                  <c:v>9.574843634683225E-2</c:v>
                </c:pt>
                <c:pt idx="73">
                  <c:v>9.3771122369186999E-2</c:v>
                </c:pt>
                <c:pt idx="74">
                  <c:v>9.179606531173666E-2</c:v>
                </c:pt>
                <c:pt idx="75">
                  <c:v>8.9825648390323629E-2</c:v>
                </c:pt>
                <c:pt idx="76">
                  <c:v>8.7862123415697907E-2</c:v>
                </c:pt>
                <c:pt idx="77">
                  <c:v>8.5907613322946108E-2</c:v>
                </c:pt>
                <c:pt idx="78">
                  <c:v>8.3964114912386797E-2</c:v>
                </c:pt>
                <c:pt idx="79">
                  <c:v>8.2033501775175349E-2</c:v>
                </c:pt>
                <c:pt idx="80">
                  <c:v>8.011752737848099E-2</c:v>
                </c:pt>
                <c:pt idx="81">
                  <c:v>7.8217828286670107E-2</c:v>
                </c:pt>
                <c:pt idx="82">
                  <c:v>7.6335927496457887E-2</c:v>
                </c:pt>
                <c:pt idx="83">
                  <c:v>7.4473237865474065E-2</c:v>
                </c:pt>
                <c:pt idx="84">
                  <c:v>7.2631065615122212E-2</c:v>
                </c:pt>
                <c:pt idx="85">
                  <c:v>7.0810613889989646E-2</c:v>
                </c:pt>
                <c:pt idx="86">
                  <c:v>6.9012986357398595E-2</c:v>
                </c:pt>
                <c:pt idx="87">
                  <c:v>6.7239190831954954E-2</c:v>
                </c:pt>
                <c:pt idx="88">
                  <c:v>6.5490142911177704E-2</c:v>
                </c:pt>
                <c:pt idx="89">
                  <c:v>6.3766669609450391E-2</c:v>
                </c:pt>
                <c:pt idx="90">
                  <c:v>6.2069512978644235E-2</c:v>
                </c:pt>
                <c:pt idx="91">
                  <c:v>6.0399333704819876E-2</c:v>
                </c:pt>
                <c:pt idx="92">
                  <c:v>5.8756714671410123E-2</c:v>
                </c:pt>
                <c:pt idx="93">
                  <c:v>5.7142164480232037E-2</c:v>
                </c:pt>
                <c:pt idx="94">
                  <c:v>5.5556120922574212E-2</c:v>
                </c:pt>
                <c:pt idx="95">
                  <c:v>5.3998954393440761E-2</c:v>
                </c:pt>
                <c:pt idx="96">
                  <c:v>5.2470971242832107E-2</c:v>
                </c:pt>
                <c:pt idx="97">
                  <c:v>5.0972417058681024E-2</c:v>
                </c:pt>
                <c:pt idx="98">
                  <c:v>4.9503479876762742E-2</c:v>
                </c:pt>
                <c:pt idx="99">
                  <c:v>4.8064293313546724E-2</c:v>
                </c:pt>
                <c:pt idx="100">
                  <c:v>4.6654939618564865E-2</c:v>
                </c:pt>
                <c:pt idx="101">
                  <c:v>4.5275452643437943E-2</c:v>
                </c:pt>
                <c:pt idx="102">
                  <c:v>4.3925820725223171E-2</c:v>
                </c:pt>
                <c:pt idx="103">
                  <c:v>4.2605989482235845E-2</c:v>
                </c:pt>
                <c:pt idx="104">
                  <c:v>4.1315864520941499E-2</c:v>
                </c:pt>
                <c:pt idx="105">
                  <c:v>4.0055314052932812E-2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804544"/>
        <c:axId val="317806464"/>
      </c:scatterChart>
      <c:valAx>
        <c:axId val="317804544"/>
        <c:scaling>
          <c:orientation val="minMax"/>
          <c:max val="15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Transformed</a:t>
                </a:r>
                <a:r>
                  <a:rPr lang="en-US" baseline="0"/>
                  <a:t> length</a:t>
                </a:r>
              </a:p>
            </c:rich>
          </c:tx>
          <c:layout>
            <c:manualLayout>
              <c:xMode val="edge"/>
              <c:yMode val="edge"/>
              <c:x val="0.26772362545590894"/>
              <c:y val="0.91610486891385767"/>
            </c:manualLayout>
          </c:layout>
          <c:overlay val="0"/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317806464"/>
        <c:crosses val="autoZero"/>
        <c:crossBetween val="midCat"/>
        <c:majorUnit val="1"/>
        <c:minorUnit val="1"/>
      </c:valAx>
      <c:valAx>
        <c:axId val="317806464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3178045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35057574324948"/>
          <c:y val="0.19630944213802531"/>
          <c:w val="0.10684725357411588"/>
          <c:h val="0.5215338696381364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55829005983155"/>
          <c:y val="0.10211267605633803"/>
          <c:w val="0.57674484096207412"/>
          <c:h val="0.71126760563380287"/>
        </c:manualLayout>
      </c:layout>
      <c:lineChart>
        <c:grouping val="standard"/>
        <c:varyColors val="0"/>
        <c:ser>
          <c:idx val="2"/>
          <c:order val="1"/>
          <c:tx>
            <c:strRef>
              <c:f>Stochastic!$A$18</c:f>
              <c:strCache>
                <c:ptCount val="1"/>
                <c:pt idx="0">
                  <c:v>St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Ref>
              <c:f>Stochastic!$B$14:$Q$14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cat>
          <c:val>
            <c:numRef>
              <c:f>Stochastic!$B$18:$Q$18</c:f>
              <c:numCache>
                <c:formatCode>0.00</c:formatCode>
                <c:ptCount val="16"/>
                <c:pt idx="0">
                  <c:v>0</c:v>
                </c:pt>
                <c:pt idx="1">
                  <c:v>1.4142135623730951</c:v>
                </c:pt>
                <c:pt idx="2">
                  <c:v>1.9506409203131156</c:v>
                </c:pt>
                <c:pt idx="3">
                  <c:v>2.331096844835066</c:v>
                </c:pt>
                <c:pt idx="4">
                  <c:v>2.6275837343936344</c:v>
                </c:pt>
                <c:pt idx="5">
                  <c:v>2.8689784146675144</c:v>
                </c:pt>
                <c:pt idx="6">
                  <c:v>3.0705880580606837</c:v>
                </c:pt>
                <c:pt idx="7">
                  <c:v>3.2417944409894588</c:v>
                </c:pt>
                <c:pt idx="8">
                  <c:v>3.3888908444889774</c:v>
                </c:pt>
                <c:pt idx="9">
                  <c:v>3.5163666607970145</c:v>
                </c:pt>
                <c:pt idx="10">
                  <c:v>3.6275698656374882</c:v>
                </c:pt>
                <c:pt idx="11">
                  <c:v>3.7250818749254715</c:v>
                </c:pt>
                <c:pt idx="12">
                  <c:v>3.8109450356631602</c:v>
                </c:pt>
                <c:pt idx="13">
                  <c:v>3.8868084739955004</c:v>
                </c:pt>
                <c:pt idx="14">
                  <c:v>3.9540258348238844</c:v>
                </c:pt>
                <c:pt idx="15">
                  <c:v>4.013723218280675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523072"/>
        <c:axId val="317524992"/>
      </c:lineChart>
      <c:lineChart>
        <c:grouping val="standard"/>
        <c:varyColors val="0"/>
        <c:ser>
          <c:idx val="0"/>
          <c:order val="0"/>
          <c:tx>
            <c:strRef>
              <c:f>Stochastic!$A$16</c:f>
              <c:strCache>
                <c:ptCount val="1"/>
                <c:pt idx="0">
                  <c:v>mt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Stochastic!$B$14:$Q$14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cat>
          <c:val>
            <c:numRef>
              <c:f>Stochastic!$B$16:$Q$16</c:f>
              <c:numCache>
                <c:formatCode>0.00</c:formatCode>
                <c:ptCount val="16"/>
                <c:pt idx="0">
                  <c:v>7</c:v>
                </c:pt>
                <c:pt idx="1">
                  <c:v>7.6499999999999995</c:v>
                </c:pt>
                <c:pt idx="2">
                  <c:v>8.2674999999999983</c:v>
                </c:pt>
                <c:pt idx="3">
                  <c:v>8.854124999999998</c:v>
                </c:pt>
                <c:pt idx="4">
                  <c:v>9.4114187499999975</c:v>
                </c:pt>
                <c:pt idx="5">
                  <c:v>9.9408478124999977</c:v>
                </c:pt>
                <c:pt idx="6">
                  <c:v>10.443805421874998</c:v>
                </c:pt>
                <c:pt idx="7">
                  <c:v>10.921615150781248</c:v>
                </c:pt>
                <c:pt idx="8">
                  <c:v>11.375534393242186</c:v>
                </c:pt>
                <c:pt idx="9">
                  <c:v>11.806757673580076</c:v>
                </c:pt>
                <c:pt idx="10">
                  <c:v>12.216419789901073</c:v>
                </c:pt>
                <c:pt idx="11">
                  <c:v>12.605598800406019</c:v>
                </c:pt>
                <c:pt idx="12">
                  <c:v>12.975318860385718</c:v>
                </c:pt>
                <c:pt idx="13">
                  <c:v>13.326552917366431</c:v>
                </c:pt>
                <c:pt idx="14">
                  <c:v>13.66022527149811</c:v>
                </c:pt>
                <c:pt idx="15">
                  <c:v>13.977214007923203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539456"/>
        <c:axId val="317540992"/>
      </c:lineChart>
      <c:catAx>
        <c:axId val="317523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Delta t</a:t>
                </a:r>
              </a:p>
            </c:rich>
          </c:tx>
          <c:overlay val="0"/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31752499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1752499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SD S_t (cm)</a:t>
                </a:r>
              </a:p>
            </c:rich>
          </c:tx>
          <c:overlay val="0"/>
        </c:title>
        <c:numFmt formatCode="0.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317523072"/>
        <c:crosses val="autoZero"/>
        <c:crossBetween val="midCat"/>
      </c:valAx>
      <c:catAx>
        <c:axId val="3175394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17540992"/>
        <c:crosses val="autoZero"/>
        <c:auto val="0"/>
        <c:lblAlgn val="ctr"/>
        <c:lblOffset val="100"/>
        <c:noMultiLvlLbl val="0"/>
      </c:catAx>
      <c:valAx>
        <c:axId val="31754099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Mean Length (cm)</a:t>
                </a:r>
              </a:p>
            </c:rich>
          </c:tx>
          <c:overlay val="0"/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317539456"/>
        <c:crosses val="max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5116368146289412"/>
          <c:y val="0.61267605633802813"/>
          <c:w val="0.13023287473681178"/>
          <c:h val="0.257042253521126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Stochastic!$C$22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Stochastic!$B$24:$B$104</c:f>
              <c:numCache>
                <c:formatCode>General</c:formatCode>
                <c:ptCount val="81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  <c:pt idx="31">
                  <c:v>46</c:v>
                </c:pt>
                <c:pt idx="32">
                  <c:v>47</c:v>
                </c:pt>
                <c:pt idx="33">
                  <c:v>48</c:v>
                </c:pt>
                <c:pt idx="34">
                  <c:v>49</c:v>
                </c:pt>
                <c:pt idx="35">
                  <c:v>50</c:v>
                </c:pt>
                <c:pt idx="36">
                  <c:v>51</c:v>
                </c:pt>
                <c:pt idx="37">
                  <c:v>52</c:v>
                </c:pt>
                <c:pt idx="38">
                  <c:v>53</c:v>
                </c:pt>
                <c:pt idx="39">
                  <c:v>54</c:v>
                </c:pt>
                <c:pt idx="40">
                  <c:v>55</c:v>
                </c:pt>
                <c:pt idx="41">
                  <c:v>56</c:v>
                </c:pt>
                <c:pt idx="42">
                  <c:v>57</c:v>
                </c:pt>
                <c:pt idx="43">
                  <c:v>58</c:v>
                </c:pt>
                <c:pt idx="44">
                  <c:v>59</c:v>
                </c:pt>
                <c:pt idx="45">
                  <c:v>60</c:v>
                </c:pt>
                <c:pt idx="46">
                  <c:v>61</c:v>
                </c:pt>
                <c:pt idx="47">
                  <c:v>62</c:v>
                </c:pt>
                <c:pt idx="48">
                  <c:v>63</c:v>
                </c:pt>
                <c:pt idx="49">
                  <c:v>64</c:v>
                </c:pt>
                <c:pt idx="50">
                  <c:v>65</c:v>
                </c:pt>
                <c:pt idx="51">
                  <c:v>66</c:v>
                </c:pt>
                <c:pt idx="52">
                  <c:v>67</c:v>
                </c:pt>
                <c:pt idx="53">
                  <c:v>68</c:v>
                </c:pt>
                <c:pt idx="54">
                  <c:v>69</c:v>
                </c:pt>
                <c:pt idx="55">
                  <c:v>70</c:v>
                </c:pt>
                <c:pt idx="56">
                  <c:v>71</c:v>
                </c:pt>
                <c:pt idx="57">
                  <c:v>72</c:v>
                </c:pt>
                <c:pt idx="58">
                  <c:v>73</c:v>
                </c:pt>
                <c:pt idx="59">
                  <c:v>74</c:v>
                </c:pt>
                <c:pt idx="60">
                  <c:v>75</c:v>
                </c:pt>
                <c:pt idx="61">
                  <c:v>76</c:v>
                </c:pt>
                <c:pt idx="62">
                  <c:v>77</c:v>
                </c:pt>
                <c:pt idx="63">
                  <c:v>78</c:v>
                </c:pt>
                <c:pt idx="64">
                  <c:v>79</c:v>
                </c:pt>
                <c:pt idx="65">
                  <c:v>80</c:v>
                </c:pt>
                <c:pt idx="66">
                  <c:v>81</c:v>
                </c:pt>
                <c:pt idx="67">
                  <c:v>82</c:v>
                </c:pt>
                <c:pt idx="68">
                  <c:v>83</c:v>
                </c:pt>
                <c:pt idx="69">
                  <c:v>84</c:v>
                </c:pt>
                <c:pt idx="70">
                  <c:v>85</c:v>
                </c:pt>
                <c:pt idx="71">
                  <c:v>86</c:v>
                </c:pt>
                <c:pt idx="72">
                  <c:v>87</c:v>
                </c:pt>
                <c:pt idx="73">
                  <c:v>88</c:v>
                </c:pt>
                <c:pt idx="74">
                  <c:v>89</c:v>
                </c:pt>
                <c:pt idx="75">
                  <c:v>90</c:v>
                </c:pt>
                <c:pt idx="76">
                  <c:v>91</c:v>
                </c:pt>
                <c:pt idx="77">
                  <c:v>92</c:v>
                </c:pt>
                <c:pt idx="78">
                  <c:v>93</c:v>
                </c:pt>
                <c:pt idx="79">
                  <c:v>94</c:v>
                </c:pt>
                <c:pt idx="80">
                  <c:v>95</c:v>
                </c:pt>
              </c:numCache>
            </c:numRef>
          </c:xVal>
          <c:yVal>
            <c:numRef>
              <c:f>Stochastic!$C$24:$C$104</c:f>
              <c:numCache>
                <c:formatCode>General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Stochastic!$D$22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Stochastic!$B$24:$B$129</c:f>
              <c:numCache>
                <c:formatCode>General</c:formatCode>
                <c:ptCount val="10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  <c:pt idx="31">
                  <c:v>46</c:v>
                </c:pt>
                <c:pt idx="32">
                  <c:v>47</c:v>
                </c:pt>
                <c:pt idx="33">
                  <c:v>48</c:v>
                </c:pt>
                <c:pt idx="34">
                  <c:v>49</c:v>
                </c:pt>
                <c:pt idx="35">
                  <c:v>50</c:v>
                </c:pt>
                <c:pt idx="36">
                  <c:v>51</c:v>
                </c:pt>
                <c:pt idx="37">
                  <c:v>52</c:v>
                </c:pt>
                <c:pt idx="38">
                  <c:v>53</c:v>
                </c:pt>
                <c:pt idx="39">
                  <c:v>54</c:v>
                </c:pt>
                <c:pt idx="40">
                  <c:v>55</c:v>
                </c:pt>
                <c:pt idx="41">
                  <c:v>56</c:v>
                </c:pt>
                <c:pt idx="42">
                  <c:v>57</c:v>
                </c:pt>
                <c:pt idx="43">
                  <c:v>58</c:v>
                </c:pt>
                <c:pt idx="44">
                  <c:v>59</c:v>
                </c:pt>
                <c:pt idx="45">
                  <c:v>60</c:v>
                </c:pt>
                <c:pt idx="46">
                  <c:v>61</c:v>
                </c:pt>
                <c:pt idx="47">
                  <c:v>62</c:v>
                </c:pt>
                <c:pt idx="48">
                  <c:v>63</c:v>
                </c:pt>
                <c:pt idx="49">
                  <c:v>64</c:v>
                </c:pt>
                <c:pt idx="50">
                  <c:v>65</c:v>
                </c:pt>
                <c:pt idx="51">
                  <c:v>66</c:v>
                </c:pt>
                <c:pt idx="52">
                  <c:v>67</c:v>
                </c:pt>
                <c:pt idx="53">
                  <c:v>68</c:v>
                </c:pt>
                <c:pt idx="54">
                  <c:v>69</c:v>
                </c:pt>
                <c:pt idx="55">
                  <c:v>70</c:v>
                </c:pt>
                <c:pt idx="56">
                  <c:v>71</c:v>
                </c:pt>
                <c:pt idx="57">
                  <c:v>72</c:v>
                </c:pt>
                <c:pt idx="58">
                  <c:v>73</c:v>
                </c:pt>
                <c:pt idx="59">
                  <c:v>74</c:v>
                </c:pt>
                <c:pt idx="60">
                  <c:v>75</c:v>
                </c:pt>
                <c:pt idx="61">
                  <c:v>76</c:v>
                </c:pt>
                <c:pt idx="62">
                  <c:v>77</c:v>
                </c:pt>
                <c:pt idx="63">
                  <c:v>78</c:v>
                </c:pt>
                <c:pt idx="64">
                  <c:v>79</c:v>
                </c:pt>
                <c:pt idx="65">
                  <c:v>80</c:v>
                </c:pt>
                <c:pt idx="66">
                  <c:v>81</c:v>
                </c:pt>
                <c:pt idx="67">
                  <c:v>82</c:v>
                </c:pt>
                <c:pt idx="68">
                  <c:v>83</c:v>
                </c:pt>
                <c:pt idx="69">
                  <c:v>84</c:v>
                </c:pt>
                <c:pt idx="70">
                  <c:v>85</c:v>
                </c:pt>
                <c:pt idx="71">
                  <c:v>86</c:v>
                </c:pt>
                <c:pt idx="72">
                  <c:v>87</c:v>
                </c:pt>
                <c:pt idx="73">
                  <c:v>88</c:v>
                </c:pt>
                <c:pt idx="74">
                  <c:v>89</c:v>
                </c:pt>
                <c:pt idx="75">
                  <c:v>90</c:v>
                </c:pt>
                <c:pt idx="76">
                  <c:v>91</c:v>
                </c:pt>
                <c:pt idx="77">
                  <c:v>92</c:v>
                </c:pt>
                <c:pt idx="78">
                  <c:v>93</c:v>
                </c:pt>
                <c:pt idx="79">
                  <c:v>94</c:v>
                </c:pt>
                <c:pt idx="80">
                  <c:v>95</c:v>
                </c:pt>
                <c:pt idx="81">
                  <c:v>96</c:v>
                </c:pt>
                <c:pt idx="82">
                  <c:v>97</c:v>
                </c:pt>
                <c:pt idx="83">
                  <c:v>98</c:v>
                </c:pt>
                <c:pt idx="84">
                  <c:v>99</c:v>
                </c:pt>
                <c:pt idx="85">
                  <c:v>100</c:v>
                </c:pt>
                <c:pt idx="86">
                  <c:v>101</c:v>
                </c:pt>
                <c:pt idx="87">
                  <c:v>102</c:v>
                </c:pt>
                <c:pt idx="88">
                  <c:v>103</c:v>
                </c:pt>
                <c:pt idx="89">
                  <c:v>104</c:v>
                </c:pt>
                <c:pt idx="90">
                  <c:v>105</c:v>
                </c:pt>
                <c:pt idx="91">
                  <c:v>106</c:v>
                </c:pt>
                <c:pt idx="92">
                  <c:v>107</c:v>
                </c:pt>
                <c:pt idx="93">
                  <c:v>108</c:v>
                </c:pt>
                <c:pt idx="94">
                  <c:v>109</c:v>
                </c:pt>
                <c:pt idx="95">
                  <c:v>110</c:v>
                </c:pt>
                <c:pt idx="96">
                  <c:v>111</c:v>
                </c:pt>
                <c:pt idx="97">
                  <c:v>112</c:v>
                </c:pt>
                <c:pt idx="98">
                  <c:v>113</c:v>
                </c:pt>
                <c:pt idx="99">
                  <c:v>114</c:v>
                </c:pt>
                <c:pt idx="100">
                  <c:v>115</c:v>
                </c:pt>
                <c:pt idx="101">
                  <c:v>116</c:v>
                </c:pt>
                <c:pt idx="102">
                  <c:v>117</c:v>
                </c:pt>
                <c:pt idx="103">
                  <c:v>118</c:v>
                </c:pt>
                <c:pt idx="104">
                  <c:v>119</c:v>
                </c:pt>
                <c:pt idx="105">
                  <c:v>120</c:v>
                </c:pt>
              </c:numCache>
            </c:numRef>
          </c:xVal>
          <c:yVal>
            <c:numRef>
              <c:f>Stochastic!$D$24:$D$129</c:f>
              <c:numCache>
                <c:formatCode>General</c:formatCode>
                <c:ptCount val="106"/>
                <c:pt idx="0">
                  <c:v>4.1743694177103281E-2</c:v>
                </c:pt>
                <c:pt idx="1">
                  <c:v>5.4011478740108886E-2</c:v>
                </c:pt>
                <c:pt idx="2">
                  <c:v>6.8014458417890084E-2</c:v>
                </c:pt>
                <c:pt idx="3">
                  <c:v>8.3582266349311443E-2</c:v>
                </c:pt>
                <c:pt idx="4">
                  <c:v>0.10046836038972697</c:v>
                </c:pt>
                <c:pt idx="5">
                  <c:v>0.11836167880747711</c:v>
                </c:pt>
                <c:pt idx="6">
                  <c:v>0.1369017851652235</c:v>
                </c:pt>
                <c:pt idx="7">
                  <c:v>0.15569615973639034</c:v>
                </c:pt>
                <c:pt idx="8">
                  <c:v>0.17433829808170961</c:v>
                </c:pt>
                <c:pt idx="9">
                  <c:v>0.19242539241255197</c:v>
                </c:pt>
                <c:pt idx="10">
                  <c:v>0.20957456568202973</c:v>
                </c:pt>
                <c:pt idx="11">
                  <c:v>0.22543686937667734</c:v>
                </c:pt>
                <c:pt idx="12">
                  <c:v>0.23970851429234516</c:v>
                </c:pt>
                <c:pt idx="13">
                  <c:v>0.25213905494272382</c:v>
                </c:pt>
                <c:pt idx="14">
                  <c:v>0.26253647459962409</c:v>
                </c:pt>
                <c:pt idx="15">
                  <c:v>0.27076930746069877</c:v>
                </c:pt>
                <c:pt idx="16">
                  <c:v>0.27676608092564647</c:v>
                </c:pt>
                <c:pt idx="17">
                  <c:v>0.28051246304186256</c:v>
                </c:pt>
                <c:pt idx="18">
                  <c:v>0.28204656012983181</c:v>
                </c:pt>
                <c:pt idx="19">
                  <c:v>0.28145283224847373</c:v>
                </c:pt>
                <c:pt idx="20">
                  <c:v>0.27885508587497104</c:v>
                </c:pt>
                <c:pt idx="21">
                  <c:v>0.2744089709787163</c:v>
                </c:pt>
                <c:pt idx="22">
                  <c:v>0.26829436056819916</c:v>
                </c:pt>
                <c:pt idx="23">
                  <c:v>0.26070793126579955</c:v>
                </c:pt>
                <c:pt idx="24">
                  <c:v>0.25185619915836327</c:v>
                </c:pt>
                <c:pt idx="25">
                  <c:v>0.24194920070518858</c:v>
                </c:pt>
                <c:pt idx="26">
                  <c:v>0.23119494741560451</c:v>
                </c:pt>
                <c:pt idx="27">
                  <c:v>0.21979472786091417</c:v>
                </c:pt>
                <c:pt idx="28">
                  <c:v>0.20793928295323649</c:v>
                </c:pt>
                <c:pt idx="29">
                  <c:v>0.19580584110288674</c:v>
                </c:pt>
                <c:pt idx="30">
                  <c:v>0.18355596900733887</c:v>
                </c:pt>
                <c:pt idx="31">
                  <c:v>0.17133417108707397</c:v>
                </c:pt>
                <c:pt idx="32">
                  <c:v>0.15926715527614177</c:v>
                </c:pt>
                <c:pt idx="33">
                  <c:v>0.14746367408516151</c:v>
                </c:pt>
                <c:pt idx="34">
                  <c:v>0.13601484655296656</c:v>
                </c:pt>
                <c:pt idx="35">
                  <c:v>0.12499486783077078</c:v>
                </c:pt>
                <c:pt idx="36">
                  <c:v>0.11446201767390597</c:v>
                </c:pt>
                <c:pt idx="37">
                  <c:v>0.10445988610424556</c:v>
                </c:pt>
                <c:pt idx="38">
                  <c:v>9.5018743112919177E-2</c:v>
                </c:pt>
                <c:pt idx="39">
                  <c:v>8.6156988782721919E-2</c:v>
                </c:pt>
                <c:pt idx="40">
                  <c:v>7.7882630035753547E-2</c:v>
                </c:pt>
                <c:pt idx="41">
                  <c:v>7.019473989191255E-2</c:v>
                </c:pt>
                <c:pt idx="42">
                  <c:v>6.3084864311269528E-2</c:v>
                </c:pt>
                <c:pt idx="43">
                  <c:v>5.6538350144418173E-2</c:v>
                </c:pt>
                <c:pt idx="44">
                  <c:v>5.0535575274730654E-2</c:v>
                </c:pt>
                <c:pt idx="45">
                  <c:v>4.5053068623518967E-2</c:v>
                </c:pt>
                <c:pt idx="46">
                  <c:v>4.006451328091111E-2</c:v>
                </c:pt>
                <c:pt idx="47">
                  <c:v>3.554163064429456E-2</c:v>
                </c:pt>
                <c:pt idx="48">
                  <c:v>3.1454947147952148E-2</c:v>
                </c:pt>
                <c:pt idx="49">
                  <c:v>2.7774448029853755E-2</c:v>
                </c:pt>
                <c:pt idx="50">
                  <c:v>2.4470124695800091E-2</c:v>
                </c:pt>
                <c:pt idx="51">
                  <c:v>2.151242370494964E-2</c:v>
                </c:pt>
                <c:pt idx="52">
                  <c:v>1.8872606312733506E-2</c:v>
                </c:pt>
                <c:pt idx="53">
                  <c:v>1.6523027962454518E-2</c:v>
                </c:pt>
                <c:pt idx="54">
                  <c:v>1.4437347204397141E-2</c:v>
                </c:pt>
                <c:pt idx="55">
                  <c:v>1.2590673321805069E-2</c:v>
                </c:pt>
                <c:pt idx="56">
                  <c:v>1.0959661528136088E-2</c:v>
                </c:pt>
                <c:pt idx="57">
                  <c:v>9.5225640314692273E-3</c:v>
                </c:pt>
                <c:pt idx="58">
                  <c:v>8.2592445921602278E-3</c:v>
                </c:pt>
                <c:pt idx="59">
                  <c:v>7.1511634720610199E-3</c:v>
                </c:pt>
                <c:pt idx="60">
                  <c:v>6.1813389226757116E-3</c:v>
                </c:pt>
                <c:pt idx="61">
                  <c:v>5.3342906128037576E-3</c:v>
                </c:pt>
                <c:pt idx="62">
                  <c:v>4.59596967415353E-3</c:v>
                </c:pt>
                <c:pt idx="63">
                  <c:v>3.9536793610126198E-3</c:v>
                </c:pt>
                <c:pt idx="64">
                  <c:v>3.3959896874653952E-3</c:v>
                </c:pt>
                <c:pt idx="65">
                  <c:v>2.9126488289983126E-3</c:v>
                </c:pt>
                <c:pt idx="66">
                  <c:v>2.4944935576230944E-3</c:v>
                </c:pt>
                <c:pt idx="67">
                  <c:v>2.1333605213626622E-3</c:v>
                </c:pt>
                <c:pt idx="68">
                  <c:v>1.8219997786946447E-3</c:v>
                </c:pt>
                <c:pt idx="69">
                  <c:v>1.5539916535665002E-3</c:v>
                </c:pt>
                <c:pt idx="70">
                  <c:v>1.3236676831711587E-3</c:v>
                </c:pt>
                <c:pt idx="71">
                  <c:v>1.1260361845070446E-3</c:v>
                </c:pt>
                <c:pt idx="72">
                  <c:v>9.5671276222204218E-4</c:v>
                </c:pt>
                <c:pt idx="73">
                  <c:v>8.1185591465994587E-4</c:v>
                </c:pt>
                <c:pt idx="74">
                  <c:v>6.8810776275486532E-4</c:v>
                </c:pt>
                <c:pt idx="75">
                  <c:v>5.8253982302656267E-4</c:v>
                </c:pt>
                <c:pt idx="76">
                  <c:v>4.9260366725976544E-4</c:v>
                </c:pt>
                <c:pt idx="77">
                  <c:v>4.1608625368410435E-4</c:v>
                </c:pt>
                <c:pt idx="78">
                  <c:v>3.5106967414973687E-4</c:v>
                </c:pt>
                <c:pt idx="79">
                  <c:v>2.9589503582772356E-4</c:v>
                </c:pt>
                <c:pt idx="80">
                  <c:v>2.4913018163617764E-4</c:v>
                </c:pt>
                <c:pt idx="81">
                  <c:v>2.095409485356673E-4</c:v>
                </c:pt>
                <c:pt idx="82">
                  <c:v>1.7606566501690593E-4</c:v>
                </c:pt>
                <c:pt idx="83">
                  <c:v>1.4779259679222712E-4</c:v>
                </c:pt>
                <c:pt idx="84">
                  <c:v>1.239400614491947E-4</c:v>
                </c:pt>
                <c:pt idx="85">
                  <c:v>1.0383894742747906E-4</c:v>
                </c:pt>
                <c:pt idx="86">
                  <c:v>8.6917389155564661E-5</c:v>
                </c:pt>
                <c:pt idx="87">
                  <c:v>7.2687367738976345E-5</c:v>
                </c:pt>
                <c:pt idx="88">
                  <c:v>6.07330245987359E-5</c:v>
                </c:pt>
                <c:pt idx="89">
                  <c:v>5.0700493429180489E-5</c:v>
                </c:pt>
                <c:pt idx="90">
                  <c:v>4.2289073408323156E-5</c:v>
                </c:pt>
                <c:pt idx="91">
                  <c:v>3.5243583479676326E-5</c:v>
                </c:pt>
                <c:pt idx="92">
                  <c:v>2.9347753540926521E-5</c:v>
                </c:pt>
                <c:pt idx="93">
                  <c:v>2.4418523396768118E-5</c:v>
                </c:pt>
                <c:pt idx="94">
                  <c:v>2.0301134287736205E-5</c:v>
                </c:pt>
                <c:pt idx="95">
                  <c:v>1.6864910662506378E-5</c:v>
                </c:pt>
                <c:pt idx="96">
                  <c:v>1.399964161829689E-5</c:v>
                </c:pt>
                <c:pt idx="97">
                  <c:v>1.1612482117035447E-5</c:v>
                </c:pt>
                <c:pt idx="98">
                  <c:v>9.6253037357431813E-6</c:v>
                </c:pt>
                <c:pt idx="99">
                  <c:v>7.9724333821370375E-6</c:v>
                </c:pt>
                <c:pt idx="100">
                  <c:v>6.5987261627069869E-6</c:v>
                </c:pt>
                <c:pt idx="101">
                  <c:v>5.457925496907578E-6</c:v>
                </c:pt>
                <c:pt idx="102">
                  <c:v>4.5112696958965185E-6</c:v>
                </c:pt>
                <c:pt idx="103">
                  <c:v>3.7263096355983112E-6</c:v>
                </c:pt>
                <c:pt idx="104">
                  <c:v>3.07590691821161E-6</c:v>
                </c:pt>
                <c:pt idx="105">
                  <c:v>2.537386097340674E-6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Stochastic!$E$22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Stochastic!$B$24:$B$129</c:f>
              <c:numCache>
                <c:formatCode>General</c:formatCode>
                <c:ptCount val="10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  <c:pt idx="31">
                  <c:v>46</c:v>
                </c:pt>
                <c:pt idx="32">
                  <c:v>47</c:v>
                </c:pt>
                <c:pt idx="33">
                  <c:v>48</c:v>
                </c:pt>
                <c:pt idx="34">
                  <c:v>49</c:v>
                </c:pt>
                <c:pt idx="35">
                  <c:v>50</c:v>
                </c:pt>
                <c:pt idx="36">
                  <c:v>51</c:v>
                </c:pt>
                <c:pt idx="37">
                  <c:v>52</c:v>
                </c:pt>
                <c:pt idx="38">
                  <c:v>53</c:v>
                </c:pt>
                <c:pt idx="39">
                  <c:v>54</c:v>
                </c:pt>
                <c:pt idx="40">
                  <c:v>55</c:v>
                </c:pt>
                <c:pt idx="41">
                  <c:v>56</c:v>
                </c:pt>
                <c:pt idx="42">
                  <c:v>57</c:v>
                </c:pt>
                <c:pt idx="43">
                  <c:v>58</c:v>
                </c:pt>
                <c:pt idx="44">
                  <c:v>59</c:v>
                </c:pt>
                <c:pt idx="45">
                  <c:v>60</c:v>
                </c:pt>
                <c:pt idx="46">
                  <c:v>61</c:v>
                </c:pt>
                <c:pt idx="47">
                  <c:v>62</c:v>
                </c:pt>
                <c:pt idx="48">
                  <c:v>63</c:v>
                </c:pt>
                <c:pt idx="49">
                  <c:v>64</c:v>
                </c:pt>
                <c:pt idx="50">
                  <c:v>65</c:v>
                </c:pt>
                <c:pt idx="51">
                  <c:v>66</c:v>
                </c:pt>
                <c:pt idx="52">
                  <c:v>67</c:v>
                </c:pt>
                <c:pt idx="53">
                  <c:v>68</c:v>
                </c:pt>
                <c:pt idx="54">
                  <c:v>69</c:v>
                </c:pt>
                <c:pt idx="55">
                  <c:v>70</c:v>
                </c:pt>
                <c:pt idx="56">
                  <c:v>71</c:v>
                </c:pt>
                <c:pt idx="57">
                  <c:v>72</c:v>
                </c:pt>
                <c:pt idx="58">
                  <c:v>73</c:v>
                </c:pt>
                <c:pt idx="59">
                  <c:v>74</c:v>
                </c:pt>
                <c:pt idx="60">
                  <c:v>75</c:v>
                </c:pt>
                <c:pt idx="61">
                  <c:v>76</c:v>
                </c:pt>
                <c:pt idx="62">
                  <c:v>77</c:v>
                </c:pt>
                <c:pt idx="63">
                  <c:v>78</c:v>
                </c:pt>
                <c:pt idx="64">
                  <c:v>79</c:v>
                </c:pt>
                <c:pt idx="65">
                  <c:v>80</c:v>
                </c:pt>
                <c:pt idx="66">
                  <c:v>81</c:v>
                </c:pt>
                <c:pt idx="67">
                  <c:v>82</c:v>
                </c:pt>
                <c:pt idx="68">
                  <c:v>83</c:v>
                </c:pt>
                <c:pt idx="69">
                  <c:v>84</c:v>
                </c:pt>
                <c:pt idx="70">
                  <c:v>85</c:v>
                </c:pt>
                <c:pt idx="71">
                  <c:v>86</c:v>
                </c:pt>
                <c:pt idx="72">
                  <c:v>87</c:v>
                </c:pt>
                <c:pt idx="73">
                  <c:v>88</c:v>
                </c:pt>
                <c:pt idx="74">
                  <c:v>89</c:v>
                </c:pt>
                <c:pt idx="75">
                  <c:v>90</c:v>
                </c:pt>
                <c:pt idx="76">
                  <c:v>91</c:v>
                </c:pt>
                <c:pt idx="77">
                  <c:v>92</c:v>
                </c:pt>
                <c:pt idx="78">
                  <c:v>93</c:v>
                </c:pt>
                <c:pt idx="79">
                  <c:v>94</c:v>
                </c:pt>
                <c:pt idx="80">
                  <c:v>95</c:v>
                </c:pt>
                <c:pt idx="81">
                  <c:v>96</c:v>
                </c:pt>
                <c:pt idx="82">
                  <c:v>97</c:v>
                </c:pt>
                <c:pt idx="83">
                  <c:v>98</c:v>
                </c:pt>
                <c:pt idx="84">
                  <c:v>99</c:v>
                </c:pt>
                <c:pt idx="85">
                  <c:v>100</c:v>
                </c:pt>
                <c:pt idx="86">
                  <c:v>101</c:v>
                </c:pt>
                <c:pt idx="87">
                  <c:v>102</c:v>
                </c:pt>
                <c:pt idx="88">
                  <c:v>103</c:v>
                </c:pt>
                <c:pt idx="89">
                  <c:v>104</c:v>
                </c:pt>
                <c:pt idx="90">
                  <c:v>105</c:v>
                </c:pt>
                <c:pt idx="91">
                  <c:v>106</c:v>
                </c:pt>
                <c:pt idx="92">
                  <c:v>107</c:v>
                </c:pt>
                <c:pt idx="93">
                  <c:v>108</c:v>
                </c:pt>
                <c:pt idx="94">
                  <c:v>109</c:v>
                </c:pt>
                <c:pt idx="95">
                  <c:v>110</c:v>
                </c:pt>
                <c:pt idx="96">
                  <c:v>111</c:v>
                </c:pt>
                <c:pt idx="97">
                  <c:v>112</c:v>
                </c:pt>
                <c:pt idx="98">
                  <c:v>113</c:v>
                </c:pt>
                <c:pt idx="99">
                  <c:v>114</c:v>
                </c:pt>
                <c:pt idx="100">
                  <c:v>115</c:v>
                </c:pt>
                <c:pt idx="101">
                  <c:v>116</c:v>
                </c:pt>
                <c:pt idx="102">
                  <c:v>117</c:v>
                </c:pt>
                <c:pt idx="103">
                  <c:v>118</c:v>
                </c:pt>
                <c:pt idx="104">
                  <c:v>119</c:v>
                </c:pt>
                <c:pt idx="105">
                  <c:v>120</c:v>
                </c:pt>
              </c:numCache>
            </c:numRef>
          </c:xVal>
          <c:yVal>
            <c:numRef>
              <c:f>Stochastic!$E$24:$E$129</c:f>
              <c:numCache>
                <c:formatCode>General</c:formatCode>
                <c:ptCount val="106"/>
                <c:pt idx="0">
                  <c:v>4.5494669004465763E-2</c:v>
                </c:pt>
                <c:pt idx="1">
                  <c:v>5.3751165996665268E-2</c:v>
                </c:pt>
                <c:pt idx="2">
                  <c:v>6.2534830301720565E-2</c:v>
                </c:pt>
                <c:pt idx="3">
                  <c:v>7.1751046187280343E-2</c:v>
                </c:pt>
                <c:pt idx="4">
                  <c:v>8.1296998652164915E-2</c:v>
                </c:pt>
                <c:pt idx="5">
                  <c:v>9.1064598188252036E-2</c:v>
                </c:pt>
                <c:pt idx="6">
                  <c:v>0.10094328832161015</c:v>
                </c:pt>
                <c:pt idx="7">
                  <c:v>0.11082265924683989</c:v>
                </c:pt>
                <c:pt idx="8">
                  <c:v>0.1205948104145973</c:v>
                </c:pt>
                <c:pt idx="9">
                  <c:v>0.13015642293243559</c:v>
                </c:pt>
                <c:pt idx="10">
                  <c:v>0.13941051868142779</c:v>
                </c:pt>
                <c:pt idx="11">
                  <c:v>0.14826789691093642</c:v>
                </c:pt>
                <c:pt idx="12">
                  <c:v>0.15664825067451638</c:v>
                </c:pt>
                <c:pt idx="13">
                  <c:v>0.16448097484694191</c:v>
                </c:pt>
                <c:pt idx="14">
                  <c:v>0.17170568473312264</c:v>
                </c:pt>
                <c:pt idx="15">
                  <c:v>0.17827246961758142</c:v>
                </c:pt>
                <c:pt idx="16">
                  <c:v>0.18414190921619375</c:v>
                </c:pt>
                <c:pt idx="17">
                  <c:v>0.18928488310562103</c:v>
                </c:pt>
                <c:pt idx="18">
                  <c:v>0.19368220405027478</c:v>
                </c:pt>
                <c:pt idx="19">
                  <c:v>0.19732410594606975</c:v>
                </c:pt>
                <c:pt idx="20">
                  <c:v>0.20020961606633311</c:v>
                </c:pt>
                <c:pt idx="21">
                  <c:v>0.20234583962216302</c:v>
                </c:pt>
                <c:pt idx="22">
                  <c:v>0.20374718251102458</c:v>
                </c:pt>
                <c:pt idx="23">
                  <c:v>0.20443453567538128</c:v>
                </c:pt>
                <c:pt idx="24">
                  <c:v>0.20443444185761198</c:v>
                </c:pt>
                <c:pt idx="25">
                  <c:v>0.20377826282688069</c:v>
                </c:pt>
                <c:pt idx="26">
                  <c:v>0.20250136245637421</c:v>
                </c:pt>
                <c:pt idx="27">
                  <c:v>0.20064231841524877</c:v>
                </c:pt>
                <c:pt idx="28">
                  <c:v>0.19824217276195399</c:v>
                </c:pt>
                <c:pt idx="29">
                  <c:v>0.19534372942291547</c:v>
                </c:pt>
                <c:pt idx="30">
                  <c:v>0.19199090443884231</c:v>
                </c:pt>
                <c:pt idx="31">
                  <c:v>0.18822813297548335</c:v>
                </c:pt>
                <c:pt idx="32">
                  <c:v>0.18409983543297853</c:v>
                </c:pt>
                <c:pt idx="33">
                  <c:v>0.17964994354740069</c:v>
                </c:pt>
                <c:pt idx="34">
                  <c:v>0.17492148615340705</c:v>
                </c:pt>
                <c:pt idx="35">
                  <c:v>0.16995623325762313</c:v>
                </c:pt>
                <c:pt idx="36">
                  <c:v>0.16479439624489722</c:v>
                </c:pt>
                <c:pt idx="37">
                  <c:v>0.15947438138822564</c:v>
                </c:pt>
                <c:pt idx="38">
                  <c:v>0.15403259334108604</c:v>
                </c:pt>
                <c:pt idx="39">
                  <c:v>0.14850328494068293</c:v>
                </c:pt>
                <c:pt idx="40">
                  <c:v>0.14291844942479029</c:v>
                </c:pt>
                <c:pt idx="41">
                  <c:v>0.13730775104648144</c:v>
                </c:pt>
                <c:pt idx="42">
                  <c:v>0.13169849004387055</c:v>
                </c:pt>
                <c:pt idx="43">
                  <c:v>0.12611559797082966</c:v>
                </c:pt>
                <c:pt idx="44">
                  <c:v>0.12058165950550001</c:v>
                </c:pt>
                <c:pt idx="45">
                  <c:v>0.11511695701347416</c:v>
                </c:pt>
                <c:pt idx="46">
                  <c:v>0.1097395343403906</c:v>
                </c:pt>
                <c:pt idx="47">
                  <c:v>0.10446527653419262</c:v>
                </c:pt>
                <c:pt idx="48">
                  <c:v>9.9308002441609811E-2</c:v>
                </c:pt>
                <c:pt idx="49">
                  <c:v>9.4279567378927273E-2</c:v>
                </c:pt>
                <c:pt idx="50">
                  <c:v>8.9389973337347689E-2</c:v>
                </c:pt>
                <c:pt idx="51">
                  <c:v>8.4647484442831766E-2</c:v>
                </c:pt>
                <c:pt idx="52">
                  <c:v>8.0058745644837101E-2</c:v>
                </c:pt>
                <c:pt idx="53">
                  <c:v>7.5628902854342137E-2</c:v>
                </c:pt>
                <c:pt idx="54">
                  <c:v>7.1361722986204301E-2</c:v>
                </c:pt>
                <c:pt idx="55">
                  <c:v>6.7259712582241435E-2</c:v>
                </c:pt>
                <c:pt idx="56">
                  <c:v>6.3324233898006066E-2</c:v>
                </c:pt>
                <c:pt idx="57">
                  <c:v>5.9555617527129748E-2</c:v>
                </c:pt>
                <c:pt idx="58">
                  <c:v>5.5953270811892379E-2</c:v>
                </c:pt>
                <c:pt idx="59">
                  <c:v>5.2515781447199969E-2</c:v>
                </c:pt>
                <c:pt idx="60">
                  <c:v>4.9241015827634085E-2</c:v>
                </c:pt>
                <c:pt idx="61">
                  <c:v>4.6126211814105103E-2</c:v>
                </c:pt>
                <c:pt idx="62">
                  <c:v>4.3168065708527999E-2</c:v>
                </c:pt>
                <c:pt idx="63">
                  <c:v>4.0362813322578982E-2</c:v>
                </c:pt>
                <c:pt idx="64">
                  <c:v>3.7706305110903678E-2</c:v>
                </c:pt>
                <c:pt idx="65">
                  <c:v>3.5194075411010058E-2</c:v>
                </c:pt>
                <c:pt idx="66">
                  <c:v>3.2821405892507829E-2</c:v>
                </c:pt>
                <c:pt idx="67">
                  <c:v>3.0583383368314999E-2</c:v>
                </c:pt>
                <c:pt idx="68">
                  <c:v>2.8474952160931124E-2</c:v>
                </c:pt>
                <c:pt idx="69">
                  <c:v>2.6490961248847499E-2</c:v>
                </c:pt>
                <c:pt idx="70">
                  <c:v>2.462620644252737E-2</c:v>
                </c:pt>
                <c:pt idx="71">
                  <c:v>2.2875467857071844E-2</c:v>
                </c:pt>
                <c:pt idx="72">
                  <c:v>2.1233542960475721E-2</c:v>
                </c:pt>
                <c:pt idx="73">
                  <c:v>1.9695275483106373E-2</c:v>
                </c:pt>
                <c:pt idx="74">
                  <c:v>1.8255580476376047E-2</c:v>
                </c:pt>
                <c:pt idx="75">
                  <c:v>1.6909465807241415E-2</c:v>
                </c:pt>
                <c:pt idx="76">
                  <c:v>1.5652050370720462E-2</c:v>
                </c:pt>
                <c:pt idx="77">
                  <c:v>1.4478579295630099E-2</c:v>
                </c:pt>
                <c:pt idx="78">
                  <c:v>1.3384436409718366E-2</c:v>
                </c:pt>
                <c:pt idx="79">
                  <c:v>1.2365154219708173E-2</c:v>
                </c:pt>
                <c:pt idx="80">
                  <c:v>1.1416421649897786E-2</c:v>
                </c:pt>
                <c:pt idx="81">
                  <c:v>1.0534089770197288E-2</c:v>
                </c:pt>
                <c:pt idx="82">
                  <c:v>9.7141757311238457E-3</c:v>
                </c:pt>
                <c:pt idx="83">
                  <c:v>8.9528651095849236E-3</c:v>
                </c:pt>
                <c:pt idx="84">
                  <c:v>8.2465128554619575E-3</c:v>
                </c:pt>
                <c:pt idx="85">
                  <c:v>7.5916430152494262E-3</c:v>
                </c:pt>
                <c:pt idx="86">
                  <c:v>6.9849473954609245E-3</c:v>
                </c:pt>
                <c:pt idx="87">
                  <c:v>6.4232833153003701E-3</c:v>
                </c:pt>
                <c:pt idx="88">
                  <c:v>5.9036705853230832E-3</c:v>
                </c:pt>
                <c:pt idx="89">
                  <c:v>5.4232878365435E-3</c:v>
                </c:pt>
                <c:pt idx="90">
                  <c:v>4.9794683127505485E-3</c:v>
                </c:pt>
                <c:pt idx="91">
                  <c:v>4.5696952277070454E-3</c:v>
                </c:pt>
                <c:pt idx="92">
                  <c:v>4.1915967784611971E-3</c:v>
                </c:pt>
                <c:pt idx="93">
                  <c:v>3.8429408962046148E-3</c:v>
                </c:pt>
                <c:pt idx="94">
                  <c:v>3.5216298069761791E-3</c:v>
                </c:pt>
                <c:pt idx="95">
                  <c:v>3.2256944660280871E-3</c:v>
                </c:pt>
                <c:pt idx="96">
                  <c:v>2.9532889218335388E-3</c:v>
                </c:pt>
                <c:pt idx="97">
                  <c:v>2.7026846585025792E-3</c:v>
                </c:pt>
                <c:pt idx="98">
                  <c:v>2.4722649587668745E-3</c:v>
                </c:pt>
                <c:pt idx="99">
                  <c:v>2.2605193236676069E-3</c:v>
                </c:pt>
                <c:pt idx="100">
                  <c:v>2.0660379796074132E-3</c:v>
                </c:pt>
                <c:pt idx="101">
                  <c:v>1.8875064984782612E-3</c:v>
                </c:pt>
                <c:pt idx="102">
                  <c:v>1.7237005521200948E-3</c:v>
                </c:pt>
                <c:pt idx="103">
                  <c:v>1.5734808183716414E-3</c:v>
                </c:pt>
                <c:pt idx="104">
                  <c:v>1.4357880524107614E-3</c:v>
                </c:pt>
                <c:pt idx="105">
                  <c:v>1.3096383339192624E-3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Stochastic!$F$22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Stochastic!$B$24:$B$129</c:f>
              <c:numCache>
                <c:formatCode>General</c:formatCode>
                <c:ptCount val="10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  <c:pt idx="31">
                  <c:v>46</c:v>
                </c:pt>
                <c:pt idx="32">
                  <c:v>47</c:v>
                </c:pt>
                <c:pt idx="33">
                  <c:v>48</c:v>
                </c:pt>
                <c:pt idx="34">
                  <c:v>49</c:v>
                </c:pt>
                <c:pt idx="35">
                  <c:v>50</c:v>
                </c:pt>
                <c:pt idx="36">
                  <c:v>51</c:v>
                </c:pt>
                <c:pt idx="37">
                  <c:v>52</c:v>
                </c:pt>
                <c:pt idx="38">
                  <c:v>53</c:v>
                </c:pt>
                <c:pt idx="39">
                  <c:v>54</c:v>
                </c:pt>
                <c:pt idx="40">
                  <c:v>55</c:v>
                </c:pt>
                <c:pt idx="41">
                  <c:v>56</c:v>
                </c:pt>
                <c:pt idx="42">
                  <c:v>57</c:v>
                </c:pt>
                <c:pt idx="43">
                  <c:v>58</c:v>
                </c:pt>
                <c:pt idx="44">
                  <c:v>59</c:v>
                </c:pt>
                <c:pt idx="45">
                  <c:v>60</c:v>
                </c:pt>
                <c:pt idx="46">
                  <c:v>61</c:v>
                </c:pt>
                <c:pt idx="47">
                  <c:v>62</c:v>
                </c:pt>
                <c:pt idx="48">
                  <c:v>63</c:v>
                </c:pt>
                <c:pt idx="49">
                  <c:v>64</c:v>
                </c:pt>
                <c:pt idx="50">
                  <c:v>65</c:v>
                </c:pt>
                <c:pt idx="51">
                  <c:v>66</c:v>
                </c:pt>
                <c:pt idx="52">
                  <c:v>67</c:v>
                </c:pt>
                <c:pt idx="53">
                  <c:v>68</c:v>
                </c:pt>
                <c:pt idx="54">
                  <c:v>69</c:v>
                </c:pt>
                <c:pt idx="55">
                  <c:v>70</c:v>
                </c:pt>
                <c:pt idx="56">
                  <c:v>71</c:v>
                </c:pt>
                <c:pt idx="57">
                  <c:v>72</c:v>
                </c:pt>
                <c:pt idx="58">
                  <c:v>73</c:v>
                </c:pt>
                <c:pt idx="59">
                  <c:v>74</c:v>
                </c:pt>
                <c:pt idx="60">
                  <c:v>75</c:v>
                </c:pt>
                <c:pt idx="61">
                  <c:v>76</c:v>
                </c:pt>
                <c:pt idx="62">
                  <c:v>77</c:v>
                </c:pt>
                <c:pt idx="63">
                  <c:v>78</c:v>
                </c:pt>
                <c:pt idx="64">
                  <c:v>79</c:v>
                </c:pt>
                <c:pt idx="65">
                  <c:v>80</c:v>
                </c:pt>
                <c:pt idx="66">
                  <c:v>81</c:v>
                </c:pt>
                <c:pt idx="67">
                  <c:v>82</c:v>
                </c:pt>
                <c:pt idx="68">
                  <c:v>83</c:v>
                </c:pt>
                <c:pt idx="69">
                  <c:v>84</c:v>
                </c:pt>
                <c:pt idx="70">
                  <c:v>85</c:v>
                </c:pt>
                <c:pt idx="71">
                  <c:v>86</c:v>
                </c:pt>
                <c:pt idx="72">
                  <c:v>87</c:v>
                </c:pt>
                <c:pt idx="73">
                  <c:v>88</c:v>
                </c:pt>
                <c:pt idx="74">
                  <c:v>89</c:v>
                </c:pt>
                <c:pt idx="75">
                  <c:v>90</c:v>
                </c:pt>
                <c:pt idx="76">
                  <c:v>91</c:v>
                </c:pt>
                <c:pt idx="77">
                  <c:v>92</c:v>
                </c:pt>
                <c:pt idx="78">
                  <c:v>93</c:v>
                </c:pt>
                <c:pt idx="79">
                  <c:v>94</c:v>
                </c:pt>
                <c:pt idx="80">
                  <c:v>95</c:v>
                </c:pt>
                <c:pt idx="81">
                  <c:v>96</c:v>
                </c:pt>
                <c:pt idx="82">
                  <c:v>97</c:v>
                </c:pt>
                <c:pt idx="83">
                  <c:v>98</c:v>
                </c:pt>
                <c:pt idx="84">
                  <c:v>99</c:v>
                </c:pt>
                <c:pt idx="85">
                  <c:v>100</c:v>
                </c:pt>
                <c:pt idx="86">
                  <c:v>101</c:v>
                </c:pt>
                <c:pt idx="87">
                  <c:v>102</c:v>
                </c:pt>
                <c:pt idx="88">
                  <c:v>103</c:v>
                </c:pt>
                <c:pt idx="89">
                  <c:v>104</c:v>
                </c:pt>
                <c:pt idx="90">
                  <c:v>105</c:v>
                </c:pt>
                <c:pt idx="91">
                  <c:v>106</c:v>
                </c:pt>
                <c:pt idx="92">
                  <c:v>107</c:v>
                </c:pt>
                <c:pt idx="93">
                  <c:v>108</c:v>
                </c:pt>
                <c:pt idx="94">
                  <c:v>109</c:v>
                </c:pt>
                <c:pt idx="95">
                  <c:v>110</c:v>
                </c:pt>
                <c:pt idx="96">
                  <c:v>111</c:v>
                </c:pt>
                <c:pt idx="97">
                  <c:v>112</c:v>
                </c:pt>
                <c:pt idx="98">
                  <c:v>113</c:v>
                </c:pt>
                <c:pt idx="99">
                  <c:v>114</c:v>
                </c:pt>
                <c:pt idx="100">
                  <c:v>115</c:v>
                </c:pt>
                <c:pt idx="101">
                  <c:v>116</c:v>
                </c:pt>
                <c:pt idx="102">
                  <c:v>117</c:v>
                </c:pt>
                <c:pt idx="103">
                  <c:v>118</c:v>
                </c:pt>
                <c:pt idx="104">
                  <c:v>119</c:v>
                </c:pt>
                <c:pt idx="105">
                  <c:v>120</c:v>
                </c:pt>
              </c:numCache>
            </c:numRef>
          </c:xVal>
          <c:yVal>
            <c:numRef>
              <c:f>Stochastic!$F$24:$F$129</c:f>
              <c:numCache>
                <c:formatCode>General</c:formatCode>
                <c:ptCount val="106"/>
                <c:pt idx="0">
                  <c:v>4.0174473983548398E-2</c:v>
                </c:pt>
                <c:pt idx="1">
                  <c:v>4.6102070720477742E-2</c:v>
                </c:pt>
                <c:pt idx="2">
                  <c:v>5.2296224238147899E-2</c:v>
                </c:pt>
                <c:pt idx="3">
                  <c:v>5.8707929083238013E-2</c:v>
                </c:pt>
                <c:pt idx="4">
                  <c:v>6.5286563868071398E-2</c:v>
                </c:pt>
                <c:pt idx="5">
                  <c:v>7.1980797235062371E-2</c:v>
                </c:pt>
                <c:pt idx="6">
                  <c:v>7.8739412233941222E-2</c:v>
                </c:pt>
                <c:pt idx="7">
                  <c:v>8.5512043278174119E-2</c:v>
                </c:pt>
                <c:pt idx="8">
                  <c:v>9.2249822794826325E-2</c:v>
                </c:pt>
                <c:pt idx="9">
                  <c:v>9.8905937134570188E-2</c:v>
                </c:pt>
                <c:pt idx="10">
                  <c:v>0.105436093308985</c:v>
                </c:pt>
                <c:pt idx="11">
                  <c:v>0.11179889971596331</c:v>
                </c:pt>
                <c:pt idx="12">
                  <c:v>0.11795616524629533</c:v>
                </c:pt>
                <c:pt idx="13">
                  <c:v>0.12387312207970125</c:v>
                </c:pt>
                <c:pt idx="14">
                  <c:v>0.12951857811906145</c:v>
                </c:pt>
                <c:pt idx="15">
                  <c:v>0.13486500541715205</c:v>
                </c:pt>
                <c:pt idx="16">
                  <c:v>0.1398885711576264</c:v>
                </c:pt>
                <c:pt idx="17">
                  <c:v>0.14456911779488593</c:v>
                </c:pt>
                <c:pt idx="18">
                  <c:v>0.14889009886618559</c:v>
                </c:pt>
                <c:pt idx="19">
                  <c:v>0.15283847679084211</c:v>
                </c:pt>
                <c:pt idx="20">
                  <c:v>0.15640458868963628</c:v>
                </c:pt>
                <c:pt idx="21">
                  <c:v>0.15958198591324979</c:v>
                </c:pt>
                <c:pt idx="22">
                  <c:v>0.16236725257984588</c:v>
                </c:pt>
                <c:pt idx="23">
                  <c:v>0.16475980800405005</c:v>
                </c:pt>
                <c:pt idx="24">
                  <c:v>0.1667616974655636</c:v>
                </c:pt>
                <c:pt idx="25">
                  <c:v>0.16837737532621541</c:v>
                </c:pt>
                <c:pt idx="26">
                  <c:v>0.16961348406824575</c:v>
                </c:pt>
                <c:pt idx="27">
                  <c:v>0.17047863240109601</c:v>
                </c:pt>
                <c:pt idx="28">
                  <c:v>0.17098317517450631</c:v>
                </c:pt>
                <c:pt idx="29">
                  <c:v>0.17113899744652422</c:v>
                </c:pt>
                <c:pt idx="30">
                  <c:v>0.17095930468917911</c:v>
                </c:pt>
                <c:pt idx="31">
                  <c:v>0.17045842077417597</c:v>
                </c:pt>
                <c:pt idx="32">
                  <c:v>0.16965159506728278</c:v>
                </c:pt>
                <c:pt idx="33">
                  <c:v>0.16855481967370345</c:v>
                </c:pt>
                <c:pt idx="34">
                  <c:v>0.16718465761765985</c:v>
                </c:pt>
                <c:pt idx="35">
                  <c:v>0.16555808250720191</c:v>
                </c:pt>
                <c:pt idx="36">
                  <c:v>0.16369233002911293</c:v>
                </c:pt>
                <c:pt idx="37">
                  <c:v>0.16160476143758318</c:v>
                </c:pt>
                <c:pt idx="38">
                  <c:v>0.15931273904278989</c:v>
                </c:pt>
                <c:pt idx="39">
                  <c:v>0.15683351357018308</c:v>
                </c:pt>
                <c:pt idx="40">
                  <c:v>0.15418412314659843</c:v>
                </c:pt>
                <c:pt idx="41">
                  <c:v>0.15138130357368246</c:v>
                </c:pt>
                <c:pt idx="42">
                  <c:v>0.14844140947091533</c:v>
                </c:pt>
                <c:pt idx="43">
                  <c:v>0.14538034580812645</c:v>
                </c:pt>
                <c:pt idx="44">
                  <c:v>0.14221350929926788</c:v>
                </c:pt>
                <c:pt idx="45">
                  <c:v>0.13895573909378645</c:v>
                </c:pt>
                <c:pt idx="46">
                  <c:v>0.13562127617780004</c:v>
                </c:pt>
                <c:pt idx="47">
                  <c:v>0.13222373088303876</c:v>
                </c:pt>
                <c:pt idx="48">
                  <c:v>0.12877605789587354</c:v>
                </c:pt>
                <c:pt idx="49">
                  <c:v>0.12529053816052721</c:v>
                </c:pt>
                <c:pt idx="50">
                  <c:v>0.12177876707864008</c:v>
                </c:pt>
                <c:pt idx="51">
                  <c:v>0.11825164842071569</c:v>
                </c:pt>
                <c:pt idx="52">
                  <c:v>0.11471939338269262</c:v>
                </c:pt>
                <c:pt idx="53">
                  <c:v>0.11119152424213112</c:v>
                </c:pt>
                <c:pt idx="54">
                  <c:v>0.10767688209251858</c:v>
                </c:pt>
                <c:pt idx="55">
                  <c:v>0.10418363816031968</c:v>
                </c:pt>
                <c:pt idx="56">
                  <c:v>0.1007193082370315</c:v>
                </c:pt>
                <c:pt idx="57">
                  <c:v>9.7290769787131776E-2</c:v>
                </c:pt>
                <c:pt idx="58">
                  <c:v>9.3904281321977881E-2</c:v>
                </c:pt>
                <c:pt idx="59">
                  <c:v>9.05655036590374E-2</c:v>
                </c:pt>
                <c:pt idx="60">
                  <c:v>8.7279522714968874E-2</c:v>
                </c:pt>
                <c:pt idx="61">
                  <c:v>8.4050873509750532E-2</c:v>
                </c:pt>
                <c:pt idx="62">
                  <c:v>8.0883565087047055E-2</c:v>
                </c:pt>
                <c:pt idx="63">
                  <c:v>7.7781106083089996E-2</c:v>
                </c:pt>
                <c:pt idx="64">
                  <c:v>7.474653070242529E-2</c:v>
                </c:pt>
                <c:pt idx="65">
                  <c:v>7.1782424883778159E-2</c:v>
                </c:pt>
                <c:pt idx="66">
                  <c:v>6.8890952462956845E-2</c:v>
                </c:pt>
                <c:pt idx="67">
                  <c:v>6.6073881162071968E-2</c:v>
                </c:pt>
                <c:pt idx="68">
                  <c:v>6.3332608255363743E-2</c:v>
                </c:pt>
                <c:pt idx="69">
                  <c:v>6.0668185781590202E-2</c:v>
                </c:pt>
                <c:pt idx="70">
                  <c:v>5.8081345191206411E-2</c:v>
                </c:pt>
                <c:pt idx="71">
                  <c:v>5.557252133351772E-2</c:v>
                </c:pt>
                <c:pt idx="72">
                  <c:v>5.3141875704585374E-2</c:v>
                </c:pt>
                <c:pt idx="73">
                  <c:v>5.0789318891001009E-2</c:v>
                </c:pt>
                <c:pt idx="74">
                  <c:v>4.8514532157696612E-2</c:v>
                </c:pt>
                <c:pt idx="75">
                  <c:v>4.6316988139842467E-2</c:v>
                </c:pt>
                <c:pt idx="76">
                  <c:v>4.4195970609603508E-2</c:v>
                </c:pt>
                <c:pt idx="77">
                  <c:v>4.2150593298152968E-2</c:v>
                </c:pt>
                <c:pt idx="78">
                  <c:v>4.0179817761959703E-2</c:v>
                </c:pt>
                <c:pt idx="79">
                  <c:v>3.828247028999137E-2</c:v>
                </c:pt>
                <c:pt idx="80">
                  <c:v>3.6457257855214066E-2</c:v>
                </c:pt>
                <c:pt idx="81">
                  <c:v>3.4702783119654738E-2</c:v>
                </c:pt>
                <c:pt idx="82">
                  <c:v>3.3017558507393775E-2</c:v>
                </c:pt>
                <c:pt idx="83">
                  <c:v>3.1400019364237142E-2</c:v>
                </c:pt>
                <c:pt idx="84">
                  <c:v>2.9848536226531663E-2</c:v>
                </c:pt>
                <c:pt idx="85">
                  <c:v>2.8361426224688135E-2</c:v>
                </c:pt>
                <c:pt idx="86">
                  <c:v>2.6936963649530098E-2</c:v>
                </c:pt>
                <c:pt idx="87">
                  <c:v>2.5573389711621694E-2</c:v>
                </c:pt>
                <c:pt idx="88">
                  <c:v>2.4268921525323266E-2</c:v>
                </c:pt>
                <c:pt idx="89">
                  <c:v>2.3021760350493723E-2</c:v>
                </c:pt>
                <c:pt idx="90">
                  <c:v>2.1830099125570813E-2</c:v>
                </c:pt>
                <c:pt idx="91">
                  <c:v>2.0692129326245222E-2</c:v>
                </c:pt>
                <c:pt idx="92">
                  <c:v>1.9606047184136974E-2</c:v>
                </c:pt>
                <c:pt idx="93">
                  <c:v>1.8570059299825269E-2</c:v>
                </c:pt>
                <c:pt idx="94">
                  <c:v>1.7582387684304278E-2</c:v>
                </c:pt>
                <c:pt idx="95">
                  <c:v>1.6641274262465006E-2</c:v>
                </c:pt>
                <c:pt idx="96">
                  <c:v>1.5744984871571603E-2</c:v>
                </c:pt>
                <c:pt idx="97">
                  <c:v>1.4891812786926658E-2</c:v>
                </c:pt>
                <c:pt idx="98">
                  <c:v>1.4080081806033833E-2</c:v>
                </c:pt>
                <c:pt idx="99">
                  <c:v>1.3308148921583106E-2</c:v>
                </c:pt>
                <c:pt idx="100">
                  <c:v>1.2574406612525698E-2</c:v>
                </c:pt>
                <c:pt idx="101">
                  <c:v>1.1877284781390399E-2</c:v>
                </c:pt>
                <c:pt idx="102">
                  <c:v>1.1215252364829916E-2</c:v>
                </c:pt>
                <c:pt idx="103">
                  <c:v>1.0586818643197217E-2</c:v>
                </c:pt>
                <c:pt idx="104">
                  <c:v>9.9905342737400486E-3</c:v>
                </c:pt>
                <c:pt idx="105">
                  <c:v>9.4249920707859623E-3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Stochastic!$G$22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Stochastic!$B$24:$B$129</c:f>
              <c:numCache>
                <c:formatCode>General</c:formatCode>
                <c:ptCount val="10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  <c:pt idx="31">
                  <c:v>46</c:v>
                </c:pt>
                <c:pt idx="32">
                  <c:v>47</c:v>
                </c:pt>
                <c:pt idx="33">
                  <c:v>48</c:v>
                </c:pt>
                <c:pt idx="34">
                  <c:v>49</c:v>
                </c:pt>
                <c:pt idx="35">
                  <c:v>50</c:v>
                </c:pt>
                <c:pt idx="36">
                  <c:v>51</c:v>
                </c:pt>
                <c:pt idx="37">
                  <c:v>52</c:v>
                </c:pt>
                <c:pt idx="38">
                  <c:v>53</c:v>
                </c:pt>
                <c:pt idx="39">
                  <c:v>54</c:v>
                </c:pt>
                <c:pt idx="40">
                  <c:v>55</c:v>
                </c:pt>
                <c:pt idx="41">
                  <c:v>56</c:v>
                </c:pt>
                <c:pt idx="42">
                  <c:v>57</c:v>
                </c:pt>
                <c:pt idx="43">
                  <c:v>58</c:v>
                </c:pt>
                <c:pt idx="44">
                  <c:v>59</c:v>
                </c:pt>
                <c:pt idx="45">
                  <c:v>60</c:v>
                </c:pt>
                <c:pt idx="46">
                  <c:v>61</c:v>
                </c:pt>
                <c:pt idx="47">
                  <c:v>62</c:v>
                </c:pt>
                <c:pt idx="48">
                  <c:v>63</c:v>
                </c:pt>
                <c:pt idx="49">
                  <c:v>64</c:v>
                </c:pt>
                <c:pt idx="50">
                  <c:v>65</c:v>
                </c:pt>
                <c:pt idx="51">
                  <c:v>66</c:v>
                </c:pt>
                <c:pt idx="52">
                  <c:v>67</c:v>
                </c:pt>
                <c:pt idx="53">
                  <c:v>68</c:v>
                </c:pt>
                <c:pt idx="54">
                  <c:v>69</c:v>
                </c:pt>
                <c:pt idx="55">
                  <c:v>70</c:v>
                </c:pt>
                <c:pt idx="56">
                  <c:v>71</c:v>
                </c:pt>
                <c:pt idx="57">
                  <c:v>72</c:v>
                </c:pt>
                <c:pt idx="58">
                  <c:v>73</c:v>
                </c:pt>
                <c:pt idx="59">
                  <c:v>74</c:v>
                </c:pt>
                <c:pt idx="60">
                  <c:v>75</c:v>
                </c:pt>
                <c:pt idx="61">
                  <c:v>76</c:v>
                </c:pt>
                <c:pt idx="62">
                  <c:v>77</c:v>
                </c:pt>
                <c:pt idx="63">
                  <c:v>78</c:v>
                </c:pt>
                <c:pt idx="64">
                  <c:v>79</c:v>
                </c:pt>
                <c:pt idx="65">
                  <c:v>80</c:v>
                </c:pt>
                <c:pt idx="66">
                  <c:v>81</c:v>
                </c:pt>
                <c:pt idx="67">
                  <c:v>82</c:v>
                </c:pt>
                <c:pt idx="68">
                  <c:v>83</c:v>
                </c:pt>
                <c:pt idx="69">
                  <c:v>84</c:v>
                </c:pt>
                <c:pt idx="70">
                  <c:v>85</c:v>
                </c:pt>
                <c:pt idx="71">
                  <c:v>86</c:v>
                </c:pt>
                <c:pt idx="72">
                  <c:v>87</c:v>
                </c:pt>
                <c:pt idx="73">
                  <c:v>88</c:v>
                </c:pt>
                <c:pt idx="74">
                  <c:v>89</c:v>
                </c:pt>
                <c:pt idx="75">
                  <c:v>90</c:v>
                </c:pt>
                <c:pt idx="76">
                  <c:v>91</c:v>
                </c:pt>
                <c:pt idx="77">
                  <c:v>92</c:v>
                </c:pt>
                <c:pt idx="78">
                  <c:v>93</c:v>
                </c:pt>
                <c:pt idx="79">
                  <c:v>94</c:v>
                </c:pt>
                <c:pt idx="80">
                  <c:v>95</c:v>
                </c:pt>
                <c:pt idx="81">
                  <c:v>96</c:v>
                </c:pt>
                <c:pt idx="82">
                  <c:v>97</c:v>
                </c:pt>
                <c:pt idx="83">
                  <c:v>98</c:v>
                </c:pt>
                <c:pt idx="84">
                  <c:v>99</c:v>
                </c:pt>
                <c:pt idx="85">
                  <c:v>100</c:v>
                </c:pt>
                <c:pt idx="86">
                  <c:v>101</c:v>
                </c:pt>
                <c:pt idx="87">
                  <c:v>102</c:v>
                </c:pt>
                <c:pt idx="88">
                  <c:v>103</c:v>
                </c:pt>
                <c:pt idx="89">
                  <c:v>104</c:v>
                </c:pt>
                <c:pt idx="90">
                  <c:v>105</c:v>
                </c:pt>
                <c:pt idx="91">
                  <c:v>106</c:v>
                </c:pt>
                <c:pt idx="92">
                  <c:v>107</c:v>
                </c:pt>
                <c:pt idx="93">
                  <c:v>108</c:v>
                </c:pt>
                <c:pt idx="94">
                  <c:v>109</c:v>
                </c:pt>
                <c:pt idx="95">
                  <c:v>110</c:v>
                </c:pt>
                <c:pt idx="96">
                  <c:v>111</c:v>
                </c:pt>
                <c:pt idx="97">
                  <c:v>112</c:v>
                </c:pt>
                <c:pt idx="98">
                  <c:v>113</c:v>
                </c:pt>
                <c:pt idx="99">
                  <c:v>114</c:v>
                </c:pt>
                <c:pt idx="100">
                  <c:v>115</c:v>
                </c:pt>
                <c:pt idx="101">
                  <c:v>116</c:v>
                </c:pt>
                <c:pt idx="102">
                  <c:v>117</c:v>
                </c:pt>
                <c:pt idx="103">
                  <c:v>118</c:v>
                </c:pt>
                <c:pt idx="104">
                  <c:v>119</c:v>
                </c:pt>
                <c:pt idx="105">
                  <c:v>120</c:v>
                </c:pt>
              </c:numCache>
            </c:numRef>
          </c:xVal>
          <c:yVal>
            <c:numRef>
              <c:f>Stochastic!$G$24:$G$129</c:f>
              <c:numCache>
                <c:formatCode>General</c:formatCode>
                <c:ptCount val="106"/>
                <c:pt idx="0">
                  <c:v>3.4441867709015271E-2</c:v>
                </c:pt>
                <c:pt idx="1">
                  <c:v>3.8985224660677199E-2</c:v>
                </c:pt>
                <c:pt idx="2">
                  <c:v>4.3703144361613218E-2</c:v>
                </c:pt>
                <c:pt idx="3">
                  <c:v>4.8566719756473684E-2</c:v>
                </c:pt>
                <c:pt idx="4">
                  <c:v>5.3546599850817493E-2</c:v>
                </c:pt>
                <c:pt idx="5">
                  <c:v>5.8613358634633538E-2</c:v>
                </c:pt>
                <c:pt idx="6">
                  <c:v>6.3737825618259747E-2</c:v>
                </c:pt>
                <c:pt idx="7">
                  <c:v>6.8891378361643399E-2</c:v>
                </c:pt>
                <c:pt idx="8">
                  <c:v>7.4046197913389261E-2</c:v>
                </c:pt>
                <c:pt idx="9">
                  <c:v>7.9175488500080826E-2</c:v>
                </c:pt>
                <c:pt idx="10">
                  <c:v>8.4253663133563403E-2</c:v>
                </c:pt>
                <c:pt idx="11">
                  <c:v>8.9256497047514205E-2</c:v>
                </c:pt>
                <c:pt idx="12">
                  <c:v>9.4161251046625288E-2</c:v>
                </c:pt>
                <c:pt idx="13">
                  <c:v>9.8946766962830154E-2</c:v>
                </c:pt>
                <c:pt idx="14">
                  <c:v>0.10359353747277149</c:v>
                </c:pt>
                <c:pt idx="15">
                  <c:v>0.10808375254764339</c:v>
                </c:pt>
                <c:pt idx="16">
                  <c:v>0.11240132478816799</c:v>
                </c:pt>
                <c:pt idx="17">
                  <c:v>0.1165318958503848</c:v>
                </c:pt>
                <c:pt idx="18">
                  <c:v>0.12046282609794755</c:v>
                </c:pt>
                <c:pt idx="19">
                  <c:v>0.1241831695287533</c:v>
                </c:pt>
                <c:pt idx="20">
                  <c:v>0.12768363592234941</c:v>
                </c:pt>
                <c:pt idx="21">
                  <c:v>0.13095654204341034</c:v>
                </c:pt>
                <c:pt idx="22">
                  <c:v>0.13399575361885377</c:v>
                </c:pt>
                <c:pt idx="23">
                  <c:v>0.1367966196845781</c:v>
                </c:pt>
                <c:pt idx="24">
                  <c:v>0.13935590077463142</c:v>
                </c:pt>
                <c:pt idx="25">
                  <c:v>0.1416716923027467</c:v>
                </c:pt>
                <c:pt idx="26">
                  <c:v>0.14374334436515507</c:v>
                </c:pt>
                <c:pt idx="27">
                  <c:v>0.14557137907566528</c:v>
                </c:pt>
                <c:pt idx="28">
                  <c:v>0.14715740643016503</c:v>
                </c:pt>
                <c:pt idx="29">
                  <c:v>0.14850403958872571</c:v>
                </c:pt>
                <c:pt idx="30">
                  <c:v>0.14961481035994459</c:v>
                </c:pt>
                <c:pt idx="31">
                  <c:v>0.15049408557444144</c:v>
                </c:pt>
                <c:pt idx="32">
                  <c:v>0.15114698494280307</c:v>
                </c:pt>
                <c:pt idx="33">
                  <c:v>0.15157930090787608</c:v>
                </c:pt>
                <c:pt idx="34">
                  <c:v>0.1517974209221884</c:v>
                </c:pt>
                <c:pt idx="35">
                  <c:v>0.15180825250838811</c:v>
                </c:pt>
                <c:pt idx="36">
                  <c:v>0.15161915139381305</c:v>
                </c:pt>
                <c:pt idx="37">
                  <c:v>0.151237852949478</c:v>
                </c:pt>
                <c:pt idx="38">
                  <c:v>0.15067240710867894</c:v>
                </c:pt>
                <c:pt idx="39">
                  <c:v>0.14993111689082048</c:v>
                </c:pt>
                <c:pt idx="40">
                  <c:v>0.14902248061170728</c:v>
                </c:pt>
                <c:pt idx="41">
                  <c:v>0.14795513782211267</c:v>
                </c:pt>
                <c:pt idx="42">
                  <c:v>0.14673781898165655</c:v>
                </c:pt>
                <c:pt idx="43">
                  <c:v>0.14537929884458153</c:v>
                </c:pt>
                <c:pt idx="44">
                  <c:v>0.14388835350761686</c:v>
                </c:pt>
                <c:pt idx="45">
                  <c:v>0.14227372104744831</c:v>
                </c:pt>
                <c:pt idx="46">
                  <c:v>0.14054406565609182</c:v>
                </c:pt>
                <c:pt idx="47">
                  <c:v>0.13870794516639759</c:v>
                </c:pt>
                <c:pt idx="48">
                  <c:v>0.13677378184671865</c:v>
                </c:pt>
                <c:pt idx="49">
                  <c:v>0.13474983633319632</c:v>
                </c:pt>
                <c:pt idx="50">
                  <c:v>0.13264418455989599</c:v>
                </c:pt>
                <c:pt idx="51">
                  <c:v>0.13046469754091997</c:v>
                </c:pt>
                <c:pt idx="52">
                  <c:v>0.12821902385441469</c:v>
                </c:pt>
                <c:pt idx="53">
                  <c:v>0.1259145746758604</c:v>
                </c:pt>
                <c:pt idx="54">
                  <c:v>0.12355851120698338</c:v>
                </c:pt>
                <c:pt idx="55">
                  <c:v>0.12115773434688303</c:v>
                </c:pt>
                <c:pt idx="56">
                  <c:v>0.11871887645334733</c:v>
                </c:pt>
                <c:pt idx="57">
                  <c:v>0.11624829504468347</c:v>
                </c:pt>
                <c:pt idx="58">
                  <c:v>0.11375206829557009</c:v>
                </c:pt>
                <c:pt idx="59">
                  <c:v>0.11123599218432009</c:v>
                </c:pt>
                <c:pt idx="60">
                  <c:v>0.10870557915339377</c:v>
                </c:pt>
                <c:pt idx="61">
                  <c:v>0.10616605814992952</c:v>
                </c:pt>
                <c:pt idx="62">
                  <c:v>0.10362237591836028</c:v>
                </c:pt>
                <c:pt idx="63">
                  <c:v>0.10107919942275406</c:v>
                </c:pt>
                <c:pt idx="64">
                  <c:v>9.8540919282315578E-2</c:v>
                </c:pt>
                <c:pt idx="65">
                  <c:v>9.6011654109399339E-2</c:v>
                </c:pt>
                <c:pt idx="66">
                  <c:v>9.3495255645387756E-2</c:v>
                </c:pt>
                <c:pt idx="67">
                  <c:v>9.099531459580483E-2</c:v>
                </c:pt>
                <c:pt idx="68">
                  <c:v>8.851516707202628E-2</c:v>
                </c:pt>
                <c:pt idx="69">
                  <c:v>8.6057901552881427E-2</c:v>
                </c:pt>
                <c:pt idx="70">
                  <c:v>8.3626366285256964E-2</c:v>
                </c:pt>
                <c:pt idx="71">
                  <c:v>8.1223177048520334E-2</c:v>
                </c:pt>
                <c:pt idx="72">
                  <c:v>7.885072521310682E-2</c:v>
                </c:pt>
                <c:pt idx="73">
                  <c:v>7.6511186028996842E-2</c:v>
                </c:pt>
                <c:pt idx="74">
                  <c:v>7.4206527084965349E-2</c:v>
                </c:pt>
                <c:pt idx="75">
                  <c:v>7.1938516884469408E-2</c:v>
                </c:pt>
                <c:pt idx="76">
                  <c:v>6.970873348879196E-2</c:v>
                </c:pt>
                <c:pt idx="77">
                  <c:v>6.7518573182589386E-2</c:v>
                </c:pt>
                <c:pt idx="78">
                  <c:v>6.5369259121313097E-2</c:v>
                </c:pt>
                <c:pt idx="79">
                  <c:v>6.3261849924048263E-2</c:v>
                </c:pt>
                <c:pt idx="80">
                  <c:v>6.1197248179177981E-2</c:v>
                </c:pt>
                <c:pt idx="81">
                  <c:v>5.917620883390963E-2</c:v>
                </c:pt>
                <c:pt idx="82">
                  <c:v>5.719934744210893E-2</c:v>
                </c:pt>
                <c:pt idx="83">
                  <c:v>5.5267148248078102E-2</c:v>
                </c:pt>
                <c:pt idx="84">
                  <c:v>5.337997208689229E-2</c:v>
                </c:pt>
                <c:pt idx="85">
                  <c:v>5.1538064084674817E-2</c:v>
                </c:pt>
                <c:pt idx="86">
                  <c:v>4.9741561144765072E-2</c:v>
                </c:pt>
                <c:pt idx="87">
                  <c:v>4.7990499208099266E-2</c:v>
                </c:pt>
                <c:pt idx="88">
                  <c:v>4.62848202783218E-2</c:v>
                </c:pt>
                <c:pt idx="89">
                  <c:v>4.4624379204147691E-2</c:v>
                </c:pt>
                <c:pt idx="90">
                  <c:v>4.3008950213338594E-2</c:v>
                </c:pt>
                <c:pt idx="91">
                  <c:v>4.1438233194334859E-2</c:v>
                </c:pt>
                <c:pt idx="92">
                  <c:v>3.991185972310736E-2</c:v>
                </c:pt>
                <c:pt idx="93">
                  <c:v>3.8429398834172568E-2</c:v>
                </c:pt>
                <c:pt idx="94">
                  <c:v>3.6990362535959317E-2</c:v>
                </c:pt>
                <c:pt idx="95">
                  <c:v>3.5594211071824276E-2</c:v>
                </c:pt>
                <c:pt idx="96">
                  <c:v>3.4240357929010097E-2</c:v>
                </c:pt>
                <c:pt idx="97">
                  <c:v>3.2928174598716234E-2</c:v>
                </c:pt>
                <c:pt idx="98">
                  <c:v>3.1656995091228268E-2</c:v>
                </c:pt>
                <c:pt idx="99">
                  <c:v>3.0426120210726815E-2</c:v>
                </c:pt>
                <c:pt idx="100">
                  <c:v>2.923482159498E-2</c:v>
                </c:pt>
                <c:pt idx="101">
                  <c:v>2.8082345525626624E-2</c:v>
                </c:pt>
                <c:pt idx="102">
                  <c:v>2.6967916515176143E-2</c:v>
                </c:pt>
                <c:pt idx="103">
                  <c:v>2.5890740677205676E-2</c:v>
                </c:pt>
                <c:pt idx="104">
                  <c:v>2.4850008886515399E-2</c:v>
                </c:pt>
                <c:pt idx="105">
                  <c:v>2.3844899736231683E-2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Stochastic!$H$22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Stochastic!$B$24:$B$129</c:f>
              <c:numCache>
                <c:formatCode>General</c:formatCode>
                <c:ptCount val="10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  <c:pt idx="31">
                  <c:v>46</c:v>
                </c:pt>
                <c:pt idx="32">
                  <c:v>47</c:v>
                </c:pt>
                <c:pt idx="33">
                  <c:v>48</c:v>
                </c:pt>
                <c:pt idx="34">
                  <c:v>49</c:v>
                </c:pt>
                <c:pt idx="35">
                  <c:v>50</c:v>
                </c:pt>
                <c:pt idx="36">
                  <c:v>51</c:v>
                </c:pt>
                <c:pt idx="37">
                  <c:v>52</c:v>
                </c:pt>
                <c:pt idx="38">
                  <c:v>53</c:v>
                </c:pt>
                <c:pt idx="39">
                  <c:v>54</c:v>
                </c:pt>
                <c:pt idx="40">
                  <c:v>55</c:v>
                </c:pt>
                <c:pt idx="41">
                  <c:v>56</c:v>
                </c:pt>
                <c:pt idx="42">
                  <c:v>57</c:v>
                </c:pt>
                <c:pt idx="43">
                  <c:v>58</c:v>
                </c:pt>
                <c:pt idx="44">
                  <c:v>59</c:v>
                </c:pt>
                <c:pt idx="45">
                  <c:v>60</c:v>
                </c:pt>
                <c:pt idx="46">
                  <c:v>61</c:v>
                </c:pt>
                <c:pt idx="47">
                  <c:v>62</c:v>
                </c:pt>
                <c:pt idx="48">
                  <c:v>63</c:v>
                </c:pt>
                <c:pt idx="49">
                  <c:v>64</c:v>
                </c:pt>
                <c:pt idx="50">
                  <c:v>65</c:v>
                </c:pt>
                <c:pt idx="51">
                  <c:v>66</c:v>
                </c:pt>
                <c:pt idx="52">
                  <c:v>67</c:v>
                </c:pt>
                <c:pt idx="53">
                  <c:v>68</c:v>
                </c:pt>
                <c:pt idx="54">
                  <c:v>69</c:v>
                </c:pt>
                <c:pt idx="55">
                  <c:v>70</c:v>
                </c:pt>
                <c:pt idx="56">
                  <c:v>71</c:v>
                </c:pt>
                <c:pt idx="57">
                  <c:v>72</c:v>
                </c:pt>
                <c:pt idx="58">
                  <c:v>73</c:v>
                </c:pt>
                <c:pt idx="59">
                  <c:v>74</c:v>
                </c:pt>
                <c:pt idx="60">
                  <c:v>75</c:v>
                </c:pt>
                <c:pt idx="61">
                  <c:v>76</c:v>
                </c:pt>
                <c:pt idx="62">
                  <c:v>77</c:v>
                </c:pt>
                <c:pt idx="63">
                  <c:v>78</c:v>
                </c:pt>
                <c:pt idx="64">
                  <c:v>79</c:v>
                </c:pt>
                <c:pt idx="65">
                  <c:v>80</c:v>
                </c:pt>
                <c:pt idx="66">
                  <c:v>81</c:v>
                </c:pt>
                <c:pt idx="67">
                  <c:v>82</c:v>
                </c:pt>
                <c:pt idx="68">
                  <c:v>83</c:v>
                </c:pt>
                <c:pt idx="69">
                  <c:v>84</c:v>
                </c:pt>
                <c:pt idx="70">
                  <c:v>85</c:v>
                </c:pt>
                <c:pt idx="71">
                  <c:v>86</c:v>
                </c:pt>
                <c:pt idx="72">
                  <c:v>87</c:v>
                </c:pt>
                <c:pt idx="73">
                  <c:v>88</c:v>
                </c:pt>
                <c:pt idx="74">
                  <c:v>89</c:v>
                </c:pt>
                <c:pt idx="75">
                  <c:v>90</c:v>
                </c:pt>
                <c:pt idx="76">
                  <c:v>91</c:v>
                </c:pt>
                <c:pt idx="77">
                  <c:v>92</c:v>
                </c:pt>
                <c:pt idx="78">
                  <c:v>93</c:v>
                </c:pt>
                <c:pt idx="79">
                  <c:v>94</c:v>
                </c:pt>
                <c:pt idx="80">
                  <c:v>95</c:v>
                </c:pt>
                <c:pt idx="81">
                  <c:v>96</c:v>
                </c:pt>
                <c:pt idx="82">
                  <c:v>97</c:v>
                </c:pt>
                <c:pt idx="83">
                  <c:v>98</c:v>
                </c:pt>
                <c:pt idx="84">
                  <c:v>99</c:v>
                </c:pt>
                <c:pt idx="85">
                  <c:v>100</c:v>
                </c:pt>
                <c:pt idx="86">
                  <c:v>101</c:v>
                </c:pt>
                <c:pt idx="87">
                  <c:v>102</c:v>
                </c:pt>
                <c:pt idx="88">
                  <c:v>103</c:v>
                </c:pt>
                <c:pt idx="89">
                  <c:v>104</c:v>
                </c:pt>
                <c:pt idx="90">
                  <c:v>105</c:v>
                </c:pt>
                <c:pt idx="91">
                  <c:v>106</c:v>
                </c:pt>
                <c:pt idx="92">
                  <c:v>107</c:v>
                </c:pt>
                <c:pt idx="93">
                  <c:v>108</c:v>
                </c:pt>
                <c:pt idx="94">
                  <c:v>109</c:v>
                </c:pt>
                <c:pt idx="95">
                  <c:v>110</c:v>
                </c:pt>
                <c:pt idx="96">
                  <c:v>111</c:v>
                </c:pt>
                <c:pt idx="97">
                  <c:v>112</c:v>
                </c:pt>
                <c:pt idx="98">
                  <c:v>113</c:v>
                </c:pt>
                <c:pt idx="99">
                  <c:v>114</c:v>
                </c:pt>
                <c:pt idx="100">
                  <c:v>115</c:v>
                </c:pt>
                <c:pt idx="101">
                  <c:v>116</c:v>
                </c:pt>
                <c:pt idx="102">
                  <c:v>117</c:v>
                </c:pt>
                <c:pt idx="103">
                  <c:v>118</c:v>
                </c:pt>
                <c:pt idx="104">
                  <c:v>119</c:v>
                </c:pt>
                <c:pt idx="105">
                  <c:v>120</c:v>
                </c:pt>
              </c:numCache>
            </c:numRef>
          </c:xVal>
          <c:yVal>
            <c:numRef>
              <c:f>Stochastic!$H$24:$H$129</c:f>
              <c:numCache>
                <c:formatCode>General</c:formatCode>
                <c:ptCount val="106"/>
                <c:pt idx="0">
                  <c:v>2.9440629346307E-2</c:v>
                </c:pt>
                <c:pt idx="1">
                  <c:v>3.3073562803317587E-2</c:v>
                </c:pt>
                <c:pt idx="2">
                  <c:v>3.6837706325134854E-2</c:v>
                </c:pt>
                <c:pt idx="3">
                  <c:v>4.071436603132271E-2</c:v>
                </c:pt>
                <c:pt idx="4">
                  <c:v>4.4684679440371404E-2</c:v>
                </c:pt>
                <c:pt idx="5">
                  <c:v>4.8729796181349989E-2</c:v>
                </c:pt>
                <c:pt idx="6">
                  <c:v>5.2831039607088556E-2</c:v>
                </c:pt>
                <c:pt idx="7">
                  <c:v>5.6970050024395945E-2</c:v>
                </c:pt>
                <c:pt idx="8">
                  <c:v>6.1128910361279834E-2</c:v>
                </c:pt>
                <c:pt idx="9">
                  <c:v>6.5290255168662339E-2</c:v>
                </c:pt>
                <c:pt idx="10">
                  <c:v>6.9437363908504829E-2</c:v>
                </c:pt>
                <c:pt idx="11">
                  <c:v>7.3554239514964592E-2</c:v>
                </c:pt>
                <c:pt idx="12">
                  <c:v>7.7625673233182133E-2</c:v>
                </c:pt>
                <c:pt idx="13">
                  <c:v>8.1637296744205265E-2</c:v>
                </c:pt>
                <c:pt idx="14">
                  <c:v>8.5575622576720314E-2</c:v>
                </c:pt>
                <c:pt idx="15">
                  <c:v>8.9428073788741749E-2</c:v>
                </c:pt>
                <c:pt idx="16">
                  <c:v>9.3183003877019471E-2</c:v>
                </c:pt>
                <c:pt idx="17">
                  <c:v>9.6829707840224474E-2</c:v>
                </c:pt>
                <c:pt idx="18">
                  <c:v>0.10035842528536049</c:v>
                </c:pt>
                <c:pt idx="19">
                  <c:v>0.10376033642649565</c:v>
                </c:pt>
                <c:pt idx="20">
                  <c:v>0.10702755178185969</c:v>
                </c:pt>
                <c:pt idx="21">
                  <c:v>0.11015309633048301</c:v>
                </c:pt>
                <c:pt idx="22">
                  <c:v>0.1131308888436226</c:v>
                </c:pt>
                <c:pt idx="23">
                  <c:v>0.11595571705986421</c:v>
                </c:pt>
                <c:pt idx="24">
                  <c:v>0.11862320932655075</c:v>
                </c:pt>
                <c:pt idx="25">
                  <c:v>0.12112980328450682</c:v>
                </c:pt>
                <c:pt idx="26">
                  <c:v>0.12347271212828241</c:v>
                </c:pt>
                <c:pt idx="27">
                  <c:v>0.12564988893062073</c:v>
                </c:pt>
                <c:pt idx="28">
                  <c:v>0.12765998947780371</c:v>
                </c:pt>
                <c:pt idx="29">
                  <c:v>0.12950233402213407</c:v>
                </c:pt>
                <c:pt idx="30">
                  <c:v>0.13117686831920805</c:v>
                </c:pt>
                <c:pt idx="31">
                  <c:v>0.13268412428092169</c:v>
                </c:pt>
                <c:pt idx="32">
                  <c:v>0.13402518054040183</c:v>
                </c:pt>
                <c:pt idx="33">
                  <c:v>0.13520162319229373</c:v>
                </c:pt>
                <c:pt idx="34">
                  <c:v>0.13621550694108658</c:v>
                </c:pt>
                <c:pt idx="35">
                  <c:v>0.13706931686140275</c:v>
                </c:pt>
                <c:pt idx="36">
                  <c:v>0.13776593094739462</c:v>
                </c:pt>
                <c:pt idx="37">
                  <c:v>0.13830858360353906</c:v>
                </c:pt>
                <c:pt idx="38">
                  <c:v>0.13870083020614482</c:v>
                </c:pt>
                <c:pt idx="39">
                  <c:v>0.13894651284372969</c:v>
                </c:pt>
                <c:pt idx="40">
                  <c:v>0.13904972732501328</c:v>
                </c:pt>
                <c:pt idx="41">
                  <c:v>0.13901479152553292</c:v>
                </c:pt>
                <c:pt idx="42">
                  <c:v>0.13884621512774897</c:v>
                </c:pt>
                <c:pt idx="43">
                  <c:v>0.13854867079487573</c:v>
                </c:pt>
                <c:pt idx="44">
                  <c:v>0.13812696680547923</c:v>
                </c:pt>
                <c:pt idx="45">
                  <c:v>0.13758602116403598</c:v>
                </c:pt>
                <c:pt idx="46">
                  <c:v>0.13693083719206683</c:v>
                </c:pt>
                <c:pt idx="47">
                  <c:v>0.13616648059506531</c:v>
                </c:pt>
                <c:pt idx="48">
                  <c:v>0.13529805799215311</c:v>
                </c:pt>
                <c:pt idx="49">
                  <c:v>0.13433069688813187</c:v>
                </c:pt>
                <c:pt idx="50">
                  <c:v>0.13326952706129594</c:v>
                </c:pt>
                <c:pt idx="51">
                  <c:v>0.13211966333493982</c:v>
                </c:pt>
                <c:pt idx="52">
                  <c:v>0.13088618969587856</c:v>
                </c:pt>
                <c:pt idx="53">
                  <c:v>0.12957414471942294</c:v>
                </c:pt>
                <c:pt idx="54">
                  <c:v>0.12818850825705835</c:v>
                </c:pt>
                <c:pt idx="55">
                  <c:v>0.12673418934050054</c:v>
                </c:pt>
                <c:pt idx="56">
                  <c:v>0.12521601525378953</c:v>
                </c:pt>
                <c:pt idx="57">
                  <c:v>0.12363872172357984</c:v>
                </c:pt>
                <c:pt idx="58">
                  <c:v>0.12200694417673964</c:v>
                </c:pt>
                <c:pt idx="59">
                  <c:v>0.12032521001373957</c:v>
                </c:pt>
                <c:pt idx="60">
                  <c:v>0.11859793184604298</c:v>
                </c:pt>
                <c:pt idx="61">
                  <c:v>0.11682940164576906</c:v>
                </c:pt>
                <c:pt idx="62">
                  <c:v>0.11502378575625125</c:v>
                </c:pt>
                <c:pt idx="63">
                  <c:v>0.11318512071270349</c:v>
                </c:pt>
                <c:pt idx="64">
                  <c:v>0.1113173098230351</c:v>
                </c:pt>
                <c:pt idx="65">
                  <c:v>0.10942412045985585</c:v>
                </c:pt>
                <c:pt idx="66">
                  <c:v>0.10750918201588601</c:v>
                </c:pt>
                <c:pt idx="67">
                  <c:v>0.10557598447629082</c:v>
                </c:pt>
                <c:pt idx="68">
                  <c:v>0.10362787756287588</c:v>
                </c:pt>
                <c:pt idx="69">
                  <c:v>0.10166807040659721</c:v>
                </c:pt>
                <c:pt idx="70">
                  <c:v>9.9699631706414951E-2</c:v>
                </c:pt>
                <c:pt idx="71">
                  <c:v>9.7725490334170079E-2</c:v>
                </c:pt>
                <c:pt idx="72">
                  <c:v>9.574843634683225E-2</c:v>
                </c:pt>
                <c:pt idx="73">
                  <c:v>9.3771122369186999E-2</c:v>
                </c:pt>
                <c:pt idx="74">
                  <c:v>9.179606531173666E-2</c:v>
                </c:pt>
                <c:pt idx="75">
                  <c:v>8.9825648390323629E-2</c:v>
                </c:pt>
                <c:pt idx="76">
                  <c:v>8.7862123415697907E-2</c:v>
                </c:pt>
                <c:pt idx="77">
                  <c:v>8.5907613322946108E-2</c:v>
                </c:pt>
                <c:pt idx="78">
                  <c:v>8.3964114912386797E-2</c:v>
                </c:pt>
                <c:pt idx="79">
                  <c:v>8.2033501775175349E-2</c:v>
                </c:pt>
                <c:pt idx="80">
                  <c:v>8.011752737848099E-2</c:v>
                </c:pt>
                <c:pt idx="81">
                  <c:v>7.8217828286670107E-2</c:v>
                </c:pt>
                <c:pt idx="82">
                  <c:v>7.6335927496457887E-2</c:v>
                </c:pt>
                <c:pt idx="83">
                  <c:v>7.4473237865474065E-2</c:v>
                </c:pt>
                <c:pt idx="84">
                  <c:v>7.2631065615122212E-2</c:v>
                </c:pt>
                <c:pt idx="85">
                  <c:v>7.0810613889989646E-2</c:v>
                </c:pt>
                <c:pt idx="86">
                  <c:v>6.9012986357398595E-2</c:v>
                </c:pt>
                <c:pt idx="87">
                  <c:v>6.7239190831954954E-2</c:v>
                </c:pt>
                <c:pt idx="88">
                  <c:v>6.5490142911177704E-2</c:v>
                </c:pt>
                <c:pt idx="89">
                  <c:v>6.3766669609450391E-2</c:v>
                </c:pt>
                <c:pt idx="90">
                  <c:v>6.2069512978644235E-2</c:v>
                </c:pt>
                <c:pt idx="91">
                  <c:v>6.0399333704819876E-2</c:v>
                </c:pt>
                <c:pt idx="92">
                  <c:v>5.8756714671410123E-2</c:v>
                </c:pt>
                <c:pt idx="93">
                  <c:v>5.7142164480232037E-2</c:v>
                </c:pt>
                <c:pt idx="94">
                  <c:v>5.5556120922574212E-2</c:v>
                </c:pt>
                <c:pt idx="95">
                  <c:v>5.3998954393440761E-2</c:v>
                </c:pt>
                <c:pt idx="96">
                  <c:v>5.2470971242832107E-2</c:v>
                </c:pt>
                <c:pt idx="97">
                  <c:v>5.0972417058681024E-2</c:v>
                </c:pt>
                <c:pt idx="98">
                  <c:v>4.9503479876762742E-2</c:v>
                </c:pt>
                <c:pt idx="99">
                  <c:v>4.8064293313546724E-2</c:v>
                </c:pt>
                <c:pt idx="100">
                  <c:v>4.6654939618564865E-2</c:v>
                </c:pt>
                <c:pt idx="101">
                  <c:v>4.5275452643437943E-2</c:v>
                </c:pt>
                <c:pt idx="102">
                  <c:v>4.3925820725223171E-2</c:v>
                </c:pt>
                <c:pt idx="103">
                  <c:v>4.2605989482235845E-2</c:v>
                </c:pt>
                <c:pt idx="104">
                  <c:v>4.1315864520941499E-2</c:v>
                </c:pt>
                <c:pt idx="105">
                  <c:v>4.0055314052932812E-2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562240"/>
        <c:axId val="317572224"/>
      </c:scatterChart>
      <c:valAx>
        <c:axId val="317562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17572224"/>
        <c:crosses val="autoZero"/>
        <c:crossBetween val="midCat"/>
      </c:valAx>
      <c:valAx>
        <c:axId val="317572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756224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gamma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strRef>
              <c:f>'CF+BC (0.5)(sig=0.2) (2)'!$AP$9:$AP$21</c:f>
              <c:strCache>
                <c:ptCount val="13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</c:v>
                </c:pt>
                <c:pt idx="11">
                  <c:v>1.2</c:v>
                </c:pt>
                <c:pt idx="12">
                  <c:v>More</c:v>
                </c:pt>
              </c:strCache>
            </c:strRef>
          </c:cat>
          <c:val>
            <c:numRef>
              <c:f>'CF+BC (0.5)(sig=0.2) (2)'!$AQ$9:$AQ$21</c:f>
              <c:numCache>
                <c:formatCode>General</c:formatCode>
                <c:ptCount val="13"/>
                <c:pt idx="0">
                  <c:v>23</c:v>
                </c:pt>
                <c:pt idx="1">
                  <c:v>61</c:v>
                </c:pt>
                <c:pt idx="2">
                  <c:v>79</c:v>
                </c:pt>
                <c:pt idx="3">
                  <c:v>170</c:v>
                </c:pt>
                <c:pt idx="4">
                  <c:v>163</c:v>
                </c:pt>
                <c:pt idx="5">
                  <c:v>173</c:v>
                </c:pt>
                <c:pt idx="6">
                  <c:v>153</c:v>
                </c:pt>
                <c:pt idx="7">
                  <c:v>91</c:v>
                </c:pt>
                <c:pt idx="8">
                  <c:v>46</c:v>
                </c:pt>
                <c:pt idx="9">
                  <c:v>19</c:v>
                </c:pt>
                <c:pt idx="10">
                  <c:v>13</c:v>
                </c:pt>
                <c:pt idx="11">
                  <c:v>4</c:v>
                </c:pt>
                <c:pt idx="12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424448"/>
        <c:axId val="156426240"/>
      </c:barChart>
      <c:catAx>
        <c:axId val="156424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156426240"/>
        <c:crosses val="autoZero"/>
        <c:auto val="1"/>
        <c:lblAlgn val="ctr"/>
        <c:lblOffset val="100"/>
        <c:noMultiLvlLbl val="0"/>
      </c:catAx>
      <c:valAx>
        <c:axId val="1564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6424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alpha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strRef>
              <c:f>'CF+BC (0.5)(sig=0.2) (2)'!$AP$24:$AP$64</c:f>
              <c:strCache>
                <c:ptCount val="41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</c:v>
                </c:pt>
                <c:pt idx="22">
                  <c:v>2.3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More</c:v>
                </c:pt>
              </c:strCache>
            </c:strRef>
          </c:cat>
          <c:val>
            <c:numRef>
              <c:f>'CF+BC (0.5)(sig=0.2) (2)'!$AQ$24:$AQ$64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14</c:v>
                </c:pt>
                <c:pt idx="3">
                  <c:v>35</c:v>
                </c:pt>
                <c:pt idx="4">
                  <c:v>67</c:v>
                </c:pt>
                <c:pt idx="5">
                  <c:v>71</c:v>
                </c:pt>
                <c:pt idx="6">
                  <c:v>93</c:v>
                </c:pt>
                <c:pt idx="7">
                  <c:v>90</c:v>
                </c:pt>
                <c:pt idx="8">
                  <c:v>79</c:v>
                </c:pt>
                <c:pt idx="9">
                  <c:v>60</c:v>
                </c:pt>
                <c:pt idx="10">
                  <c:v>72</c:v>
                </c:pt>
                <c:pt idx="11">
                  <c:v>33</c:v>
                </c:pt>
                <c:pt idx="12">
                  <c:v>32</c:v>
                </c:pt>
                <c:pt idx="13">
                  <c:v>50</c:v>
                </c:pt>
                <c:pt idx="14">
                  <c:v>38</c:v>
                </c:pt>
                <c:pt idx="15">
                  <c:v>33</c:v>
                </c:pt>
                <c:pt idx="16">
                  <c:v>23</c:v>
                </c:pt>
                <c:pt idx="17">
                  <c:v>19</c:v>
                </c:pt>
                <c:pt idx="18">
                  <c:v>18</c:v>
                </c:pt>
                <c:pt idx="19">
                  <c:v>25</c:v>
                </c:pt>
                <c:pt idx="20">
                  <c:v>10</c:v>
                </c:pt>
                <c:pt idx="21">
                  <c:v>11</c:v>
                </c:pt>
                <c:pt idx="22">
                  <c:v>8</c:v>
                </c:pt>
                <c:pt idx="23">
                  <c:v>15</c:v>
                </c:pt>
                <c:pt idx="24">
                  <c:v>10</c:v>
                </c:pt>
                <c:pt idx="25">
                  <c:v>12</c:v>
                </c:pt>
                <c:pt idx="26">
                  <c:v>1</c:v>
                </c:pt>
                <c:pt idx="27">
                  <c:v>4</c:v>
                </c:pt>
                <c:pt idx="28">
                  <c:v>8</c:v>
                </c:pt>
                <c:pt idx="29">
                  <c:v>4</c:v>
                </c:pt>
                <c:pt idx="30">
                  <c:v>2</c:v>
                </c:pt>
                <c:pt idx="31">
                  <c:v>7</c:v>
                </c:pt>
                <c:pt idx="32">
                  <c:v>8</c:v>
                </c:pt>
                <c:pt idx="33">
                  <c:v>5</c:v>
                </c:pt>
                <c:pt idx="34">
                  <c:v>2</c:v>
                </c:pt>
                <c:pt idx="35">
                  <c:v>2</c:v>
                </c:pt>
                <c:pt idx="36">
                  <c:v>0</c:v>
                </c:pt>
                <c:pt idx="37">
                  <c:v>1</c:v>
                </c:pt>
                <c:pt idx="38">
                  <c:v>4</c:v>
                </c:pt>
                <c:pt idx="39">
                  <c:v>1</c:v>
                </c:pt>
                <c:pt idx="40">
                  <c:v>33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5760768"/>
        <c:axId val="186001280"/>
      </c:barChart>
      <c:catAx>
        <c:axId val="1857607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186001280"/>
        <c:crosses val="autoZero"/>
        <c:auto val="1"/>
        <c:lblAlgn val="ctr"/>
        <c:lblOffset val="100"/>
        <c:noMultiLvlLbl val="0"/>
      </c:catAx>
      <c:valAx>
        <c:axId val="18600128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857607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rho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strRef>
              <c:f>'CF+BC (0.5)(sig=0.2) (2)'!$AP$67:$AP$108</c:f>
              <c:strCache>
                <c:ptCount val="42"/>
                <c:pt idx="0">
                  <c:v>0.93</c:v>
                </c:pt>
                <c:pt idx="1">
                  <c:v>0.931</c:v>
                </c:pt>
                <c:pt idx="2">
                  <c:v>0.932</c:v>
                </c:pt>
                <c:pt idx="3">
                  <c:v>0.933</c:v>
                </c:pt>
                <c:pt idx="4">
                  <c:v>0.934</c:v>
                </c:pt>
                <c:pt idx="5">
                  <c:v>0.935</c:v>
                </c:pt>
                <c:pt idx="6">
                  <c:v>0.936</c:v>
                </c:pt>
                <c:pt idx="7">
                  <c:v>0.937</c:v>
                </c:pt>
                <c:pt idx="8">
                  <c:v>0.938</c:v>
                </c:pt>
                <c:pt idx="9">
                  <c:v>0.939</c:v>
                </c:pt>
                <c:pt idx="10">
                  <c:v>0.94</c:v>
                </c:pt>
                <c:pt idx="11">
                  <c:v>0.941</c:v>
                </c:pt>
                <c:pt idx="12">
                  <c:v>0.942</c:v>
                </c:pt>
                <c:pt idx="13">
                  <c:v>0.943</c:v>
                </c:pt>
                <c:pt idx="14">
                  <c:v>0.944</c:v>
                </c:pt>
                <c:pt idx="15">
                  <c:v>0.945</c:v>
                </c:pt>
                <c:pt idx="16">
                  <c:v>0.946</c:v>
                </c:pt>
                <c:pt idx="17">
                  <c:v>0.947</c:v>
                </c:pt>
                <c:pt idx="18">
                  <c:v>0.948</c:v>
                </c:pt>
                <c:pt idx="19">
                  <c:v>0.949</c:v>
                </c:pt>
                <c:pt idx="20">
                  <c:v>0.95</c:v>
                </c:pt>
                <c:pt idx="21">
                  <c:v>0.951</c:v>
                </c:pt>
                <c:pt idx="22">
                  <c:v>0.952</c:v>
                </c:pt>
                <c:pt idx="23">
                  <c:v>0.953</c:v>
                </c:pt>
                <c:pt idx="24">
                  <c:v>0.954</c:v>
                </c:pt>
                <c:pt idx="25">
                  <c:v>0.955</c:v>
                </c:pt>
                <c:pt idx="26">
                  <c:v>0.956</c:v>
                </c:pt>
                <c:pt idx="27">
                  <c:v>0.957</c:v>
                </c:pt>
                <c:pt idx="28">
                  <c:v>0.958</c:v>
                </c:pt>
                <c:pt idx="29">
                  <c:v>0.959</c:v>
                </c:pt>
                <c:pt idx="30">
                  <c:v>0.96</c:v>
                </c:pt>
                <c:pt idx="31">
                  <c:v>0.961</c:v>
                </c:pt>
                <c:pt idx="32">
                  <c:v>0.962</c:v>
                </c:pt>
                <c:pt idx="33">
                  <c:v>0.963</c:v>
                </c:pt>
                <c:pt idx="34">
                  <c:v>0.964</c:v>
                </c:pt>
                <c:pt idx="35">
                  <c:v>0.965</c:v>
                </c:pt>
                <c:pt idx="36">
                  <c:v>0.966</c:v>
                </c:pt>
                <c:pt idx="37">
                  <c:v>0.967</c:v>
                </c:pt>
                <c:pt idx="38">
                  <c:v>0.968</c:v>
                </c:pt>
                <c:pt idx="39">
                  <c:v>0.969</c:v>
                </c:pt>
                <c:pt idx="40">
                  <c:v>0.97</c:v>
                </c:pt>
                <c:pt idx="41">
                  <c:v>More</c:v>
                </c:pt>
              </c:strCache>
            </c:strRef>
          </c:cat>
          <c:val>
            <c:numRef>
              <c:f>'CF+BC (0.5)(sig=0.2) (2)'!$AQ$67:$AQ$108</c:f>
              <c:numCache>
                <c:formatCode>General</c:formatCode>
                <c:ptCount val="42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3</c:v>
                </c:pt>
                <c:pt idx="4">
                  <c:v>9</c:v>
                </c:pt>
                <c:pt idx="5">
                  <c:v>0</c:v>
                </c:pt>
                <c:pt idx="6">
                  <c:v>10</c:v>
                </c:pt>
                <c:pt idx="7">
                  <c:v>9</c:v>
                </c:pt>
                <c:pt idx="8">
                  <c:v>14</c:v>
                </c:pt>
                <c:pt idx="9">
                  <c:v>20</c:v>
                </c:pt>
                <c:pt idx="10">
                  <c:v>27</c:v>
                </c:pt>
                <c:pt idx="11">
                  <c:v>24</c:v>
                </c:pt>
                <c:pt idx="12">
                  <c:v>23</c:v>
                </c:pt>
                <c:pt idx="13">
                  <c:v>30</c:v>
                </c:pt>
                <c:pt idx="14">
                  <c:v>40</c:v>
                </c:pt>
                <c:pt idx="15">
                  <c:v>42</c:v>
                </c:pt>
                <c:pt idx="16">
                  <c:v>45</c:v>
                </c:pt>
                <c:pt idx="17">
                  <c:v>50</c:v>
                </c:pt>
                <c:pt idx="18">
                  <c:v>37</c:v>
                </c:pt>
                <c:pt idx="19">
                  <c:v>56</c:v>
                </c:pt>
                <c:pt idx="20">
                  <c:v>60</c:v>
                </c:pt>
                <c:pt idx="21">
                  <c:v>48</c:v>
                </c:pt>
                <c:pt idx="22">
                  <c:v>55</c:v>
                </c:pt>
                <c:pt idx="23">
                  <c:v>48</c:v>
                </c:pt>
                <c:pt idx="24">
                  <c:v>44</c:v>
                </c:pt>
                <c:pt idx="25">
                  <c:v>50</c:v>
                </c:pt>
                <c:pt idx="26">
                  <c:v>36</c:v>
                </c:pt>
                <c:pt idx="27">
                  <c:v>39</c:v>
                </c:pt>
                <c:pt idx="28">
                  <c:v>38</c:v>
                </c:pt>
                <c:pt idx="29">
                  <c:v>21</c:v>
                </c:pt>
                <c:pt idx="30">
                  <c:v>32</c:v>
                </c:pt>
                <c:pt idx="31">
                  <c:v>18</c:v>
                </c:pt>
                <c:pt idx="32">
                  <c:v>13</c:v>
                </c:pt>
                <c:pt idx="33">
                  <c:v>15</c:v>
                </c:pt>
                <c:pt idx="34">
                  <c:v>11</c:v>
                </c:pt>
                <c:pt idx="35">
                  <c:v>5</c:v>
                </c:pt>
                <c:pt idx="36">
                  <c:v>8</c:v>
                </c:pt>
                <c:pt idx="37">
                  <c:v>3</c:v>
                </c:pt>
                <c:pt idx="38">
                  <c:v>4</c:v>
                </c:pt>
                <c:pt idx="39">
                  <c:v>3</c:v>
                </c:pt>
                <c:pt idx="40">
                  <c:v>0</c:v>
                </c:pt>
                <c:pt idx="41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262784"/>
        <c:axId val="156373760"/>
      </c:barChart>
      <c:catAx>
        <c:axId val="156262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156373760"/>
        <c:crosses val="autoZero"/>
        <c:auto val="1"/>
        <c:lblAlgn val="ctr"/>
        <c:lblOffset val="100"/>
        <c:noMultiLvlLbl val="0"/>
      </c:catAx>
      <c:valAx>
        <c:axId val="15637376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62627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w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w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723900</xdr:colOff>
          <xdr:row>1</xdr:row>
          <xdr:rowOff>7620</xdr:rowOff>
        </xdr:from>
        <xdr:to>
          <xdr:col>12</xdr:col>
          <xdr:colOff>365760</xdr:colOff>
          <xdr:row>6</xdr:row>
          <xdr:rowOff>0</xdr:rowOff>
        </xdr:to>
        <xdr:sp macro="" textlink="">
          <xdr:nvSpPr>
            <xdr:cNvPr id="1025" name="Object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762000</xdr:colOff>
          <xdr:row>0</xdr:row>
          <xdr:rowOff>182880</xdr:rowOff>
        </xdr:from>
        <xdr:to>
          <xdr:col>14</xdr:col>
          <xdr:colOff>525780</xdr:colOff>
          <xdr:row>2</xdr:row>
          <xdr:rowOff>45720</xdr:rowOff>
        </xdr:to>
        <xdr:sp macro="" textlink="">
          <xdr:nvSpPr>
            <xdr:cNvPr id="1026" name="Object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0</xdr:rowOff>
        </xdr:from>
        <xdr:to>
          <xdr:col>21</xdr:col>
          <xdr:colOff>45720</xdr:colOff>
          <xdr:row>3</xdr:row>
          <xdr:rowOff>68580</xdr:rowOff>
        </xdr:to>
        <xdr:sp macro="" textlink="">
          <xdr:nvSpPr>
            <xdr:cNvPr id="1027" name="Object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447675</xdr:colOff>
      <xdr:row>20</xdr:row>
      <xdr:rowOff>95249</xdr:rowOff>
    </xdr:from>
    <xdr:to>
      <xdr:col>15</xdr:col>
      <xdr:colOff>447675</xdr:colOff>
      <xdr:row>33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209550</xdr:colOff>
      <xdr:row>20</xdr:row>
      <xdr:rowOff>28574</xdr:rowOff>
    </xdr:from>
    <xdr:to>
      <xdr:col>22</xdr:col>
      <xdr:colOff>514350</xdr:colOff>
      <xdr:row>33</xdr:row>
      <xdr:rowOff>200024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152400</xdr:colOff>
      <xdr:row>33</xdr:row>
      <xdr:rowOff>185737</xdr:rowOff>
    </xdr:from>
    <xdr:to>
      <xdr:col>15</xdr:col>
      <xdr:colOff>504825</xdr:colOff>
      <xdr:row>47</xdr:row>
      <xdr:rowOff>128587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723900</xdr:colOff>
          <xdr:row>1</xdr:row>
          <xdr:rowOff>7620</xdr:rowOff>
        </xdr:from>
        <xdr:to>
          <xdr:col>12</xdr:col>
          <xdr:colOff>365760</xdr:colOff>
          <xdr:row>6</xdr:row>
          <xdr:rowOff>0</xdr:rowOff>
        </xdr:to>
        <xdr:sp macro="" textlink="">
          <xdr:nvSpPr>
            <xdr:cNvPr id="4097" name="Object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762000</xdr:colOff>
          <xdr:row>1</xdr:row>
          <xdr:rowOff>0</xdr:rowOff>
        </xdr:from>
        <xdr:to>
          <xdr:col>14</xdr:col>
          <xdr:colOff>525780</xdr:colOff>
          <xdr:row>2</xdr:row>
          <xdr:rowOff>45720</xdr:rowOff>
        </xdr:to>
        <xdr:sp macro="" textlink="">
          <xdr:nvSpPr>
            <xdr:cNvPr id="4098" name="Object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0</xdr:rowOff>
        </xdr:from>
        <xdr:to>
          <xdr:col>21</xdr:col>
          <xdr:colOff>45720</xdr:colOff>
          <xdr:row>3</xdr:row>
          <xdr:rowOff>68580</xdr:rowOff>
        </xdr:to>
        <xdr:sp macro="" textlink="">
          <xdr:nvSpPr>
            <xdr:cNvPr id="4099" name="Object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40</xdr:col>
      <xdr:colOff>591820</xdr:colOff>
      <xdr:row>6</xdr:row>
      <xdr:rowOff>182880</xdr:rowOff>
    </xdr:from>
    <xdr:to>
      <xdr:col>47</xdr:col>
      <xdr:colOff>190500</xdr:colOff>
      <xdr:row>20</xdr:row>
      <xdr:rowOff>177800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41</xdr:col>
      <xdr:colOff>12699</xdr:colOff>
      <xdr:row>21</xdr:row>
      <xdr:rowOff>187960</xdr:rowOff>
    </xdr:from>
    <xdr:to>
      <xdr:col>47</xdr:col>
      <xdr:colOff>215900</xdr:colOff>
      <xdr:row>35</xdr:row>
      <xdr:rowOff>139700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40</xdr:col>
      <xdr:colOff>596899</xdr:colOff>
      <xdr:row>36</xdr:row>
      <xdr:rowOff>170180</xdr:rowOff>
    </xdr:from>
    <xdr:to>
      <xdr:col>47</xdr:col>
      <xdr:colOff>190500</xdr:colOff>
      <xdr:row>50</xdr:row>
      <xdr:rowOff>12700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FBC%20sensstud%20v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CF+BC (1)(sig=1.2)"/>
      <sheetName val="CF+BC (1)(sig=0.6)"/>
      <sheetName val="CF+BC (1)(sig=2)"/>
      <sheetName val="CF+BC (1)(sig=3)"/>
      <sheetName val="CF+BC (1)(sig=4)"/>
      <sheetName val="CF+BC (1fixed)(sig=4)"/>
      <sheetName val="CF+BC (0.5)(sig=0.5)"/>
      <sheetName val="CF+BC (0.5)(sig=0.2)"/>
      <sheetName val="CF+BC (0.5) (sig=0)"/>
      <sheetName val="CF+BC (0.5) (sigma=0.1)"/>
      <sheetName val="CF+BC (0.5) (sigma=0.01)"/>
      <sheetName val="CF+BC (0.5)(sig=1) "/>
      <sheetName val="CF+BC (0.5)(sig=1) (good)"/>
      <sheetName val="CF+BC (0.5)(sig=2)"/>
      <sheetName val="CF+BC (0.5)(sig=3)"/>
      <sheetName val="CF+BC (0.5)(sig=1)  (4 par)"/>
      <sheetName val="CF+BC (0.1)(sig=0.1)"/>
      <sheetName val="CF+BC (0.1)(sig=0.05)"/>
      <sheetName val="CF+BC (0.1)(sig=0.025)"/>
      <sheetName val="CF+BC (0.1)(sig=0)"/>
      <sheetName val="Stochasti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5">
          <cell r="AO5">
            <v>1.5250671954470905</v>
          </cell>
        </row>
      </sheetData>
      <sheetData sheetId="17"/>
      <sheetData sheetId="18"/>
      <sheetData sheetId="19"/>
      <sheetData sheetId="20"/>
      <sheetData sheetId="21">
        <row r="14">
          <cell r="B14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w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6.bin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5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4.bin"/><Relationship Id="rId9" Type="http://schemas.openxmlformats.org/officeDocument/2006/relationships/image" Target="../media/image3.w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BU1045"/>
  <sheetViews>
    <sheetView topLeftCell="O1" workbookViewId="0">
      <selection activeCell="T8" sqref="T8"/>
    </sheetView>
  </sheetViews>
  <sheetFormatPr defaultRowHeight="14.4" x14ac:dyDescent="0.3"/>
  <cols>
    <col min="8" max="9" width="11" customWidth="1"/>
    <col min="10" max="10" width="9.109375" style="1"/>
    <col min="12" max="14" width="11.5546875" customWidth="1"/>
    <col min="15" max="15" width="10.44140625" customWidth="1"/>
    <col min="16" max="16" width="15.5546875" bestFit="1" customWidth="1"/>
    <col min="17" max="17" width="11.109375" customWidth="1"/>
    <col min="18" max="18" width="13.88671875" bestFit="1" customWidth="1"/>
    <col min="21" max="22" width="9.109375" style="1"/>
    <col min="23" max="23" width="10.33203125" style="1" customWidth="1"/>
    <col min="24" max="24" width="10.33203125" customWidth="1"/>
    <col min="25" max="25" width="12" bestFit="1" customWidth="1"/>
    <col min="28" max="28" width="17.88671875" bestFit="1" customWidth="1"/>
    <col min="29" max="29" width="9.5546875" bestFit="1" customWidth="1"/>
    <col min="30" max="32" width="9.6640625" bestFit="1" customWidth="1"/>
    <col min="33" max="33" width="14" customWidth="1"/>
    <col min="34" max="34" width="15.44140625" customWidth="1"/>
    <col min="36" max="36" width="10.5546875" bestFit="1" customWidth="1"/>
    <col min="38" max="38" width="12" bestFit="1" customWidth="1"/>
    <col min="40" max="40" width="20.109375" customWidth="1"/>
    <col min="43" max="43" width="10" customWidth="1"/>
    <col min="46" max="46" width="8.33203125" customWidth="1"/>
    <col min="47" max="47" width="6.33203125" customWidth="1"/>
    <col min="48" max="48" width="5.109375" customWidth="1"/>
    <col min="49" max="50" width="6.33203125" customWidth="1"/>
    <col min="51" max="51" width="4.5546875" customWidth="1"/>
    <col min="52" max="52" width="5.6640625" customWidth="1"/>
    <col min="53" max="53" width="6.88671875" customWidth="1"/>
    <col min="54" max="54" width="9.33203125" customWidth="1"/>
    <col min="55" max="55" width="7.44140625" customWidth="1"/>
    <col min="56" max="57" width="5.44140625" customWidth="1"/>
  </cols>
  <sheetData>
    <row r="1" spans="1:50" ht="15" x14ac:dyDescent="0.25">
      <c r="A1" t="s">
        <v>0</v>
      </c>
      <c r="AB1" s="2" t="s">
        <v>1</v>
      </c>
      <c r="AC1" s="3">
        <f>AVERAGE(AC6:AC1005)</f>
        <v>0.50035469126423238</v>
      </c>
      <c r="AD1" s="3">
        <f t="shared" ref="AD1:AL1" si="0">AVERAGE(AD6:AD1005)</f>
        <v>1.0178946441071004</v>
      </c>
      <c r="AE1" s="3">
        <f t="shared" si="0"/>
        <v>0.94855201674195522</v>
      </c>
      <c r="AF1" s="3">
        <f t="shared" si="0"/>
        <v>5.2837673867492392E-2</v>
      </c>
      <c r="AG1" s="3">
        <f t="shared" si="0"/>
        <v>119.15073681437957</v>
      </c>
      <c r="AH1" s="3">
        <f t="shared" si="0"/>
        <v>0.56077056508070211</v>
      </c>
      <c r="AI1" s="3">
        <f t="shared" si="0"/>
        <v>29.046917962860782</v>
      </c>
      <c r="AJ1" s="3">
        <f t="shared" si="0"/>
        <v>1787.3403624451682</v>
      </c>
      <c r="AK1" s="3">
        <f t="shared" si="0"/>
        <v>320</v>
      </c>
      <c r="AL1" s="3">
        <f t="shared" si="0"/>
        <v>0.3009676920950245</v>
      </c>
      <c r="AN1" s="4" t="s">
        <v>2</v>
      </c>
    </row>
    <row r="2" spans="1:50" ht="15" x14ac:dyDescent="0.25">
      <c r="A2" s="5" t="s">
        <v>3</v>
      </c>
      <c r="B2" s="5"/>
      <c r="C2" s="6" t="s">
        <v>4</v>
      </c>
      <c r="D2" s="6"/>
      <c r="F2" t="s">
        <v>5</v>
      </c>
      <c r="J2"/>
      <c r="AB2" s="2" t="s">
        <v>6</v>
      </c>
      <c r="AC2" s="1">
        <f t="shared" ref="AC2:AK2" si="1">STDEV(AC6:AC1005)</f>
        <v>5.0182937344163186E-4</v>
      </c>
      <c r="AD2" s="1">
        <f t="shared" si="1"/>
        <v>9.2170657411937446E-2</v>
      </c>
      <c r="AE2" s="7">
        <f t="shared" si="1"/>
        <v>5.9052227523226546E-3</v>
      </c>
      <c r="AF2" s="7">
        <f t="shared" si="1"/>
        <v>6.2177651845229534E-3</v>
      </c>
      <c r="AG2" s="1">
        <f t="shared" si="1"/>
        <v>6.6398221007741816</v>
      </c>
      <c r="AH2" s="1">
        <f t="shared" si="1"/>
        <v>5.2132884327719634E-2</v>
      </c>
      <c r="AI2" s="1">
        <f t="shared" si="1"/>
        <v>2.7131642551689037</v>
      </c>
      <c r="AJ2" s="1">
        <f t="shared" si="1"/>
        <v>28.479979807973017</v>
      </c>
      <c r="AK2" s="1">
        <f t="shared" si="1"/>
        <v>0</v>
      </c>
      <c r="AL2" s="1">
        <f>STDEV(AL6:AL1005)</f>
        <v>1.3902820672268572E-2</v>
      </c>
      <c r="AN2" s="3" t="s">
        <v>7</v>
      </c>
    </row>
    <row r="3" spans="1:50" ht="15" x14ac:dyDescent="0.25">
      <c r="A3" s="5" t="s">
        <v>8</v>
      </c>
      <c r="B3" s="8">
        <v>0.5</v>
      </c>
      <c r="C3" s="6" t="s">
        <v>9</v>
      </c>
      <c r="D3" s="9">
        <f>alpha_T*gamma_T+1-rho_T</f>
        <v>0.55000000000000004</v>
      </c>
      <c r="F3" s="7">
        <v>0.6</v>
      </c>
      <c r="AB3" t="b">
        <v>1</v>
      </c>
      <c r="AC3" s="7">
        <f>gamma_T</f>
        <v>0.5</v>
      </c>
      <c r="AD3" s="1">
        <f>alpha_T</f>
        <v>1</v>
      </c>
      <c r="AE3" s="7">
        <f>rho_T</f>
        <v>0.95</v>
      </c>
      <c r="AF3" s="7">
        <f>kappa_T</f>
        <v>5.1293294387550578E-2</v>
      </c>
      <c r="AG3" s="10">
        <f>Y_inf_T</f>
        <v>120.9999999999998</v>
      </c>
      <c r="AH3" s="11">
        <f>alpha_T*gamma_T+(1-rho_T)</f>
        <v>0.55000000000000004</v>
      </c>
      <c r="AJ3" s="7"/>
      <c r="AL3">
        <f>sigma_eps_T</f>
        <v>0.3</v>
      </c>
    </row>
    <row r="4" spans="1:50" ht="15" x14ac:dyDescent="0.25">
      <c r="A4" s="5" t="s">
        <v>10</v>
      </c>
      <c r="B4" s="12">
        <v>1</v>
      </c>
      <c r="C4" s="6" t="s">
        <v>11</v>
      </c>
      <c r="D4" s="6">
        <f>(alphatilde_T/(1-rho_T))^(1/gamma_T)</f>
        <v>120.9999999999998</v>
      </c>
      <c r="F4">
        <v>1</v>
      </c>
      <c r="Z4" s="13" t="s">
        <v>12</v>
      </c>
      <c r="AA4" s="14"/>
      <c r="AB4" s="15" t="s">
        <v>13</v>
      </c>
      <c r="AC4" s="16" t="s">
        <v>8</v>
      </c>
      <c r="AD4" s="16" t="s">
        <v>10</v>
      </c>
      <c r="AE4" s="16" t="s">
        <v>14</v>
      </c>
      <c r="AF4" s="16" t="s">
        <v>15</v>
      </c>
      <c r="AG4" s="17" t="s">
        <v>11</v>
      </c>
      <c r="AH4" s="16" t="s">
        <v>9</v>
      </c>
      <c r="AI4" s="16" t="s">
        <v>16</v>
      </c>
      <c r="AJ4" s="16" t="s">
        <v>17</v>
      </c>
      <c r="AK4" s="16" t="s">
        <v>18</v>
      </c>
      <c r="AL4" s="16" t="s">
        <v>19</v>
      </c>
      <c r="AM4" s="16" t="s">
        <v>20</v>
      </c>
      <c r="AO4" s="13" t="s">
        <v>12</v>
      </c>
      <c r="AP4" s="14"/>
    </row>
    <row r="5" spans="1:50" ht="40.5" customHeight="1" x14ac:dyDescent="0.25">
      <c r="A5" s="5" t="s">
        <v>14</v>
      </c>
      <c r="B5" s="8">
        <v>0.95</v>
      </c>
      <c r="C5" s="6" t="s">
        <v>21</v>
      </c>
      <c r="D5" s="18">
        <f>-LN(B5)</f>
        <v>5.1293294387550578E-2</v>
      </c>
      <c r="F5">
        <v>0.93</v>
      </c>
      <c r="G5" t="s">
        <v>14</v>
      </c>
      <c r="Z5" s="13" t="s">
        <v>12</v>
      </c>
      <c r="AA5" s="19"/>
      <c r="AB5" s="15" t="s">
        <v>22</v>
      </c>
      <c r="AC5" s="7">
        <v>0.50002814527771011</v>
      </c>
      <c r="AD5">
        <v>0.96606484070830712</v>
      </c>
      <c r="AE5">
        <v>0.95355183522272691</v>
      </c>
      <c r="AF5" s="20">
        <f>-LN(rho)</f>
        <v>4.7561492312071178E-2</v>
      </c>
      <c r="AG5" s="10">
        <f>(alphatilde/(1-rho))^(1/gamma)</f>
        <v>129.92376111078232</v>
      </c>
      <c r="AH5" s="11">
        <f>alpha*gamma+(1-rho)</f>
        <v>0.52950777529465443</v>
      </c>
      <c r="AI5" s="21">
        <f t="array" ref="AI5">SUM(W8:W327/V8:V327)</f>
        <v>32.590771710429827</v>
      </c>
      <c r="AJ5" s="22" t="e">
        <f>n*(LN(2*PI()*sig_eps^2)+1)+SUM(LN(V8:V327))-2*(gamma-1)*SUM(LN(P8:P327))</f>
        <v>#VALUE!</v>
      </c>
      <c r="AK5" s="15">
        <f>COUNT(P8:P327)</f>
        <v>320</v>
      </c>
      <c r="AL5" s="7">
        <f>SQRT(AI5/n)</f>
        <v>0.31913345420856964</v>
      </c>
      <c r="AM5">
        <f t="array" ref="AM5">SUM(1/V8:V327)</f>
        <v>300.62933571353977</v>
      </c>
      <c r="AN5">
        <f>SQRT(AI5/AM5)</f>
        <v>0.32925444252800468</v>
      </c>
      <c r="AO5" s="13" t="s">
        <v>12</v>
      </c>
      <c r="AP5" s="19"/>
    </row>
    <row r="6" spans="1:50" ht="18" customHeight="1" x14ac:dyDescent="0.25">
      <c r="A6" s="5" t="s">
        <v>19</v>
      </c>
      <c r="B6" s="5">
        <v>0.3</v>
      </c>
      <c r="C6" s="6" t="s">
        <v>23</v>
      </c>
      <c r="D6" s="6">
        <f>alpha_T/(1-rho_T)</f>
        <v>19.999999999999982</v>
      </c>
      <c r="H6" s="23" t="s">
        <v>24</v>
      </c>
      <c r="I6" s="23"/>
      <c r="J6" s="24"/>
      <c r="K6" s="25"/>
      <c r="L6" s="26" t="s">
        <v>25</v>
      </c>
      <c r="M6" s="25"/>
      <c r="N6" s="27" t="s">
        <v>26</v>
      </c>
      <c r="O6" s="28"/>
      <c r="P6" s="28" t="s">
        <v>27</v>
      </c>
      <c r="Q6" s="29"/>
      <c r="R6" s="29" t="s">
        <v>28</v>
      </c>
      <c r="S6" s="30" t="s">
        <v>29</v>
      </c>
      <c r="T6" s="30"/>
      <c r="U6" s="31"/>
      <c r="V6" s="31"/>
      <c r="W6" s="31"/>
      <c r="X6" s="30"/>
      <c r="Y6" s="30"/>
      <c r="AB6">
        <v>1</v>
      </c>
      <c r="AC6" s="7">
        <v>0.50044295725926524</v>
      </c>
      <c r="AD6">
        <v>0.95217618174373164</v>
      </c>
      <c r="AE6">
        <v>0.95389128404225798</v>
      </c>
      <c r="AF6" s="7">
        <v>4.720557205454308E-2</v>
      </c>
      <c r="AG6" s="10">
        <v>127.91959306131757</v>
      </c>
      <c r="AH6" s="1">
        <v>0.52261858018141072</v>
      </c>
      <c r="AI6" s="10">
        <v>29.503106322092115</v>
      </c>
      <c r="AJ6" s="32">
        <v>1798.7812987000327</v>
      </c>
      <c r="AK6">
        <v>320</v>
      </c>
      <c r="AL6" s="7">
        <v>0.30363993027356906</v>
      </c>
    </row>
    <row r="7" spans="1:50" s="2" customFormat="1" ht="17.25" customHeight="1" x14ac:dyDescent="0.25">
      <c r="A7" s="2" t="s">
        <v>30</v>
      </c>
      <c r="B7" s="2" t="s">
        <v>31</v>
      </c>
      <c r="C7" s="2" t="s">
        <v>32</v>
      </c>
      <c r="D7" s="2" t="s">
        <v>33</v>
      </c>
      <c r="E7" s="2" t="s">
        <v>34</v>
      </c>
      <c r="F7" s="2" t="s">
        <v>35</v>
      </c>
      <c r="G7" s="2" t="s">
        <v>36</v>
      </c>
      <c r="H7" s="33" t="s">
        <v>37</v>
      </c>
      <c r="I7" s="33" t="s">
        <v>38</v>
      </c>
      <c r="J7" s="34" t="s">
        <v>39</v>
      </c>
      <c r="K7" s="33" t="s">
        <v>40</v>
      </c>
      <c r="L7" s="26" t="s">
        <v>41</v>
      </c>
      <c r="M7" s="26" t="s">
        <v>42</v>
      </c>
      <c r="N7" s="28" t="s">
        <v>43</v>
      </c>
      <c r="O7" s="28" t="s">
        <v>44</v>
      </c>
      <c r="P7" s="28" t="s">
        <v>45</v>
      </c>
      <c r="Q7" s="35" t="s">
        <v>46</v>
      </c>
      <c r="R7" s="36" t="s">
        <v>47</v>
      </c>
      <c r="S7" s="37" t="s">
        <v>38</v>
      </c>
      <c r="T7" s="37" t="s">
        <v>48</v>
      </c>
      <c r="U7" s="38" t="s">
        <v>49</v>
      </c>
      <c r="V7" s="38" t="s">
        <v>50</v>
      </c>
      <c r="W7" s="38" t="s">
        <v>51</v>
      </c>
      <c r="X7" s="37" t="s">
        <v>52</v>
      </c>
      <c r="Y7" s="37" t="s">
        <v>53</v>
      </c>
      <c r="Z7"/>
      <c r="AA7"/>
      <c r="AB7">
        <v>2</v>
      </c>
      <c r="AC7" s="7">
        <v>0.50037184844202942</v>
      </c>
      <c r="AD7">
        <v>0.97046969260635974</v>
      </c>
      <c r="AE7">
        <v>0.95214324530904459</v>
      </c>
      <c r="AF7" s="7">
        <v>4.9039787748308486E-2</v>
      </c>
      <c r="AG7" s="10">
        <v>123.8079688904055</v>
      </c>
      <c r="AH7" s="1">
        <v>0.53345246863736773</v>
      </c>
      <c r="AI7" s="10">
        <v>23.876051391728424</v>
      </c>
      <c r="AJ7" s="32">
        <v>1729.1042286922202</v>
      </c>
      <c r="AK7">
        <v>320</v>
      </c>
      <c r="AL7" s="7">
        <v>0.27315318156512713</v>
      </c>
      <c r="AM7"/>
      <c r="AN7" s="10"/>
      <c r="AO7"/>
      <c r="AP7"/>
      <c r="AQ7"/>
      <c r="AR7"/>
      <c r="AS7"/>
    </row>
    <row r="8" spans="1:50" ht="15" x14ac:dyDescent="0.25">
      <c r="A8">
        <v>77127</v>
      </c>
      <c r="B8">
        <v>2</v>
      </c>
      <c r="C8">
        <v>8</v>
      </c>
      <c r="D8">
        <v>1982</v>
      </c>
      <c r="E8">
        <v>1</v>
      </c>
      <c r="F8">
        <v>5</v>
      </c>
      <c r="G8">
        <v>1984</v>
      </c>
      <c r="H8">
        <v>73</v>
      </c>
      <c r="I8" s="32">
        <f t="shared" ref="I8:I71" si="2">(H8^gamma_T-1)/gamma_T</f>
        <v>15.088007490635061</v>
      </c>
      <c r="J8" s="1">
        <v>1.74794520547945</v>
      </c>
      <c r="K8" s="32">
        <f t="shared" ref="K8:K71" si="3">alpha_T*(1-rho_T^J8)/(1-rho_T)+I8*rho_T^J8</f>
        <v>15.509240694202141</v>
      </c>
      <c r="L8" s="32">
        <f>(gamma_T*K8+1)^(1/gamma_T)</f>
        <v>76.643377421876068</v>
      </c>
      <c r="M8" s="32">
        <f t="shared" ref="M8:M71" si="4">sigma_eps_T^2*(1-rho_T^(2*J8))/(1-rho_T^2)</f>
        <v>0.15153050553307132</v>
      </c>
      <c r="N8">
        <v>0.5680158210452646</v>
      </c>
      <c r="O8" s="32">
        <f>K8+N8*SQRT(M8)</f>
        <v>15.730351755138658</v>
      </c>
      <c r="P8" s="32">
        <f t="shared" ref="P8:P71" si="5">(gamma_T*O8+1)^(1/gamma_T)</f>
        <v>78.591343340237103</v>
      </c>
      <c r="Q8">
        <v>29</v>
      </c>
      <c r="R8">
        <v>102</v>
      </c>
      <c r="S8" s="32">
        <f t="shared" ref="S8:S14" si="6">(H8^gamma-1)/gamma</f>
        <v>15.089221716937686</v>
      </c>
      <c r="T8" s="1">
        <f>O8</f>
        <v>15.730351755138658</v>
      </c>
      <c r="U8" s="1">
        <f t="shared" ref="U8:U71" si="7">alpha*(1-rho^J8)/(1-rho)+(rho^J8)*S8</f>
        <v>15.544689666962185</v>
      </c>
      <c r="V8" s="1">
        <f t="shared" ref="V8:V71" si="8">(1-rho^(2*J8))/(1-rho^2)</f>
        <v>1.688165081195504</v>
      </c>
      <c r="W8" s="1">
        <f>(T8-U8)^2</f>
        <v>3.4470410986048437E-2</v>
      </c>
      <c r="X8" s="1">
        <f>T8-U8</f>
        <v>0.18566208817647301</v>
      </c>
      <c r="Y8" s="39">
        <f t="shared" ref="Y8:Y71" si="9">(U8*gamma+1)^(1/gamma)</f>
        <v>76.942897243407302</v>
      </c>
      <c r="AB8">
        <v>3</v>
      </c>
      <c r="AC8" s="7">
        <v>0.50056426251662522</v>
      </c>
      <c r="AD8">
        <v>1.056223483446276</v>
      </c>
      <c r="AE8">
        <v>0.94615449483901337</v>
      </c>
      <c r="AF8" s="7">
        <v>5.5349409481190694E-2</v>
      </c>
      <c r="AG8" s="10">
        <v>116.42352521760215</v>
      </c>
      <c r="AH8" s="1">
        <v>0.5825532342050127</v>
      </c>
      <c r="AI8" s="10">
        <v>27.66897059091006</v>
      </c>
      <c r="AJ8" s="32">
        <v>1771.4207942571957</v>
      </c>
      <c r="AK8">
        <v>320</v>
      </c>
      <c r="AL8" s="7">
        <v>0.29405022206520087</v>
      </c>
      <c r="AX8" s="32"/>
    </row>
    <row r="9" spans="1:50" ht="15" x14ac:dyDescent="0.25">
      <c r="A9">
        <v>79449</v>
      </c>
      <c r="B9">
        <v>4</v>
      </c>
      <c r="C9">
        <v>9</v>
      </c>
      <c r="D9">
        <v>1982</v>
      </c>
      <c r="E9">
        <v>9</v>
      </c>
      <c r="F9">
        <v>5</v>
      </c>
      <c r="G9">
        <v>1986</v>
      </c>
      <c r="H9">
        <v>65</v>
      </c>
      <c r="I9" s="32">
        <f t="shared" si="2"/>
        <v>14.124515496597098</v>
      </c>
      <c r="J9" s="1">
        <v>3.67945205479452</v>
      </c>
      <c r="K9" s="32">
        <f t="shared" si="3"/>
        <v>15.135045768611194</v>
      </c>
      <c r="L9" s="32">
        <f t="shared" ref="L9:L71" si="10">(gamma_T*K9+1)^(1/gamma_T)</f>
        <v>73.402448373100086</v>
      </c>
      <c r="M9" s="32">
        <f t="shared" si="4"/>
        <v>0.29021634856677753</v>
      </c>
      <c r="N9">
        <v>-0.60968659454374574</v>
      </c>
      <c r="O9" s="32">
        <f t="shared" ref="O9:O72" si="11">K9+N9*SQRT(M9)</f>
        <v>14.80659704166084</v>
      </c>
      <c r="P9" s="32">
        <f t="shared" si="5"/>
        <v>70.615426030190719</v>
      </c>
      <c r="Q9">
        <v>23</v>
      </c>
      <c r="R9">
        <v>88</v>
      </c>
      <c r="S9" s="1">
        <f t="shared" si="6"/>
        <v>14.125614927041669</v>
      </c>
      <c r="T9" s="1">
        <f t="shared" ref="T9:T72" si="12">O9</f>
        <v>14.80659704166084</v>
      </c>
      <c r="U9" s="1">
        <f t="shared" si="7"/>
        <v>15.196944914936692</v>
      </c>
      <c r="V9" s="1">
        <f t="shared" si="8"/>
        <v>3.2545274772135073</v>
      </c>
      <c r="W9" s="1">
        <f t="shared" ref="W9:W72" si="13">(T9-U9)^2</f>
        <v>0.15237146217098049</v>
      </c>
      <c r="X9" s="1">
        <f t="shared" ref="X9:X72" si="14">T9-U9</f>
        <v>-0.39034787327585185</v>
      </c>
      <c r="Y9" s="39">
        <f t="shared" si="9"/>
        <v>73.923176478749141</v>
      </c>
      <c r="AB9">
        <v>4</v>
      </c>
      <c r="AC9" s="7">
        <v>0.49936906036508505</v>
      </c>
      <c r="AD9">
        <v>0.95004122488144005</v>
      </c>
      <c r="AE9">
        <v>0.95400777493425626</v>
      </c>
      <c r="AF9" s="7">
        <v>4.708345774079576E-2</v>
      </c>
      <c r="AG9" s="10">
        <v>128.82219188805948</v>
      </c>
      <c r="AH9" s="1">
        <v>0.52041341884288284</v>
      </c>
      <c r="AI9" s="10">
        <v>25.330978971043965</v>
      </c>
      <c r="AJ9" s="32">
        <v>1751.6227650619173</v>
      </c>
      <c r="AK9">
        <v>320</v>
      </c>
      <c r="AL9" s="7">
        <v>0.28135264222059903</v>
      </c>
      <c r="AX9" s="7"/>
    </row>
    <row r="10" spans="1:50" ht="15" x14ac:dyDescent="0.25">
      <c r="A10">
        <v>76645</v>
      </c>
      <c r="B10">
        <v>30</v>
      </c>
      <c r="C10">
        <v>7</v>
      </c>
      <c r="D10">
        <v>1982</v>
      </c>
      <c r="E10">
        <v>21</v>
      </c>
      <c r="F10">
        <v>8</v>
      </c>
      <c r="G10">
        <v>1984</v>
      </c>
      <c r="H10">
        <v>55</v>
      </c>
      <c r="I10" s="32">
        <f t="shared" si="2"/>
        <v>12.832396974191326</v>
      </c>
      <c r="J10" s="1">
        <v>2.0630136986301402</v>
      </c>
      <c r="K10" s="32">
        <f t="shared" si="3"/>
        <v>13.55211271959001</v>
      </c>
      <c r="L10" s="32">
        <f t="shared" si="10"/>
        <v>60.467052510708342</v>
      </c>
      <c r="M10" s="32">
        <f t="shared" si="4"/>
        <v>0.17606956640764954</v>
      </c>
      <c r="N10">
        <v>-1.3123644748702645</v>
      </c>
      <c r="O10" s="32">
        <f t="shared" si="11"/>
        <v>13.001436131307578</v>
      </c>
      <c r="P10" s="32">
        <f t="shared" si="5"/>
        <v>56.260771500425122</v>
      </c>
      <c r="Q10">
        <v>9</v>
      </c>
      <c r="R10">
        <v>64</v>
      </c>
      <c r="S10" s="1">
        <f t="shared" si="6"/>
        <v>12.833347581326695</v>
      </c>
      <c r="T10" s="1">
        <f t="shared" si="12"/>
        <v>13.001436131307578</v>
      </c>
      <c r="U10" s="1">
        <f t="shared" si="7"/>
        <v>13.577795429496236</v>
      </c>
      <c r="V10" s="1">
        <f t="shared" si="8"/>
        <v>1.9637117721410939</v>
      </c>
      <c r="W10" s="1">
        <f t="shared" si="13"/>
        <v>0.3321900406085222</v>
      </c>
      <c r="X10" s="1">
        <f t="shared" si="14"/>
        <v>-0.57635929818865783</v>
      </c>
      <c r="Y10" s="39">
        <f t="shared" si="9"/>
        <v>60.658861688297627</v>
      </c>
      <c r="AB10">
        <v>5</v>
      </c>
      <c r="AC10" s="7">
        <v>0.50019428207719929</v>
      </c>
      <c r="AD10">
        <v>1.0820387857162472</v>
      </c>
      <c r="AE10">
        <v>0.94403456006443587</v>
      </c>
      <c r="AF10" s="7">
        <v>5.7592503269024903E-2</v>
      </c>
      <c r="AG10" s="10">
        <v>113.65638265447757</v>
      </c>
      <c r="AH10" s="1">
        <v>0.59719505353658686</v>
      </c>
      <c r="AI10" s="10">
        <v>34.875736598863753</v>
      </c>
      <c r="AJ10" s="32">
        <v>1843.9463135979342</v>
      </c>
      <c r="AK10">
        <v>320</v>
      </c>
      <c r="AL10" s="7">
        <v>0.33013130247137912</v>
      </c>
    </row>
    <row r="11" spans="1:50" ht="15" x14ac:dyDescent="0.25">
      <c r="A11">
        <v>76727</v>
      </c>
      <c r="B11">
        <v>30</v>
      </c>
      <c r="C11">
        <v>7</v>
      </c>
      <c r="D11">
        <v>1982</v>
      </c>
      <c r="E11">
        <v>20</v>
      </c>
      <c r="F11">
        <v>6</v>
      </c>
      <c r="G11">
        <v>1987</v>
      </c>
      <c r="H11">
        <v>67</v>
      </c>
      <c r="I11" s="32">
        <f t="shared" si="2"/>
        <v>14.370705543744901</v>
      </c>
      <c r="J11" s="1">
        <v>4.8931506849315101</v>
      </c>
      <c r="K11" s="32">
        <f t="shared" si="3"/>
        <v>15.620220865827307</v>
      </c>
      <c r="L11" s="32">
        <f t="shared" si="10"/>
        <v>77.618045840134002</v>
      </c>
      <c r="M11" s="32">
        <f t="shared" si="4"/>
        <v>0.36430524972126055</v>
      </c>
      <c r="N11">
        <v>-0.45276806304173078</v>
      </c>
      <c r="O11" s="32">
        <f t="shared" si="11"/>
        <v>15.346940456089799</v>
      </c>
      <c r="P11" s="32">
        <f t="shared" si="5"/>
        <v>75.22908579678122</v>
      </c>
      <c r="Q11">
        <v>25</v>
      </c>
      <c r="R11">
        <v>92</v>
      </c>
      <c r="S11" s="1">
        <f t="shared" si="6"/>
        <v>14.371834005854058</v>
      </c>
      <c r="T11" s="1">
        <f t="shared" si="12"/>
        <v>15.346940456089799</v>
      </c>
      <c r="U11" s="1">
        <f t="shared" si="7"/>
        <v>15.706252875299571</v>
      </c>
      <c r="V11" s="1">
        <f t="shared" si="8"/>
        <v>4.101308160863649</v>
      </c>
      <c r="W11" s="1">
        <f t="shared" si="13"/>
        <v>0.12910541459837882</v>
      </c>
      <c r="X11" s="1">
        <f t="shared" si="14"/>
        <v>-0.35931241920977186</v>
      </c>
      <c r="Y11" s="39">
        <f t="shared" si="9"/>
        <v>78.366433343452044</v>
      </c>
      <c r="AB11">
        <v>6</v>
      </c>
      <c r="AC11" s="7">
        <v>0.50028690907381179</v>
      </c>
      <c r="AD11">
        <v>1.1777036838798529</v>
      </c>
      <c r="AE11">
        <v>0.93774151887719281</v>
      </c>
      <c r="AF11" s="7">
        <v>6.4280934180267826E-2</v>
      </c>
      <c r="AG11" s="10">
        <v>109.19259935872179</v>
      </c>
      <c r="AH11" s="1">
        <v>0.65144821693590038</v>
      </c>
      <c r="AI11" s="10">
        <v>34.389854380907309</v>
      </c>
      <c r="AJ11" s="32">
        <v>1835.2040154552321</v>
      </c>
      <c r="AK11">
        <v>320</v>
      </c>
      <c r="AL11" s="7">
        <v>0.32782357288690411</v>
      </c>
      <c r="AX11" s="7"/>
    </row>
    <row r="12" spans="1:50" ht="15" x14ac:dyDescent="0.25">
      <c r="A12">
        <v>20664</v>
      </c>
      <c r="B12">
        <v>23</v>
      </c>
      <c r="C12">
        <v>1</v>
      </c>
      <c r="D12">
        <v>1982</v>
      </c>
      <c r="E12">
        <v>5</v>
      </c>
      <c r="F12">
        <v>5</v>
      </c>
      <c r="G12">
        <v>1986</v>
      </c>
      <c r="H12">
        <v>78</v>
      </c>
      <c r="I12" s="32">
        <f t="shared" si="2"/>
        <v>15.663521732655695</v>
      </c>
      <c r="J12" s="1">
        <v>4.2821917808219201</v>
      </c>
      <c r="K12" s="32">
        <f t="shared" si="3"/>
        <v>16.518668498691891</v>
      </c>
      <c r="L12" s="32">
        <f t="shared" si="10"/>
        <v>85.735270741110853</v>
      </c>
      <c r="M12" s="32">
        <f t="shared" si="4"/>
        <v>0.32816276438395092</v>
      </c>
      <c r="N12">
        <v>-7.9944584285840392E-3</v>
      </c>
      <c r="O12" s="32">
        <f t="shared" si="11"/>
        <v>16.514088833813343</v>
      </c>
      <c r="P12" s="32">
        <f t="shared" si="5"/>
        <v>85.692871336582982</v>
      </c>
      <c r="Q12">
        <v>48</v>
      </c>
      <c r="R12">
        <v>126</v>
      </c>
      <c r="S12" s="1">
        <f t="shared" si="6"/>
        <v>15.664805999633327</v>
      </c>
      <c r="T12" s="1">
        <f t="shared" si="12"/>
        <v>16.514088833813343</v>
      </c>
      <c r="U12" s="1">
        <f t="shared" si="7"/>
        <v>16.610823568415107</v>
      </c>
      <c r="V12" s="1">
        <f t="shared" si="8"/>
        <v>3.6872684262307525</v>
      </c>
      <c r="W12" s="1">
        <f t="shared" si="13"/>
        <v>9.3576088784737103E-3</v>
      </c>
      <c r="X12" s="1">
        <f t="shared" si="14"/>
        <v>-9.6734734601763961E-2</v>
      </c>
      <c r="Y12" s="39">
        <f t="shared" si="9"/>
        <v>86.577645921249513</v>
      </c>
      <c r="AB12">
        <v>7</v>
      </c>
      <c r="AC12" s="7">
        <v>0.49983813740860861</v>
      </c>
      <c r="AD12">
        <v>0.77318403924727308</v>
      </c>
      <c r="AE12">
        <v>0.96396974200845464</v>
      </c>
      <c r="AF12" s="7">
        <v>3.6695372822238302E-2</v>
      </c>
      <c r="AG12" s="10">
        <v>137.72260490736431</v>
      </c>
      <c r="AH12" s="1">
        <v>0.42249712804296685</v>
      </c>
      <c r="AI12" s="10">
        <v>28.43319519117431</v>
      </c>
      <c r="AJ12" s="32">
        <v>1791.9086972174334</v>
      </c>
      <c r="AK12">
        <v>320</v>
      </c>
      <c r="AL12" s="7">
        <v>0.29808343625974881</v>
      </c>
      <c r="AX12" s="10"/>
    </row>
    <row r="13" spans="1:50" x14ac:dyDescent="0.3">
      <c r="A13">
        <v>78886</v>
      </c>
      <c r="B13">
        <v>27</v>
      </c>
      <c r="C13">
        <v>7</v>
      </c>
      <c r="D13">
        <v>1982</v>
      </c>
      <c r="E13">
        <v>29</v>
      </c>
      <c r="F13">
        <v>4</v>
      </c>
      <c r="G13">
        <v>1984</v>
      </c>
      <c r="H13">
        <v>84</v>
      </c>
      <c r="I13" s="32">
        <f t="shared" si="2"/>
        <v>16.330302779823359</v>
      </c>
      <c r="J13" s="1">
        <v>1.7589041095890401</v>
      </c>
      <c r="K13" s="32">
        <f t="shared" si="3"/>
        <v>16.646886990018416</v>
      </c>
      <c r="L13" s="32">
        <f t="shared" si="10"/>
        <v>86.926598604629518</v>
      </c>
      <c r="M13" s="32">
        <f t="shared" si="4"/>
        <v>0.15239741884688821</v>
      </c>
      <c r="N13">
        <v>2.2372660168912262</v>
      </c>
      <c r="O13" s="32">
        <f t="shared" si="11"/>
        <v>17.520273403414404</v>
      </c>
      <c r="P13" s="32">
        <f t="shared" si="5"/>
        <v>95.260268436011941</v>
      </c>
      <c r="Q13">
        <v>11</v>
      </c>
      <c r="R13">
        <v>95</v>
      </c>
      <c r="S13" s="1">
        <f t="shared" si="6"/>
        <v>16.331669512789063</v>
      </c>
      <c r="T13" s="1">
        <f t="shared" si="12"/>
        <v>17.520273403414404</v>
      </c>
      <c r="U13" s="1">
        <f t="shared" si="7"/>
        <v>16.690165749194197</v>
      </c>
      <c r="V13" s="1">
        <f t="shared" si="8"/>
        <v>1.697888583275442</v>
      </c>
      <c r="W13" s="1">
        <f t="shared" si="13"/>
        <v>0.68907871759497441</v>
      </c>
      <c r="X13" s="1">
        <f t="shared" si="14"/>
        <v>0.83010765422020683</v>
      </c>
      <c r="Y13" s="39">
        <f t="shared" si="9"/>
        <v>87.317382603643949</v>
      </c>
      <c r="AB13">
        <v>8</v>
      </c>
      <c r="AC13" s="7">
        <v>0.50065439295901115</v>
      </c>
      <c r="AD13">
        <v>1.0276178509987683</v>
      </c>
      <c r="AE13">
        <v>0.94836105730550901</v>
      </c>
      <c r="AF13" s="7">
        <v>5.301998710007573E-2</v>
      </c>
      <c r="AG13" s="10">
        <v>119.43848563929474</v>
      </c>
      <c r="AH13" s="1">
        <v>0.56612033408012297</v>
      </c>
      <c r="AI13" s="10">
        <v>36.876168018229606</v>
      </c>
      <c r="AJ13" s="32">
        <v>1865.0638426582282</v>
      </c>
      <c r="AK13">
        <v>320</v>
      </c>
      <c r="AL13" s="7">
        <v>0.33946726654711129</v>
      </c>
    </row>
    <row r="14" spans="1:50" x14ac:dyDescent="0.3">
      <c r="A14">
        <v>78771</v>
      </c>
      <c r="B14">
        <v>25</v>
      </c>
      <c r="C14">
        <v>7</v>
      </c>
      <c r="D14">
        <v>1982</v>
      </c>
      <c r="E14">
        <v>5</v>
      </c>
      <c r="F14">
        <v>6</v>
      </c>
      <c r="G14">
        <v>1983</v>
      </c>
      <c r="H14">
        <v>72</v>
      </c>
      <c r="I14" s="32">
        <f t="shared" si="2"/>
        <v>14.970562748477139</v>
      </c>
      <c r="J14" s="1">
        <v>0.86301369863013699</v>
      </c>
      <c r="K14" s="32">
        <f t="shared" si="3"/>
        <v>15.188344114934392</v>
      </c>
      <c r="L14" s="32">
        <f t="shared" si="10"/>
        <v>73.859793353349929</v>
      </c>
      <c r="M14" s="32">
        <f t="shared" si="4"/>
        <v>7.8210158473224323E-2</v>
      </c>
      <c r="N14">
        <v>-0.78772018241579644</v>
      </c>
      <c r="O14" s="32">
        <f t="shared" si="11"/>
        <v>14.968049664998894</v>
      </c>
      <c r="P14" s="32">
        <f t="shared" si="5"/>
        <v>71.978677358467266</v>
      </c>
      <c r="Q14">
        <v>0</v>
      </c>
      <c r="R14">
        <v>72</v>
      </c>
      <c r="S14" s="1">
        <f t="shared" si="6"/>
        <v>14.971762814519451</v>
      </c>
      <c r="T14" s="1">
        <f t="shared" si="12"/>
        <v>14.968049664998894</v>
      </c>
      <c r="U14" s="1">
        <f t="shared" si="7"/>
        <v>15.206097384053354</v>
      </c>
      <c r="V14" s="1">
        <f t="shared" si="8"/>
        <v>0.86857126064066814</v>
      </c>
      <c r="W14" s="1">
        <f t="shared" si="13"/>
        <v>5.6666716547031266E-2</v>
      </c>
      <c r="X14" s="1">
        <f t="shared" si="14"/>
        <v>-0.23804771905446032</v>
      </c>
      <c r="Y14" s="39">
        <f t="shared" si="9"/>
        <v>74.001879522084565</v>
      </c>
      <c r="AB14">
        <v>9</v>
      </c>
      <c r="AC14" s="7">
        <v>0.5000809352544856</v>
      </c>
      <c r="AD14">
        <v>0.99224286663029804</v>
      </c>
      <c r="AE14">
        <v>0.95064105082682415</v>
      </c>
      <c r="AF14" s="7">
        <v>5.0618731612160982E-2</v>
      </c>
      <c r="AG14" s="10">
        <v>122.07214270742153</v>
      </c>
      <c r="AH14" s="1">
        <v>0.54556068991724715</v>
      </c>
      <c r="AI14" s="10">
        <v>29.332935291995103</v>
      </c>
      <c r="AJ14" s="32">
        <v>1794.1700543313318</v>
      </c>
      <c r="AK14">
        <v>320</v>
      </c>
      <c r="AL14" s="7">
        <v>0.30276298120391915</v>
      </c>
      <c r="AX14" s="1"/>
    </row>
    <row r="15" spans="1:50" x14ac:dyDescent="0.3">
      <c r="A15">
        <v>76971</v>
      </c>
      <c r="B15">
        <v>31</v>
      </c>
      <c r="C15">
        <v>7</v>
      </c>
      <c r="D15">
        <v>1982</v>
      </c>
      <c r="E15">
        <v>2</v>
      </c>
      <c r="F15">
        <v>11</v>
      </c>
      <c r="G15">
        <v>1984</v>
      </c>
      <c r="H15">
        <v>57</v>
      </c>
      <c r="I15" s="32">
        <f t="shared" si="2"/>
        <v>13.0996688705415</v>
      </c>
      <c r="J15" s="1">
        <v>2.2602739726027399</v>
      </c>
      <c r="K15" s="32">
        <f t="shared" si="3"/>
        <v>13.855038351211803</v>
      </c>
      <c r="L15" s="32">
        <f t="shared" si="10"/>
        <v>62.845560279599276</v>
      </c>
      <c r="M15" s="32">
        <f t="shared" si="4"/>
        <v>0.19103427492837172</v>
      </c>
      <c r="N15">
        <v>0.80304516814067028</v>
      </c>
      <c r="O15" s="32">
        <f t="shared" si="11"/>
        <v>14.206029060212499</v>
      </c>
      <c r="P15" s="32">
        <f t="shared" si="5"/>
        <v>65.658844475113014</v>
      </c>
      <c r="Q15">
        <v>12</v>
      </c>
      <c r="R15">
        <v>69</v>
      </c>
      <c r="S15" s="1">
        <f t="shared" ref="S15" si="15">(H15^gamma-1)/gamma</f>
        <v>13.100649759066076</v>
      </c>
      <c r="T15" s="1">
        <f t="shared" si="12"/>
        <v>14.206029060212499</v>
      </c>
      <c r="U15" s="1">
        <f t="shared" si="7"/>
        <v>13.88528311079839</v>
      </c>
      <c r="V15" s="1">
        <f t="shared" si="8"/>
        <v>2.1320712101970734</v>
      </c>
      <c r="W15" s="1">
        <f t="shared" si="13"/>
        <v>0.10287796406555799</v>
      </c>
      <c r="X15" s="1">
        <f t="shared" si="14"/>
        <v>0.32074594941410872</v>
      </c>
      <c r="Y15" s="39">
        <f t="shared" si="9"/>
        <v>63.077046236493189</v>
      </c>
      <c r="AB15">
        <v>10</v>
      </c>
      <c r="AC15" s="7">
        <v>0.49979405383290282</v>
      </c>
      <c r="AD15">
        <v>0.98854844382576135</v>
      </c>
      <c r="AE15">
        <v>0.95055296802163736</v>
      </c>
      <c r="AF15" s="7">
        <v>5.071139212379374E-2</v>
      </c>
      <c r="AG15" s="10">
        <v>121.06116419796629</v>
      </c>
      <c r="AH15" s="1">
        <v>0.54351766612824748</v>
      </c>
      <c r="AI15" s="10">
        <v>26.045281640289762</v>
      </c>
      <c r="AJ15" s="32">
        <v>1756.0359294555949</v>
      </c>
      <c r="AK15">
        <v>320</v>
      </c>
      <c r="AL15" s="7">
        <v>0.28529196470616819</v>
      </c>
      <c r="AX15" s="32"/>
    </row>
    <row r="16" spans="1:50" x14ac:dyDescent="0.3">
      <c r="A16">
        <v>76964</v>
      </c>
      <c r="B16">
        <v>31</v>
      </c>
      <c r="C16">
        <v>7</v>
      </c>
      <c r="D16">
        <v>1982</v>
      </c>
      <c r="E16">
        <v>7</v>
      </c>
      <c r="F16">
        <v>5</v>
      </c>
      <c r="G16">
        <v>1986</v>
      </c>
      <c r="H16">
        <v>63</v>
      </c>
      <c r="I16" s="32">
        <f t="shared" si="2"/>
        <v>13.874507866387544</v>
      </c>
      <c r="J16" s="1">
        <v>3.7698630136986302</v>
      </c>
      <c r="K16" s="32">
        <f t="shared" si="3"/>
        <v>14.951503843303929</v>
      </c>
      <c r="L16" s="32">
        <f t="shared" si="10"/>
        <v>71.838370637386973</v>
      </c>
      <c r="M16" s="32">
        <f t="shared" si="4"/>
        <v>0.29605896306247759</v>
      </c>
      <c r="N16">
        <v>0.59464582591317594</v>
      </c>
      <c r="O16" s="32">
        <f t="shared" si="11"/>
        <v>15.275058371018007</v>
      </c>
      <c r="P16" s="32">
        <f t="shared" si="5"/>
        <v>74.606910430519818</v>
      </c>
      <c r="Q16">
        <v>18</v>
      </c>
      <c r="R16">
        <v>81</v>
      </c>
      <c r="S16" s="1">
        <f t="shared" ref="S16:S28" si="16">(H16^gamma-1)/gamma</f>
        <v>13.8755780315691</v>
      </c>
      <c r="T16" s="1">
        <f t="shared" si="12"/>
        <v>15.275058371018007</v>
      </c>
      <c r="U16" s="1">
        <f t="shared" si="7"/>
        <v>15.011986957730256</v>
      </c>
      <c r="V16" s="1">
        <f t="shared" si="8"/>
        <v>3.3210308411634917</v>
      </c>
      <c r="W16" s="1">
        <f t="shared" si="13"/>
        <v>6.9206568489214554E-2</v>
      </c>
      <c r="X16" s="1">
        <f t="shared" si="14"/>
        <v>0.26307141328775074</v>
      </c>
      <c r="Y16" s="39">
        <f t="shared" si="9"/>
        <v>72.341676467744549</v>
      </c>
      <c r="AB16">
        <v>11</v>
      </c>
      <c r="AC16" s="7">
        <v>0.50165540424016841</v>
      </c>
      <c r="AD16">
        <v>1.0196223392330477</v>
      </c>
      <c r="AE16">
        <v>0.947584958361816</v>
      </c>
      <c r="AF16" s="7">
        <v>5.3838680228074691E-2</v>
      </c>
      <c r="AG16" s="10">
        <v>113.94746804833302</v>
      </c>
      <c r="AH16" s="1">
        <v>0.56391409839844464</v>
      </c>
      <c r="AI16" s="10">
        <v>29.238961885746114</v>
      </c>
      <c r="AJ16" s="32">
        <v>1786.9524898185923</v>
      </c>
      <c r="AK16">
        <v>320</v>
      </c>
      <c r="AL16" s="7">
        <v>0.30227761394611513</v>
      </c>
    </row>
    <row r="17" spans="1:73" x14ac:dyDescent="0.3">
      <c r="A17">
        <v>78969</v>
      </c>
      <c r="B17">
        <v>30</v>
      </c>
      <c r="C17">
        <v>7</v>
      </c>
      <c r="D17">
        <v>1982</v>
      </c>
      <c r="E17">
        <v>6</v>
      </c>
      <c r="F17">
        <v>5</v>
      </c>
      <c r="G17">
        <v>1987</v>
      </c>
      <c r="H17">
        <v>68</v>
      </c>
      <c r="I17" s="32">
        <f t="shared" si="2"/>
        <v>14.492422502470642</v>
      </c>
      <c r="J17" s="1">
        <v>4.7698630136986298</v>
      </c>
      <c r="K17" s="32">
        <f t="shared" si="3"/>
        <v>15.687736746474975</v>
      </c>
      <c r="L17" s="32">
        <f t="shared" si="10"/>
        <v>78.214007803150281</v>
      </c>
      <c r="M17" s="32">
        <f t="shared" si="4"/>
        <v>0.35719321416388605</v>
      </c>
      <c r="N17">
        <v>-0.9760287866811268</v>
      </c>
      <c r="O17" s="32">
        <f t="shared" si="11"/>
        <v>15.104406861478378</v>
      </c>
      <c r="P17" s="32">
        <f t="shared" si="5"/>
        <v>73.140183520747144</v>
      </c>
      <c r="Q17">
        <v>9</v>
      </c>
      <c r="R17">
        <v>77</v>
      </c>
      <c r="S17" s="1">
        <f t="shared" si="16"/>
        <v>14.49356539510066</v>
      </c>
      <c r="T17" s="1">
        <f t="shared" si="12"/>
        <v>15.104406861478378</v>
      </c>
      <c r="U17" s="1">
        <f t="shared" si="7"/>
        <v>15.77332759268052</v>
      </c>
      <c r="V17" s="1">
        <f t="shared" si="8"/>
        <v>4.0196841639287868</v>
      </c>
      <c r="W17" s="1">
        <f t="shared" si="13"/>
        <v>0.4474549446320088</v>
      </c>
      <c r="X17" s="1">
        <f t="shared" si="14"/>
        <v>-0.66892073120214235</v>
      </c>
      <c r="Y17" s="39">
        <f t="shared" si="9"/>
        <v>78.961262587278128</v>
      </c>
      <c r="AB17">
        <v>12</v>
      </c>
      <c r="AC17" s="7">
        <v>0.50060916867067851</v>
      </c>
      <c r="AD17">
        <v>1.0381799339986393</v>
      </c>
      <c r="AE17">
        <v>0.94701640113302887</v>
      </c>
      <c r="AF17" s="7">
        <v>5.4438866903762553E-2</v>
      </c>
      <c r="AG17" s="10">
        <v>116.16213924281178</v>
      </c>
      <c r="AH17" s="1">
        <v>0.57270599255660981</v>
      </c>
      <c r="AI17" s="10">
        <v>28.351589172074423</v>
      </c>
      <c r="AJ17" s="32">
        <v>1779.2911683760826</v>
      </c>
      <c r="AK17">
        <v>320</v>
      </c>
      <c r="AL17" s="7">
        <v>0.29765536474710574</v>
      </c>
      <c r="AX17" s="32"/>
    </row>
    <row r="18" spans="1:73" x14ac:dyDescent="0.3">
      <c r="A18">
        <v>78972</v>
      </c>
      <c r="B18">
        <v>30</v>
      </c>
      <c r="C18">
        <v>7</v>
      </c>
      <c r="D18">
        <v>1982</v>
      </c>
      <c r="E18">
        <v>8</v>
      </c>
      <c r="F18">
        <v>4</v>
      </c>
      <c r="G18">
        <v>1992</v>
      </c>
      <c r="H18">
        <v>76</v>
      </c>
      <c r="I18" s="32">
        <f t="shared" si="2"/>
        <v>15.435595774162696</v>
      </c>
      <c r="J18" s="1">
        <v>9.6986301369862993</v>
      </c>
      <c r="K18" s="32">
        <f t="shared" si="3"/>
        <v>17.224548863682738</v>
      </c>
      <c r="L18" s="32">
        <f t="shared" si="10"/>
        <v>92.395819753031319</v>
      </c>
      <c r="M18" s="32">
        <f t="shared" si="4"/>
        <v>0.581776467833231</v>
      </c>
      <c r="N18">
        <v>1.8714581528911367</v>
      </c>
      <c r="O18" s="32">
        <f t="shared" si="11"/>
        <v>18.651989958981989</v>
      </c>
      <c r="P18" s="32">
        <f t="shared" si="5"/>
        <v>106.62617231647323</v>
      </c>
      <c r="Q18">
        <v>20</v>
      </c>
      <c r="R18">
        <v>96</v>
      </c>
      <c r="S18" s="1">
        <f t="shared" si="16"/>
        <v>15.436852174114659</v>
      </c>
      <c r="T18" s="1">
        <f t="shared" si="12"/>
        <v>18.651989958981989</v>
      </c>
      <c r="U18" s="1">
        <f t="shared" si="7"/>
        <v>17.418214478481062</v>
      </c>
      <c r="V18" s="1">
        <f t="shared" si="8"/>
        <v>6.6399408716964352</v>
      </c>
      <c r="W18" s="1">
        <f t="shared" si="13"/>
        <v>1.5222019362852948</v>
      </c>
      <c r="X18" s="1">
        <f t="shared" si="14"/>
        <v>1.2337754805009276</v>
      </c>
      <c r="Y18" s="39">
        <f t="shared" si="9"/>
        <v>94.252161438668139</v>
      </c>
      <c r="AB18">
        <v>13</v>
      </c>
      <c r="AC18" s="7">
        <v>0.5005333898789478</v>
      </c>
      <c r="AD18">
        <v>1.079892737391406</v>
      </c>
      <c r="AE18">
        <v>0.94362573080556011</v>
      </c>
      <c r="AF18" s="7">
        <v>5.8025663056562336E-2</v>
      </c>
      <c r="AG18" s="10">
        <v>111.54554774097122</v>
      </c>
      <c r="AH18" s="1">
        <v>0.59689664174661672</v>
      </c>
      <c r="AI18" s="10">
        <v>29.305065279132887</v>
      </c>
      <c r="AJ18" s="32">
        <v>1786.5625515518063</v>
      </c>
      <c r="AK18">
        <v>320</v>
      </c>
      <c r="AL18" s="7">
        <v>0.30261911538647102</v>
      </c>
      <c r="AX18" s="32"/>
    </row>
    <row r="19" spans="1:73" x14ac:dyDescent="0.3">
      <c r="A19">
        <v>76795</v>
      </c>
      <c r="B19">
        <v>30</v>
      </c>
      <c r="C19">
        <v>7</v>
      </c>
      <c r="D19">
        <v>1982</v>
      </c>
      <c r="E19">
        <v>23</v>
      </c>
      <c r="F19">
        <v>8</v>
      </c>
      <c r="G19">
        <v>1988</v>
      </c>
      <c r="H19">
        <v>82</v>
      </c>
      <c r="I19" s="32">
        <f t="shared" si="2"/>
        <v>16.110770276274835</v>
      </c>
      <c r="J19" s="1">
        <v>6.0712328767123296</v>
      </c>
      <c r="K19" s="32">
        <f t="shared" si="3"/>
        <v>17.151485619660477</v>
      </c>
      <c r="L19" s="32">
        <f t="shared" si="10"/>
        <v>91.694850360015508</v>
      </c>
      <c r="M19" s="32">
        <f t="shared" si="4"/>
        <v>0.42791466605137746</v>
      </c>
      <c r="N19">
        <v>-1.3617272998089902</v>
      </c>
      <c r="O19" s="32">
        <f t="shared" si="11"/>
        <v>16.2607091631549</v>
      </c>
      <c r="P19" s="32">
        <f t="shared" si="5"/>
        <v>83.363374785332326</v>
      </c>
      <c r="Q19">
        <v>17</v>
      </c>
      <c r="R19">
        <v>99</v>
      </c>
      <c r="S19" s="1">
        <f t="shared" si="16"/>
        <v>16.112109704694813</v>
      </c>
      <c r="T19" s="1">
        <f t="shared" si="12"/>
        <v>16.2607091631549</v>
      </c>
      <c r="U19" s="1">
        <f t="shared" si="7"/>
        <v>17.287551528514491</v>
      </c>
      <c r="V19" s="1">
        <f t="shared" si="8"/>
        <v>4.8348380839245921</v>
      </c>
      <c r="W19" s="1">
        <f t="shared" si="13"/>
        <v>1.0544052432972812</v>
      </c>
      <c r="X19" s="1">
        <f t="shared" si="14"/>
        <v>-1.0268423653595917</v>
      </c>
      <c r="Y19" s="39">
        <f t="shared" si="9"/>
        <v>92.988068268426545</v>
      </c>
      <c r="AB19">
        <v>14</v>
      </c>
      <c r="AC19" s="7">
        <v>0.50072992889993162</v>
      </c>
      <c r="AD19">
        <v>1.0735090908620548</v>
      </c>
      <c r="AE19">
        <v>0.94432947918256493</v>
      </c>
      <c r="AF19" s="7">
        <v>5.7280149173736701E-2</v>
      </c>
      <c r="AG19" s="10">
        <v>112.76349028121619</v>
      </c>
      <c r="AH19" s="1">
        <v>0.593208651558222</v>
      </c>
      <c r="AI19" s="10">
        <v>26.160561614568618</v>
      </c>
      <c r="AJ19" s="32">
        <v>1750.9270694563234</v>
      </c>
      <c r="AK19">
        <v>320</v>
      </c>
      <c r="AL19" s="7">
        <v>0.28592263821797481</v>
      </c>
      <c r="AX19" s="32"/>
    </row>
    <row r="20" spans="1:73" x14ac:dyDescent="0.3">
      <c r="A20">
        <v>76743</v>
      </c>
      <c r="B20">
        <v>30</v>
      </c>
      <c r="C20">
        <v>7</v>
      </c>
      <c r="D20">
        <v>1982</v>
      </c>
      <c r="E20">
        <v>7</v>
      </c>
      <c r="F20">
        <v>5</v>
      </c>
      <c r="G20">
        <v>1983</v>
      </c>
      <c r="H20">
        <v>74</v>
      </c>
      <c r="I20" s="32">
        <f t="shared" si="2"/>
        <v>15.204650534085253</v>
      </c>
      <c r="J20" s="1">
        <v>0.76986301369862997</v>
      </c>
      <c r="K20" s="32">
        <f t="shared" si="3"/>
        <v>15.3903230584556</v>
      </c>
      <c r="L20" s="32">
        <f t="shared" si="10"/>
        <v>75.60583401936313</v>
      </c>
      <c r="M20" s="32">
        <f t="shared" si="4"/>
        <v>7.0097903703802644E-2</v>
      </c>
      <c r="N20">
        <v>1.3087515071674716</v>
      </c>
      <c r="O20" s="32">
        <f t="shared" si="11"/>
        <v>15.736828221442519</v>
      </c>
      <c r="P20" s="32">
        <f t="shared" si="5"/>
        <v>78.648768839239949</v>
      </c>
      <c r="Q20">
        <v>-1</v>
      </c>
      <c r="R20">
        <v>73</v>
      </c>
      <c r="S20" s="1">
        <f t="shared" si="16"/>
        <v>15.205878868967202</v>
      </c>
      <c r="T20" s="1">
        <f t="shared" si="12"/>
        <v>15.736828221442519</v>
      </c>
      <c r="U20" s="1">
        <f t="shared" si="7"/>
        <v>15.406963449317921</v>
      </c>
      <c r="V20" s="1">
        <f t="shared" si="8"/>
        <v>0.77821645787090177</v>
      </c>
      <c r="W20" s="1">
        <f t="shared" si="13"/>
        <v>0.1088107678888128</v>
      </c>
      <c r="X20" s="1">
        <f t="shared" si="14"/>
        <v>0.32986477212459775</v>
      </c>
      <c r="Y20" s="39">
        <f t="shared" si="9"/>
        <v>75.739691163208647</v>
      </c>
      <c r="AB20">
        <v>15</v>
      </c>
      <c r="AC20" s="7">
        <v>0.4998385120366044</v>
      </c>
      <c r="AD20">
        <v>1.1445789074542676</v>
      </c>
      <c r="AE20">
        <v>0.94149995710164092</v>
      </c>
      <c r="AF20" s="7">
        <v>6.0280976448774941E-2</v>
      </c>
      <c r="AG20" s="10">
        <v>116.37754987808673</v>
      </c>
      <c r="AH20" s="1">
        <v>0.63060466090878253</v>
      </c>
      <c r="AI20" s="10">
        <v>29.310652841500563</v>
      </c>
      <c r="AJ20" s="32">
        <v>1789.4879737407375</v>
      </c>
      <c r="AK20">
        <v>320</v>
      </c>
      <c r="AL20" s="7">
        <v>0.30264796402700161</v>
      </c>
      <c r="AX20" s="7"/>
    </row>
    <row r="21" spans="1:73" x14ac:dyDescent="0.3">
      <c r="A21">
        <v>76908</v>
      </c>
      <c r="B21">
        <v>30</v>
      </c>
      <c r="C21">
        <v>7</v>
      </c>
      <c r="D21">
        <v>1982</v>
      </c>
      <c r="E21">
        <v>6</v>
      </c>
      <c r="F21">
        <v>5</v>
      </c>
      <c r="G21">
        <v>1989</v>
      </c>
      <c r="H21">
        <v>54</v>
      </c>
      <c r="I21" s="32">
        <f t="shared" si="2"/>
        <v>12.696938456699069</v>
      </c>
      <c r="J21" s="1">
        <v>6.7726027397260298</v>
      </c>
      <c r="K21" s="32">
        <f t="shared" si="3"/>
        <v>14.840165302409073</v>
      </c>
      <c r="L21" s="32">
        <f t="shared" si="10"/>
        <v>70.897791853115621</v>
      </c>
      <c r="M21" s="32">
        <f t="shared" si="4"/>
        <v>0.46229063179763935</v>
      </c>
      <c r="N21">
        <v>-1.0565463526290841</v>
      </c>
      <c r="O21" s="32">
        <f t="shared" si="11"/>
        <v>14.121798752774836</v>
      </c>
      <c r="P21" s="32">
        <f t="shared" si="5"/>
        <v>64.978098756243071</v>
      </c>
      <c r="Q21">
        <v>35</v>
      </c>
      <c r="R21">
        <v>89</v>
      </c>
      <c r="S21" s="1">
        <f t="shared" si="16"/>
        <v>12.697873819873205</v>
      </c>
      <c r="T21" s="1">
        <f t="shared" si="12"/>
        <v>14.121798752774836</v>
      </c>
      <c r="U21" s="1">
        <f t="shared" si="7"/>
        <v>14.928741694387506</v>
      </c>
      <c r="V21" s="1">
        <f t="shared" si="8"/>
        <v>5.2340663466884374</v>
      </c>
      <c r="W21" s="1">
        <f t="shared" si="13"/>
        <v>0.65115691101850881</v>
      </c>
      <c r="X21" s="1">
        <f t="shared" si="14"/>
        <v>-0.80694294161266988</v>
      </c>
      <c r="Y21" s="39">
        <f t="shared" si="9"/>
        <v>71.63546019470175</v>
      </c>
      <c r="AB21">
        <v>16</v>
      </c>
      <c r="AC21" s="7">
        <v>0.50061970070879058</v>
      </c>
      <c r="AD21">
        <v>1.1895725876140051</v>
      </c>
      <c r="AE21">
        <v>0.93826347546606437</v>
      </c>
      <c r="AF21" s="7">
        <v>6.372447872954809E-2</v>
      </c>
      <c r="AG21" s="10">
        <v>112.68003806303646</v>
      </c>
      <c r="AH21" s="1">
        <v>0.65725999731664042</v>
      </c>
      <c r="AI21" s="10">
        <v>34.051905978163134</v>
      </c>
      <c r="AJ21" s="32">
        <v>1833.7568431328491</v>
      </c>
      <c r="AK21">
        <v>320</v>
      </c>
      <c r="AL21" s="7">
        <v>0.32620883829497904</v>
      </c>
    </row>
    <row r="22" spans="1:73" x14ac:dyDescent="0.3">
      <c r="A22">
        <v>78812</v>
      </c>
      <c r="B22">
        <v>25</v>
      </c>
      <c r="C22">
        <v>7</v>
      </c>
      <c r="D22">
        <v>1982</v>
      </c>
      <c r="E22">
        <v>14</v>
      </c>
      <c r="F22">
        <v>6</v>
      </c>
      <c r="G22">
        <v>1984</v>
      </c>
      <c r="H22">
        <v>78</v>
      </c>
      <c r="I22" s="32">
        <f t="shared" si="2"/>
        <v>15.663521732655695</v>
      </c>
      <c r="J22" s="1">
        <v>1.89041095890411</v>
      </c>
      <c r="K22" s="32">
        <f t="shared" si="3"/>
        <v>16.064266951936336</v>
      </c>
      <c r="L22" s="32">
        <f t="shared" si="10"/>
        <v>81.579435127704826</v>
      </c>
      <c r="M22" s="32">
        <f t="shared" si="4"/>
        <v>0.16272471344711972</v>
      </c>
      <c r="N22">
        <v>-0.75455773185240105</v>
      </c>
      <c r="O22" s="32">
        <f t="shared" si="11"/>
        <v>15.759884766196308</v>
      </c>
      <c r="P22" s="32">
        <f t="shared" si="5"/>
        <v>78.853376727142916</v>
      </c>
      <c r="Q22">
        <v>5</v>
      </c>
      <c r="R22">
        <v>83</v>
      </c>
      <c r="S22" s="1">
        <f t="shared" si="16"/>
        <v>15.664805999633327</v>
      </c>
      <c r="T22" s="1">
        <f t="shared" si="12"/>
        <v>15.759884766196308</v>
      </c>
      <c r="U22" s="1">
        <f t="shared" si="7"/>
        <v>16.106261752397078</v>
      </c>
      <c r="V22" s="1">
        <f t="shared" si="8"/>
        <v>1.8137834073344219</v>
      </c>
      <c r="W22" s="1">
        <f t="shared" si="13"/>
        <v>0.11997701656952853</v>
      </c>
      <c r="X22" s="1">
        <f t="shared" si="14"/>
        <v>-0.34637698620077018</v>
      </c>
      <c r="Y22" s="39">
        <f t="shared" si="9"/>
        <v>81.947059654279926</v>
      </c>
      <c r="AB22">
        <v>17</v>
      </c>
      <c r="AC22" s="7">
        <v>0.50010922343678732</v>
      </c>
      <c r="AD22">
        <v>1.0684743176203313</v>
      </c>
      <c r="AE22">
        <v>0.94562941840661563</v>
      </c>
      <c r="AF22" s="7">
        <v>5.5904521978135883E-2</v>
      </c>
      <c r="AG22" s="10">
        <v>117.12356653237404</v>
      </c>
      <c r="AH22" s="1">
        <v>0.58872444284063952</v>
      </c>
      <c r="AI22" s="10">
        <v>27.044838045121313</v>
      </c>
      <c r="AJ22" s="32">
        <v>1764.7797683334372</v>
      </c>
      <c r="AK22">
        <v>320</v>
      </c>
      <c r="AL22" s="7">
        <v>0.29071484119494845</v>
      </c>
    </row>
    <row r="23" spans="1:73" x14ac:dyDescent="0.3">
      <c r="A23">
        <v>22791</v>
      </c>
      <c r="B23">
        <v>28</v>
      </c>
      <c r="C23">
        <v>7</v>
      </c>
      <c r="D23">
        <v>1982</v>
      </c>
      <c r="E23">
        <v>26</v>
      </c>
      <c r="F23">
        <v>5</v>
      </c>
      <c r="G23">
        <v>1983</v>
      </c>
      <c r="H23">
        <v>55</v>
      </c>
      <c r="I23" s="32">
        <f t="shared" si="2"/>
        <v>12.832396974191326</v>
      </c>
      <c r="J23" s="1">
        <v>0.82739726027397298</v>
      </c>
      <c r="K23" s="32">
        <f t="shared" si="3"/>
        <v>13.130224952996956</v>
      </c>
      <c r="L23" s="32">
        <f t="shared" si="10"/>
        <v>57.230926782072935</v>
      </c>
      <c r="M23" s="32">
        <f t="shared" si="4"/>
        <v>7.5117564179232127E-2</v>
      </c>
      <c r="N23">
        <v>-0.19932940631406382</v>
      </c>
      <c r="O23" s="32">
        <f t="shared" si="11"/>
        <v>13.075593579212905</v>
      </c>
      <c r="P23" s="32">
        <f t="shared" si="5"/>
        <v>56.818380441401338</v>
      </c>
      <c r="Q23">
        <v>3</v>
      </c>
      <c r="R23">
        <v>58</v>
      </c>
      <c r="S23" s="1">
        <f t="shared" si="16"/>
        <v>12.833347581326695</v>
      </c>
      <c r="T23" s="1">
        <f t="shared" si="12"/>
        <v>13.075593579212905</v>
      </c>
      <c r="U23" s="1">
        <f t="shared" si="7"/>
        <v>13.140717472513753</v>
      </c>
      <c r="V23" s="1">
        <f t="shared" si="8"/>
        <v>0.83411833913465905</v>
      </c>
      <c r="W23" s="1">
        <f t="shared" si="13"/>
        <v>4.2411214786602638E-3</v>
      </c>
      <c r="X23" s="1">
        <f t="shared" si="14"/>
        <v>-6.5123893300848223E-2</v>
      </c>
      <c r="Y23" s="39">
        <f t="shared" si="9"/>
        <v>57.30287142329793</v>
      </c>
      <c r="AB23">
        <v>18</v>
      </c>
      <c r="AC23" s="7">
        <v>0.50000457658334385</v>
      </c>
      <c r="AD23">
        <v>0.98029343819488524</v>
      </c>
      <c r="AE23">
        <v>0.95102443607164477</v>
      </c>
      <c r="AF23" s="7">
        <v>5.0215521633690918E-2</v>
      </c>
      <c r="AG23" s="10">
        <v>121.17243424007265</v>
      </c>
      <c r="AH23" s="1">
        <v>0.53912676942041915</v>
      </c>
      <c r="AI23" s="10">
        <v>25.677171753271576</v>
      </c>
      <c r="AJ23" s="32">
        <v>1751.4522380513813</v>
      </c>
      <c r="AK23">
        <v>320</v>
      </c>
      <c r="AL23" s="7">
        <v>0.28326870940676396</v>
      </c>
    </row>
    <row r="24" spans="1:73" x14ac:dyDescent="0.3">
      <c r="A24">
        <v>78835</v>
      </c>
      <c r="B24">
        <v>26</v>
      </c>
      <c r="C24">
        <v>7</v>
      </c>
      <c r="D24">
        <v>1982</v>
      </c>
      <c r="E24">
        <v>3</v>
      </c>
      <c r="F24">
        <v>5</v>
      </c>
      <c r="G24">
        <v>1984</v>
      </c>
      <c r="H24">
        <v>91</v>
      </c>
      <c r="I24" s="32">
        <f t="shared" si="2"/>
        <v>17.078784028338912</v>
      </c>
      <c r="J24" s="1">
        <v>1.77260273972603</v>
      </c>
      <c r="K24" s="32">
        <f t="shared" si="3"/>
        <v>17.332671728404257</v>
      </c>
      <c r="L24" s="32">
        <f t="shared" si="10"/>
        <v>93.438049039560312</v>
      </c>
      <c r="M24" s="32">
        <f t="shared" si="4"/>
        <v>0.15347969083428695</v>
      </c>
      <c r="N24">
        <v>9.2177288024686277E-3</v>
      </c>
      <c r="O24" s="32">
        <f t="shared" si="11"/>
        <v>17.336282910465179</v>
      </c>
      <c r="P24" s="32">
        <f t="shared" si="5"/>
        <v>93.472959198386931</v>
      </c>
      <c r="Q24">
        <v>11</v>
      </c>
      <c r="R24">
        <v>102</v>
      </c>
      <c r="S24" s="1">
        <f t="shared" si="16"/>
        <v>17.080244956481966</v>
      </c>
      <c r="T24" s="1">
        <f t="shared" si="12"/>
        <v>17.336282910465179</v>
      </c>
      <c r="U24" s="1">
        <f t="shared" si="7"/>
        <v>17.380893708590975</v>
      </c>
      <c r="V24" s="1">
        <f t="shared" si="8"/>
        <v>1.7100287155038034</v>
      </c>
      <c r="W24" s="1">
        <f t="shared" si="13"/>
        <v>1.9901233094204588E-3</v>
      </c>
      <c r="X24" s="1">
        <f t="shared" si="14"/>
        <v>-4.461079812579527E-2</v>
      </c>
      <c r="Y24" s="39">
        <f t="shared" si="9"/>
        <v>93.890232603563163</v>
      </c>
      <c r="AB24">
        <v>19</v>
      </c>
      <c r="AC24" s="7">
        <v>0.50110688606599352</v>
      </c>
      <c r="AD24">
        <v>1.1425190577515218</v>
      </c>
      <c r="AE24">
        <v>0.9414185681037045</v>
      </c>
      <c r="AF24" s="7">
        <v>6.0367426283855545E-2</v>
      </c>
      <c r="AG24" s="10">
        <v>114.84800535924097</v>
      </c>
      <c r="AH24" s="1">
        <v>0.63110559919721365</v>
      </c>
      <c r="AI24" s="10">
        <v>28.298354629954304</v>
      </c>
      <c r="AJ24" s="32">
        <v>1776.0163411931462</v>
      </c>
      <c r="AK24">
        <v>320</v>
      </c>
      <c r="AL24" s="7">
        <v>0.29737578620090643</v>
      </c>
    </row>
    <row r="25" spans="1:73" x14ac:dyDescent="0.3">
      <c r="A25">
        <v>79130</v>
      </c>
      <c r="B25">
        <v>9</v>
      </c>
      <c r="C25">
        <v>8</v>
      </c>
      <c r="D25">
        <v>1982</v>
      </c>
      <c r="E25">
        <v>7</v>
      </c>
      <c r="F25">
        <v>7</v>
      </c>
      <c r="G25">
        <v>1983</v>
      </c>
      <c r="H25">
        <v>85</v>
      </c>
      <c r="I25" s="32">
        <f t="shared" si="2"/>
        <v>16.439088914585774</v>
      </c>
      <c r="J25" s="1">
        <v>0.90958904109589001</v>
      </c>
      <c r="K25" s="32">
        <f t="shared" si="3"/>
        <v>16.601410078819029</v>
      </c>
      <c r="L25" s="32">
        <f t="shared" si="10"/>
        <v>86.503114230097538</v>
      </c>
      <c r="M25" s="32">
        <f t="shared" si="4"/>
        <v>8.2237307992437281E-2</v>
      </c>
      <c r="N25">
        <v>0.90645244199549779</v>
      </c>
      <c r="O25" s="32">
        <f t="shared" si="11"/>
        <v>16.861353880380108</v>
      </c>
      <c r="P25" s="32">
        <f t="shared" si="5"/>
        <v>88.937667550232433</v>
      </c>
      <c r="Q25">
        <v>3</v>
      </c>
      <c r="R25">
        <v>88</v>
      </c>
      <c r="S25" s="1">
        <f t="shared" si="16"/>
        <v>16.440469232880666</v>
      </c>
      <c r="T25" s="1">
        <f t="shared" si="12"/>
        <v>16.861353880380108</v>
      </c>
      <c r="U25" s="1">
        <f t="shared" si="7"/>
        <v>16.624995403826112</v>
      </c>
      <c r="V25" s="1">
        <f t="shared" si="8"/>
        <v>0.91344931734826718</v>
      </c>
      <c r="W25" s="1">
        <f t="shared" si="13"/>
        <v>5.5865329438925616E-2</v>
      </c>
      <c r="X25" s="1">
        <f t="shared" si="14"/>
        <v>0.23635847655399544</v>
      </c>
      <c r="Y25" s="39">
        <f t="shared" si="9"/>
        <v>86.709544392672726</v>
      </c>
      <c r="AB25">
        <v>20</v>
      </c>
      <c r="AC25" s="7">
        <v>0.50022294946658219</v>
      </c>
      <c r="AD25">
        <v>1.1090447604430667</v>
      </c>
      <c r="AE25">
        <v>0.94220953862487788</v>
      </c>
      <c r="AF25" s="7">
        <v>5.9527588988118683E-2</v>
      </c>
      <c r="AG25" s="10">
        <v>112.11691622101452</v>
      </c>
      <c r="AH25" s="1">
        <v>0.61256010253441195</v>
      </c>
      <c r="AI25" s="10">
        <v>31.265946653282288</v>
      </c>
      <c r="AJ25" s="32">
        <v>1807.4538243737134</v>
      </c>
      <c r="AK25">
        <v>320</v>
      </c>
      <c r="AL25" s="7">
        <v>0.31257972309717591</v>
      </c>
    </row>
    <row r="26" spans="1:73" x14ac:dyDescent="0.3">
      <c r="A26">
        <v>20652</v>
      </c>
      <c r="B26">
        <v>23</v>
      </c>
      <c r="C26">
        <v>1</v>
      </c>
      <c r="D26">
        <v>1982</v>
      </c>
      <c r="E26">
        <v>21</v>
      </c>
      <c r="F26">
        <v>8</v>
      </c>
      <c r="G26">
        <v>1982</v>
      </c>
      <c r="H26">
        <v>179</v>
      </c>
      <c r="I26" s="32">
        <f t="shared" si="2"/>
        <v>24.758176320519304</v>
      </c>
      <c r="J26" s="1">
        <v>0.57534246575342496</v>
      </c>
      <c r="K26" s="32">
        <f t="shared" si="3"/>
        <v>24.619808520340317</v>
      </c>
      <c r="L26" s="32">
        <f t="shared" si="10"/>
        <v>177.15355141489573</v>
      </c>
      <c r="M26" s="32">
        <f t="shared" si="4"/>
        <v>5.2905569517242929E-2</v>
      </c>
      <c r="N26">
        <v>1.9533126760507002</v>
      </c>
      <c r="O26" s="32">
        <f t="shared" si="11"/>
        <v>25.069094085228279</v>
      </c>
      <c r="P26" s="32">
        <f t="shared" si="5"/>
        <v>183.18396364873516</v>
      </c>
      <c r="Q26">
        <v>0</v>
      </c>
      <c r="R26">
        <v>179</v>
      </c>
      <c r="S26" s="1">
        <f t="shared" si="16"/>
        <v>24.760689517581131</v>
      </c>
      <c r="T26" s="1">
        <f t="shared" si="12"/>
        <v>25.069094085228279</v>
      </c>
      <c r="U26" s="1">
        <f t="shared" si="7"/>
        <v>24.653744954167689</v>
      </c>
      <c r="V26" s="1">
        <f t="shared" si="8"/>
        <v>0.58693296322749766</v>
      </c>
      <c r="W26" s="1">
        <f t="shared" si="13"/>
        <v>0.17251490067278782</v>
      </c>
      <c r="X26" s="1">
        <f t="shared" si="14"/>
        <v>0.41534913106059079</v>
      </c>
      <c r="Y26" s="39">
        <f t="shared" si="9"/>
        <v>177.5722464326474</v>
      </c>
      <c r="AB26">
        <v>21</v>
      </c>
      <c r="AC26" s="7">
        <v>0.50122686856696164</v>
      </c>
      <c r="AD26">
        <v>1.0444784620417802</v>
      </c>
      <c r="AE26">
        <v>0.94621410847037746</v>
      </c>
      <c r="AF26" s="7">
        <v>5.528640523214582E-2</v>
      </c>
      <c r="AG26" s="10">
        <v>113.87550152552348</v>
      </c>
      <c r="AH26" s="1">
        <v>0.57730656034446015</v>
      </c>
      <c r="AI26" s="10">
        <v>31.862542187815198</v>
      </c>
      <c r="AJ26" s="32">
        <v>1814.4361754980148</v>
      </c>
      <c r="AK26">
        <v>320</v>
      </c>
      <c r="AL26" s="7">
        <v>0.31554784793581225</v>
      </c>
      <c r="BK26" s="32"/>
      <c r="BL26" s="7"/>
      <c r="BM26" s="7"/>
      <c r="BN26" s="10"/>
      <c r="BO26" s="1"/>
      <c r="BP26" s="10"/>
      <c r="BQ26" s="10"/>
      <c r="BR26" s="1"/>
      <c r="BS26" s="1"/>
      <c r="BT26" s="32"/>
    </row>
    <row r="27" spans="1:73" x14ac:dyDescent="0.3">
      <c r="A27">
        <v>79006</v>
      </c>
      <c r="B27">
        <v>31</v>
      </c>
      <c r="C27">
        <v>7</v>
      </c>
      <c r="D27">
        <v>1982</v>
      </c>
      <c r="E27">
        <v>17</v>
      </c>
      <c r="F27">
        <v>6</v>
      </c>
      <c r="G27">
        <v>1987</v>
      </c>
      <c r="H27">
        <v>70</v>
      </c>
      <c r="I27" s="32">
        <f t="shared" si="2"/>
        <v>14.733200530681511</v>
      </c>
      <c r="J27" s="1">
        <v>4.8821917808219197</v>
      </c>
      <c r="K27" s="32">
        <f t="shared" si="3"/>
        <v>15.899950009379873</v>
      </c>
      <c r="L27" s="32">
        <f t="shared" si="10"/>
        <v>80.102052584574622</v>
      </c>
      <c r="M27" s="32">
        <f t="shared" si="4"/>
        <v>0.3636767049106655</v>
      </c>
      <c r="N27">
        <v>-0.37631025406881236</v>
      </c>
      <c r="O27" s="32">
        <f t="shared" si="11"/>
        <v>15.673013801080007</v>
      </c>
      <c r="P27" s="32">
        <f t="shared" si="5"/>
        <v>78.083854203291096</v>
      </c>
      <c r="Q27">
        <v>13</v>
      </c>
      <c r="R27">
        <v>83</v>
      </c>
      <c r="S27" s="1">
        <f t="shared" si="16"/>
        <v>14.734372118089272</v>
      </c>
      <c r="T27" s="1">
        <f t="shared" si="12"/>
        <v>15.673013801080007</v>
      </c>
      <c r="U27" s="1">
        <f t="shared" si="7"/>
        <v>15.991012308852627</v>
      </c>
      <c r="V27" s="1">
        <f t="shared" si="8"/>
        <v>4.094091394640242</v>
      </c>
      <c r="W27" s="1">
        <f t="shared" si="13"/>
        <v>0.10112305094561289</v>
      </c>
      <c r="X27" s="1">
        <f t="shared" si="14"/>
        <v>-0.31799850777261973</v>
      </c>
      <c r="Y27" s="39">
        <f t="shared" si="9"/>
        <v>80.907217470548588</v>
      </c>
      <c r="AB27">
        <v>22</v>
      </c>
      <c r="AC27" s="7">
        <v>0.50024374391206161</v>
      </c>
      <c r="AD27">
        <v>1.0922380099072939</v>
      </c>
      <c r="AE27">
        <v>0.9443761507314784</v>
      </c>
      <c r="AF27" s="7">
        <v>5.7230727444713643E-2</v>
      </c>
      <c r="AG27" s="10">
        <v>116.86273290323038</v>
      </c>
      <c r="AH27" s="1">
        <v>0.60200908058760572</v>
      </c>
      <c r="AI27" s="10">
        <v>27.178825946757755</v>
      </c>
      <c r="AJ27" s="32">
        <v>1765.8384355254848</v>
      </c>
      <c r="AK27">
        <v>320</v>
      </c>
      <c r="AL27" s="7">
        <v>0.29143409389365887</v>
      </c>
    </row>
    <row r="28" spans="1:73" x14ac:dyDescent="0.3">
      <c r="A28">
        <v>79426</v>
      </c>
      <c r="B28">
        <v>3</v>
      </c>
      <c r="C28">
        <v>9</v>
      </c>
      <c r="D28">
        <v>1982</v>
      </c>
      <c r="E28">
        <v>12</v>
      </c>
      <c r="F28">
        <v>6</v>
      </c>
      <c r="G28">
        <v>1985</v>
      </c>
      <c r="H28">
        <v>72</v>
      </c>
      <c r="I28" s="32">
        <f t="shared" si="2"/>
        <v>14.970562748477139</v>
      </c>
      <c r="J28" s="1">
        <v>2.77534246575342</v>
      </c>
      <c r="K28" s="32">
        <f t="shared" si="3"/>
        <v>15.637908512518814</v>
      </c>
      <c r="L28" s="32">
        <f t="shared" si="10"/>
        <v>77.773954173995904</v>
      </c>
      <c r="M28" s="32">
        <f t="shared" si="4"/>
        <v>0.22871060641088042</v>
      </c>
      <c r="N28">
        <v>0.61328250922088046</v>
      </c>
      <c r="O28" s="32">
        <f t="shared" si="11"/>
        <v>15.93120288592997</v>
      </c>
      <c r="P28" s="32">
        <f t="shared" si="5"/>
        <v>80.382009234095818</v>
      </c>
      <c r="Q28">
        <v>12</v>
      </c>
      <c r="R28">
        <v>84</v>
      </c>
      <c r="S28" s="1">
        <f t="shared" si="16"/>
        <v>14.971762814519451</v>
      </c>
      <c r="T28" s="1">
        <f t="shared" si="12"/>
        <v>15.93120288592997</v>
      </c>
      <c r="U28" s="1">
        <f t="shared" si="7"/>
        <v>15.692322195662596</v>
      </c>
      <c r="V28" s="1">
        <f t="shared" si="8"/>
        <v>2.5570685795590218</v>
      </c>
      <c r="W28" s="1">
        <f t="shared" si="13"/>
        <v>5.7063984182617024E-2</v>
      </c>
      <c r="X28" s="1">
        <f t="shared" si="14"/>
        <v>0.23888069026737391</v>
      </c>
      <c r="Y28" s="39">
        <f t="shared" si="9"/>
        <v>78.243175894422819</v>
      </c>
      <c r="AB28">
        <v>23</v>
      </c>
      <c r="AC28" s="7">
        <v>0.50061493108446131</v>
      </c>
      <c r="AD28">
        <v>0.86540073778762261</v>
      </c>
      <c r="AE28">
        <v>0.95752092833217806</v>
      </c>
      <c r="AF28" s="7">
        <v>4.3407700900220253E-2</v>
      </c>
      <c r="AG28" s="10">
        <v>124.66942526502919</v>
      </c>
      <c r="AH28" s="1">
        <v>0.47571160237581461</v>
      </c>
      <c r="AI28" s="10">
        <v>26.589626469625241</v>
      </c>
      <c r="AJ28" s="32">
        <v>1764.3986094200877</v>
      </c>
      <c r="AK28">
        <v>320</v>
      </c>
      <c r="AL28" s="7">
        <v>0.28825784068708155</v>
      </c>
      <c r="BJ28" s="40"/>
      <c r="BK28" s="7"/>
      <c r="BM28" s="40"/>
      <c r="BN28" s="7"/>
      <c r="BP28" s="7"/>
      <c r="BS28" s="10"/>
      <c r="BT28" s="7"/>
      <c r="BU28" s="7"/>
    </row>
    <row r="29" spans="1:73" x14ac:dyDescent="0.3">
      <c r="A29">
        <v>79046</v>
      </c>
      <c r="B29">
        <v>2</v>
      </c>
      <c r="C29">
        <v>8</v>
      </c>
      <c r="D29">
        <v>1982</v>
      </c>
      <c r="E29">
        <v>10</v>
      </c>
      <c r="F29">
        <v>9</v>
      </c>
      <c r="G29">
        <v>1982</v>
      </c>
      <c r="H29">
        <v>89</v>
      </c>
      <c r="I29" s="32">
        <f t="shared" si="2"/>
        <v>16.867962264113206</v>
      </c>
      <c r="J29" s="1">
        <v>0.106849315068493</v>
      </c>
      <c r="K29" s="32">
        <f t="shared" si="3"/>
        <v>16.885080923724516</v>
      </c>
      <c r="L29" s="32">
        <f t="shared" si="10"/>
        <v>89.161570373905903</v>
      </c>
      <c r="M29" s="32">
        <f t="shared" si="4"/>
        <v>1.0062877406283401E-2</v>
      </c>
      <c r="N29">
        <v>-0.31997842597775161</v>
      </c>
      <c r="O29" s="32">
        <f t="shared" si="11"/>
        <v>16.852982641696144</v>
      </c>
      <c r="P29" s="32">
        <f t="shared" si="5"/>
        <v>88.858738622024035</v>
      </c>
      <c r="Q29">
        <v>-1</v>
      </c>
      <c r="R29">
        <v>88</v>
      </c>
      <c r="S29" s="1">
        <f t="shared" ref="S29:S71" si="17">(H29^gamma-1)/gamma</f>
        <v>16.869396490572026</v>
      </c>
      <c r="T29" s="1">
        <f t="shared" si="12"/>
        <v>16.852982641696144</v>
      </c>
      <c r="U29" s="1">
        <f t="shared" si="7"/>
        <v>16.889314586347322</v>
      </c>
      <c r="V29" s="1">
        <f t="shared" si="8"/>
        <v>0.11144447310128786</v>
      </c>
      <c r="W29" s="1">
        <f t="shared" si="13"/>
        <v>1.3200102021362176E-3</v>
      </c>
      <c r="X29" s="1">
        <f t="shared" si="14"/>
        <v>-3.6331944651177395E-2</v>
      </c>
      <c r="Y29" s="39">
        <f t="shared" si="9"/>
        <v>89.187982354202447</v>
      </c>
      <c r="AB29">
        <v>24</v>
      </c>
      <c r="AC29" s="7">
        <v>0.50035333697022788</v>
      </c>
      <c r="AD29">
        <v>1.1004809394976347</v>
      </c>
      <c r="AE29">
        <v>0.94430482374769387</v>
      </c>
      <c r="AF29" s="7">
        <v>5.7306258447336375E-2</v>
      </c>
      <c r="AG29" s="10">
        <v>118.11650887877168</v>
      </c>
      <c r="AH29" s="1">
        <v>0.60632448660207916</v>
      </c>
      <c r="AI29" s="10">
        <v>32.834396913763491</v>
      </c>
      <c r="AJ29" s="32">
        <v>1826.7521143850158</v>
      </c>
      <c r="AK29">
        <v>320</v>
      </c>
      <c r="AL29" s="7">
        <v>0.32032403961537276</v>
      </c>
    </row>
    <row r="30" spans="1:73" x14ac:dyDescent="0.3">
      <c r="A30">
        <v>76735</v>
      </c>
      <c r="B30">
        <v>30</v>
      </c>
      <c r="C30">
        <v>7</v>
      </c>
      <c r="D30">
        <v>1982</v>
      </c>
      <c r="E30">
        <v>5</v>
      </c>
      <c r="F30">
        <v>5</v>
      </c>
      <c r="G30">
        <v>1986</v>
      </c>
      <c r="H30">
        <v>45</v>
      </c>
      <c r="I30" s="32">
        <f t="shared" si="2"/>
        <v>11.416407864998739</v>
      </c>
      <c r="J30" s="1">
        <v>3.7671232876712302</v>
      </c>
      <c r="K30" s="32">
        <f t="shared" si="3"/>
        <v>12.924597546141996</v>
      </c>
      <c r="L30" s="32">
        <f t="shared" si="10"/>
        <v>55.68590297857692</v>
      </c>
      <c r="M30" s="32">
        <f t="shared" si="4"/>
        <v>0.29588270916155052</v>
      </c>
      <c r="N30">
        <v>0.4547177923086565</v>
      </c>
      <c r="O30" s="32">
        <f t="shared" si="11"/>
        <v>13.171941751827557</v>
      </c>
      <c r="P30" s="32">
        <f t="shared" si="5"/>
        <v>57.546954130212058</v>
      </c>
      <c r="Q30">
        <v>31</v>
      </c>
      <c r="R30">
        <v>76</v>
      </c>
      <c r="S30" s="1">
        <f t="shared" si="17"/>
        <v>11.41720268953229</v>
      </c>
      <c r="T30" s="1">
        <f t="shared" si="12"/>
        <v>13.171941751827557</v>
      </c>
      <c r="U30" s="1">
        <f t="shared" si="7"/>
        <v>12.956120142091425</v>
      </c>
      <c r="V30" s="1">
        <f t="shared" si="8"/>
        <v>3.3190239795469934</v>
      </c>
      <c r="W30" s="1">
        <f t="shared" si="13"/>
        <v>4.65789672290952E-2</v>
      </c>
      <c r="X30" s="1">
        <f t="shared" si="14"/>
        <v>0.21582160973613185</v>
      </c>
      <c r="Y30" s="39">
        <f t="shared" si="9"/>
        <v>55.914170203775292</v>
      </c>
      <c r="AB30">
        <v>25</v>
      </c>
      <c r="AC30" s="7">
        <v>0.50071530930689179</v>
      </c>
      <c r="AD30">
        <v>0.96313673333255923</v>
      </c>
      <c r="AE30">
        <v>0.95251018591446779</v>
      </c>
      <c r="AF30" s="7">
        <v>4.8654478165003082E-2</v>
      </c>
      <c r="AG30" s="10">
        <v>123.57866488080397</v>
      </c>
      <c r="AH30" s="1">
        <v>0.52974712142097391</v>
      </c>
      <c r="AI30" s="10">
        <v>29.724760587191746</v>
      </c>
      <c r="AJ30" s="32">
        <v>1798.6917317054842</v>
      </c>
      <c r="AK30">
        <v>320</v>
      </c>
      <c r="AL30" s="7">
        <v>0.30477840611659845</v>
      </c>
    </row>
    <row r="31" spans="1:73" x14ac:dyDescent="0.3">
      <c r="A31">
        <v>22910</v>
      </c>
      <c r="B31">
        <v>28</v>
      </c>
      <c r="C31">
        <v>7</v>
      </c>
      <c r="D31">
        <v>1982</v>
      </c>
      <c r="E31">
        <v>1</v>
      </c>
      <c r="F31">
        <v>5</v>
      </c>
      <c r="G31">
        <v>1984</v>
      </c>
      <c r="H31">
        <v>70</v>
      </c>
      <c r="I31" s="32">
        <f t="shared" si="2"/>
        <v>14.733200530681511</v>
      </c>
      <c r="J31" s="1">
        <v>1.7616438356164399</v>
      </c>
      <c r="K31" s="32">
        <f t="shared" si="3"/>
        <v>15.188242745988365</v>
      </c>
      <c r="L31" s="32">
        <f t="shared" si="10"/>
        <v>73.858922173755417</v>
      </c>
      <c r="M31" s="32">
        <f t="shared" si="4"/>
        <v>0.15261399493444028</v>
      </c>
      <c r="N31">
        <v>1.2643022273550741</v>
      </c>
      <c r="O31" s="32">
        <f t="shared" si="11"/>
        <v>15.682153046525125</v>
      </c>
      <c r="P31" s="32">
        <f t="shared" si="5"/>
        <v>78.164634090184421</v>
      </c>
      <c r="Q31">
        <v>6</v>
      </c>
      <c r="R31">
        <v>76</v>
      </c>
      <c r="S31" s="1">
        <f t="shared" si="17"/>
        <v>14.734372118089272</v>
      </c>
      <c r="T31" s="1">
        <f t="shared" si="12"/>
        <v>15.682153046525125</v>
      </c>
      <c r="U31" s="1">
        <f t="shared" si="7"/>
        <v>15.221782225062805</v>
      </c>
      <c r="V31" s="1">
        <f t="shared" si="8"/>
        <v>1.7003178754263899</v>
      </c>
      <c r="W31" s="1">
        <f t="shared" si="13"/>
        <v>0.21194129325389102</v>
      </c>
      <c r="X31" s="1">
        <f t="shared" si="14"/>
        <v>0.46037082146231967</v>
      </c>
      <c r="Y31" s="39">
        <f t="shared" si="9"/>
        <v>74.136852480744167</v>
      </c>
      <c r="AB31">
        <v>26</v>
      </c>
      <c r="AC31" s="7">
        <v>0.50034626606789845</v>
      </c>
      <c r="AD31">
        <v>0.91771706152567534</v>
      </c>
      <c r="AE31">
        <v>0.95450299806967076</v>
      </c>
      <c r="AF31" s="7">
        <v>4.6564494836803763E-2</v>
      </c>
      <c r="AG31" s="10">
        <v>122.63337544011891</v>
      </c>
      <c r="AH31" s="1">
        <v>0.5046733069715047</v>
      </c>
      <c r="AI31" s="10">
        <v>26.746570851433102</v>
      </c>
      <c r="AJ31" s="32">
        <v>1765.2551290087929</v>
      </c>
      <c r="AK31">
        <v>320</v>
      </c>
      <c r="AL31" s="7">
        <v>0.28910730518395489</v>
      </c>
    </row>
    <row r="32" spans="1:73" x14ac:dyDescent="0.3">
      <c r="A32">
        <v>79602</v>
      </c>
      <c r="B32">
        <v>6</v>
      </c>
      <c r="C32">
        <v>9</v>
      </c>
      <c r="D32">
        <v>1982</v>
      </c>
      <c r="E32">
        <v>10</v>
      </c>
      <c r="F32">
        <v>7</v>
      </c>
      <c r="G32">
        <v>1984</v>
      </c>
      <c r="H32">
        <v>78</v>
      </c>
      <c r="I32" s="32">
        <f t="shared" si="2"/>
        <v>15.663521732655695</v>
      </c>
      <c r="J32" s="1">
        <v>1.84383561643836</v>
      </c>
      <c r="K32" s="32">
        <f t="shared" si="3"/>
        <v>16.054853234631199</v>
      </c>
      <c r="L32" s="32">
        <f t="shared" si="10"/>
        <v>81.494431331018177</v>
      </c>
      <c r="M32" s="32">
        <f t="shared" si="4"/>
        <v>0.15908305339624854</v>
      </c>
      <c r="N32">
        <v>1.1885276762768626</v>
      </c>
      <c r="O32" s="32">
        <f t="shared" si="11"/>
        <v>16.528900077244277</v>
      </c>
      <c r="P32" s="32">
        <f t="shared" si="5"/>
        <v>85.830034518125743</v>
      </c>
      <c r="Q32">
        <v>6</v>
      </c>
      <c r="R32">
        <v>84</v>
      </c>
      <c r="S32" s="1">
        <f t="shared" si="17"/>
        <v>15.664805999633327</v>
      </c>
      <c r="T32" s="1">
        <f t="shared" si="12"/>
        <v>16.528900077244277</v>
      </c>
      <c r="U32" s="1">
        <f t="shared" si="7"/>
        <v>16.095855413283939</v>
      </c>
      <c r="V32" s="1">
        <f t="shared" si="8"/>
        <v>1.7729030268856618</v>
      </c>
      <c r="W32" s="1">
        <f t="shared" si="13"/>
        <v>0.18752768098452208</v>
      </c>
      <c r="X32" s="1">
        <f t="shared" si="14"/>
        <v>0.43304466396033803</v>
      </c>
      <c r="Y32" s="39">
        <f t="shared" si="9"/>
        <v>81.852895415985785</v>
      </c>
      <c r="AB32">
        <v>27</v>
      </c>
      <c r="AC32" s="7">
        <v>0.50057893490943151</v>
      </c>
      <c r="AD32">
        <v>1.0490797475955214</v>
      </c>
      <c r="AE32">
        <v>0.94631695672088267</v>
      </c>
      <c r="AF32" s="7">
        <v>5.5177716658945497E-2</v>
      </c>
      <c r="AG32" s="10">
        <v>115.62173340019991</v>
      </c>
      <c r="AH32" s="1">
        <v>0.57883026596553866</v>
      </c>
      <c r="AI32" s="10">
        <v>27.791322245833957</v>
      </c>
      <c r="AJ32" s="32">
        <v>1772.4284248495626</v>
      </c>
      <c r="AK32">
        <v>320</v>
      </c>
      <c r="AL32" s="7">
        <v>0.29469964712946489</v>
      </c>
    </row>
    <row r="33" spans="1:38" x14ac:dyDescent="0.3">
      <c r="A33">
        <v>22999</v>
      </c>
      <c r="B33">
        <v>30</v>
      </c>
      <c r="C33">
        <v>7</v>
      </c>
      <c r="D33">
        <v>1982</v>
      </c>
      <c r="E33">
        <v>9</v>
      </c>
      <c r="F33">
        <v>7</v>
      </c>
      <c r="G33">
        <v>1993</v>
      </c>
      <c r="H33">
        <v>57</v>
      </c>
      <c r="I33" s="32">
        <f t="shared" si="2"/>
        <v>13.0996688705415</v>
      </c>
      <c r="J33" s="1">
        <v>10.9506849315068</v>
      </c>
      <c r="K33" s="32">
        <f t="shared" si="3"/>
        <v>16.065150265250757</v>
      </c>
      <c r="L33" s="32">
        <f t="shared" si="10"/>
        <v>81.587413526522383</v>
      </c>
      <c r="M33" s="32">
        <f t="shared" si="4"/>
        <v>0.62291587443114571</v>
      </c>
      <c r="N33">
        <v>-0.24031805878621526</v>
      </c>
      <c r="O33" s="32">
        <f t="shared" si="11"/>
        <v>15.875479189863919</v>
      </c>
      <c r="P33" s="32">
        <f t="shared" si="5"/>
        <v>79.883189066814495</v>
      </c>
      <c r="Q33">
        <v>30</v>
      </c>
      <c r="R33">
        <v>87</v>
      </c>
      <c r="S33" s="1">
        <f t="shared" si="17"/>
        <v>13.100649759066076</v>
      </c>
      <c r="T33" s="1">
        <f t="shared" si="12"/>
        <v>15.875479189863919</v>
      </c>
      <c r="U33" s="1">
        <f t="shared" si="7"/>
        <v>16.225881871150563</v>
      </c>
      <c r="V33" s="1">
        <f t="shared" si="8"/>
        <v>7.1318059939163643</v>
      </c>
      <c r="W33" s="1">
        <f t="shared" si="13"/>
        <v>0.12278203905286932</v>
      </c>
      <c r="X33" s="1">
        <f t="shared" si="14"/>
        <v>-0.35040268128664387</v>
      </c>
      <c r="Y33" s="39">
        <f t="shared" si="9"/>
        <v>83.033358053862059</v>
      </c>
      <c r="AB33">
        <v>28</v>
      </c>
      <c r="AC33" s="7">
        <v>0.49952104601084696</v>
      </c>
      <c r="AD33">
        <v>0.99052056944549161</v>
      </c>
      <c r="AE33">
        <v>0.95222943164889196</v>
      </c>
      <c r="AF33" s="7">
        <v>4.894927359532885E-2</v>
      </c>
      <c r="AG33" s="10">
        <v>129.59632825590924</v>
      </c>
      <c r="AH33" s="1">
        <v>0.54255643929577979</v>
      </c>
      <c r="AI33" s="10">
        <v>28.44380280687589</v>
      </c>
      <c r="AJ33" s="32">
        <v>1788.4722919895951</v>
      </c>
      <c r="AK33">
        <v>320</v>
      </c>
      <c r="AL33" s="7">
        <v>0.29813903429689836</v>
      </c>
    </row>
    <row r="34" spans="1:38" x14ac:dyDescent="0.3">
      <c r="A34">
        <v>79548</v>
      </c>
      <c r="B34">
        <v>5</v>
      </c>
      <c r="C34">
        <v>9</v>
      </c>
      <c r="D34">
        <v>1982</v>
      </c>
      <c r="E34">
        <v>24</v>
      </c>
      <c r="F34">
        <v>8</v>
      </c>
      <c r="G34">
        <v>1988</v>
      </c>
      <c r="H34">
        <v>77</v>
      </c>
      <c r="I34" s="32">
        <f t="shared" si="2"/>
        <v>15.549928774784245</v>
      </c>
      <c r="J34" s="1">
        <v>5.97260273972603</v>
      </c>
      <c r="K34" s="32">
        <f t="shared" si="3"/>
        <v>16.72418847878895</v>
      </c>
      <c r="L34" s="32">
        <f t="shared" si="10"/>
        <v>87.648808547303204</v>
      </c>
      <c r="M34" s="32">
        <f t="shared" si="4"/>
        <v>0.42287911810588663</v>
      </c>
      <c r="N34">
        <v>0.26797351893037558</v>
      </c>
      <c r="O34" s="32">
        <f t="shared" si="11"/>
        <v>16.898449397503406</v>
      </c>
      <c r="P34" s="32">
        <f t="shared" si="5"/>
        <v>89.287847407499214</v>
      </c>
      <c r="Q34">
        <v>32</v>
      </c>
      <c r="R34">
        <v>109</v>
      </c>
      <c r="S34" s="1">
        <f t="shared" si="17"/>
        <v>15.551199132657898</v>
      </c>
      <c r="T34" s="1">
        <f t="shared" si="12"/>
        <v>16.898449397503406</v>
      </c>
      <c r="U34" s="1">
        <f t="shared" si="7"/>
        <v>16.84883476162414</v>
      </c>
      <c r="V34" s="1">
        <f t="shared" si="8"/>
        <v>4.7765299127350893</v>
      </c>
      <c r="W34" s="1">
        <f t="shared" si="13"/>
        <v>2.4616120934321229E-3</v>
      </c>
      <c r="X34" s="1">
        <f t="shared" si="14"/>
        <v>4.9614635879265734E-2</v>
      </c>
      <c r="Y34" s="39">
        <f t="shared" si="9"/>
        <v>88.806151205165264</v>
      </c>
      <c r="AB34">
        <v>29</v>
      </c>
      <c r="AC34" s="7">
        <v>0.50095971521501348</v>
      </c>
      <c r="AD34">
        <v>1.0324313992919472</v>
      </c>
      <c r="AE34">
        <v>0.9479536871112354</v>
      </c>
      <c r="AF34" s="7">
        <v>5.3449631178665039E-2</v>
      </c>
      <c r="AG34" s="10">
        <v>118.53589527775205</v>
      </c>
      <c r="AH34" s="1">
        <v>0.56925285265709635</v>
      </c>
      <c r="AI34" s="10">
        <v>26.690135148883034</v>
      </c>
      <c r="AJ34" s="32">
        <v>1760.8614029192381</v>
      </c>
      <c r="AK34">
        <v>320</v>
      </c>
      <c r="AL34" s="7">
        <v>0.2888021335451999</v>
      </c>
    </row>
    <row r="35" spans="1:38" x14ac:dyDescent="0.3">
      <c r="A35">
        <v>77081</v>
      </c>
      <c r="B35">
        <v>1</v>
      </c>
      <c r="C35">
        <v>8</v>
      </c>
      <c r="D35">
        <v>1982</v>
      </c>
      <c r="E35">
        <v>8</v>
      </c>
      <c r="F35">
        <v>5</v>
      </c>
      <c r="G35">
        <v>1987</v>
      </c>
      <c r="H35">
        <v>82</v>
      </c>
      <c r="I35" s="32">
        <f t="shared" si="2"/>
        <v>16.110770276274835</v>
      </c>
      <c r="J35" s="1">
        <v>4.7698630136986298</v>
      </c>
      <c r="K35" s="32">
        <f t="shared" si="3"/>
        <v>16.954853121965002</v>
      </c>
      <c r="L35" s="32">
        <f t="shared" si="10"/>
        <v>89.821614218816592</v>
      </c>
      <c r="M35" s="32">
        <f t="shared" si="4"/>
        <v>0.35719321416388605</v>
      </c>
      <c r="N35">
        <v>0.20463858163566329</v>
      </c>
      <c r="O35" s="32">
        <f t="shared" si="11"/>
        <v>17.077156687106054</v>
      </c>
      <c r="P35" s="32">
        <f t="shared" si="5"/>
        <v>90.984476816098805</v>
      </c>
      <c r="Q35">
        <v>12</v>
      </c>
      <c r="R35">
        <v>94</v>
      </c>
      <c r="S35" s="1">
        <f t="shared" si="17"/>
        <v>16.112109704694813</v>
      </c>
      <c r="T35" s="1">
        <f t="shared" si="12"/>
        <v>17.077156687106054</v>
      </c>
      <c r="U35" s="1">
        <f t="shared" si="7"/>
        <v>17.063357455920571</v>
      </c>
      <c r="V35" s="1">
        <f t="shared" si="8"/>
        <v>4.0196841639287868</v>
      </c>
      <c r="W35" s="1">
        <f t="shared" si="13"/>
        <v>1.904187813104276E-4</v>
      </c>
      <c r="X35" s="1">
        <f t="shared" si="14"/>
        <v>1.3799231185483762E-2</v>
      </c>
      <c r="Y35" s="39">
        <f t="shared" si="9"/>
        <v>90.838995238226957</v>
      </c>
      <c r="AB35">
        <v>30</v>
      </c>
      <c r="AC35" s="7">
        <v>0.50025148676010101</v>
      </c>
      <c r="AD35">
        <v>1.0784799453428853</v>
      </c>
      <c r="AE35">
        <v>0.94432189936453603</v>
      </c>
      <c r="AF35" s="7">
        <v>5.7288175872697709E-2</v>
      </c>
      <c r="AG35" s="10">
        <v>114.00052004146126</v>
      </c>
      <c r="AH35" s="1">
        <v>0.59518929673419474</v>
      </c>
      <c r="AI35" s="10">
        <v>24.767537603327494</v>
      </c>
      <c r="AJ35" s="32">
        <v>1734.6479860817669</v>
      </c>
      <c r="AK35">
        <v>320</v>
      </c>
      <c r="AL35" s="7">
        <v>0.27820595789881714</v>
      </c>
    </row>
    <row r="36" spans="1:38" x14ac:dyDescent="0.3">
      <c r="A36">
        <v>79404</v>
      </c>
      <c r="B36">
        <v>2</v>
      </c>
      <c r="C36">
        <v>9</v>
      </c>
      <c r="D36">
        <v>1982</v>
      </c>
      <c r="E36">
        <v>8</v>
      </c>
      <c r="F36">
        <v>6</v>
      </c>
      <c r="G36">
        <v>1985</v>
      </c>
      <c r="H36">
        <v>112</v>
      </c>
      <c r="I36" s="32">
        <f t="shared" si="2"/>
        <v>19.166010488516726</v>
      </c>
      <c r="J36" s="1">
        <v>2.7671232876712302</v>
      </c>
      <c r="K36" s="32">
        <f t="shared" si="3"/>
        <v>19.276365842959613</v>
      </c>
      <c r="L36" s="32">
        <f t="shared" si="10"/>
        <v>113.17093587086464</v>
      </c>
      <c r="M36" s="32">
        <f t="shared" si="4"/>
        <v>0.2281248854975628</v>
      </c>
      <c r="N36">
        <v>0.77888216765131801</v>
      </c>
      <c r="O36" s="32">
        <f t="shared" si="11"/>
        <v>19.648378822575324</v>
      </c>
      <c r="P36" s="32">
        <f t="shared" si="5"/>
        <v>117.16307641143194</v>
      </c>
      <c r="Q36">
        <v>18</v>
      </c>
      <c r="R36">
        <v>130</v>
      </c>
      <c r="S36" s="1">
        <f t="shared" si="17"/>
        <v>19.167742631746723</v>
      </c>
      <c r="T36" s="1">
        <f t="shared" si="12"/>
        <v>19.648378822575324</v>
      </c>
      <c r="U36" s="1">
        <f t="shared" si="7"/>
        <v>19.368874560856096</v>
      </c>
      <c r="V36" s="1">
        <f t="shared" si="8"/>
        <v>2.5504489010708622</v>
      </c>
      <c r="W36" s="1">
        <f t="shared" si="13"/>
        <v>7.8122632319211099E-2</v>
      </c>
      <c r="X36" s="1">
        <f t="shared" si="14"/>
        <v>0.27950426171922871</v>
      </c>
      <c r="Y36" s="39">
        <f t="shared" si="9"/>
        <v>114.13840785112023</v>
      </c>
      <c r="AB36">
        <v>31</v>
      </c>
      <c r="AC36" s="7">
        <v>0.50000689100514473</v>
      </c>
      <c r="AD36">
        <v>1.1024572403290769</v>
      </c>
      <c r="AE36">
        <v>0.94357099914348752</v>
      </c>
      <c r="AF36" s="7">
        <v>5.808366619022548E-2</v>
      </c>
      <c r="AG36" s="10">
        <v>115.95663018798336</v>
      </c>
      <c r="AH36" s="1">
        <v>0.60766521805956586</v>
      </c>
      <c r="AI36" s="10">
        <v>31.705342478538363</v>
      </c>
      <c r="AJ36" s="32">
        <v>1814.756425739401</v>
      </c>
      <c r="AK36">
        <v>320</v>
      </c>
      <c r="AL36" s="7">
        <v>0.31476847879899345</v>
      </c>
    </row>
    <row r="37" spans="1:38" x14ac:dyDescent="0.3">
      <c r="A37">
        <v>78903</v>
      </c>
      <c r="B37">
        <v>28</v>
      </c>
      <c r="C37">
        <v>7</v>
      </c>
      <c r="D37">
        <v>1982</v>
      </c>
      <c r="E37">
        <v>23</v>
      </c>
      <c r="F37">
        <v>8</v>
      </c>
      <c r="G37">
        <v>1988</v>
      </c>
      <c r="H37">
        <v>72</v>
      </c>
      <c r="I37" s="32">
        <f t="shared" si="2"/>
        <v>14.970562748477139</v>
      </c>
      <c r="J37" s="1">
        <v>6.0767123287671199</v>
      </c>
      <c r="K37" s="32">
        <f t="shared" si="3"/>
        <v>16.317420325726783</v>
      </c>
      <c r="L37" s="32">
        <f t="shared" si="10"/>
        <v>83.881971847337169</v>
      </c>
      <c r="M37" s="32">
        <f t="shared" si="4"/>
        <v>0.42819292759959504</v>
      </c>
      <c r="N37">
        <v>0.58599539443093818</v>
      </c>
      <c r="O37" s="32">
        <f t="shared" si="11"/>
        <v>16.700874921874192</v>
      </c>
      <c r="P37" s="32">
        <f t="shared" si="5"/>
        <v>87.430680710895771</v>
      </c>
      <c r="Q37">
        <v>20</v>
      </c>
      <c r="R37">
        <v>92</v>
      </c>
      <c r="S37" s="1">
        <f t="shared" si="17"/>
        <v>14.971762814519451</v>
      </c>
      <c r="T37" s="1">
        <f t="shared" si="12"/>
        <v>16.700874921874192</v>
      </c>
      <c r="U37" s="1">
        <f t="shared" si="7"/>
        <v>16.434347685767452</v>
      </c>
      <c r="V37" s="1">
        <f t="shared" si="8"/>
        <v>4.8380614146753746</v>
      </c>
      <c r="W37" s="1">
        <f t="shared" si="13"/>
        <v>7.1036767586697636E-2</v>
      </c>
      <c r="X37" s="1">
        <f t="shared" si="14"/>
        <v>0.26652723610673945</v>
      </c>
      <c r="Y37" s="39">
        <f t="shared" si="9"/>
        <v>84.943578546238612</v>
      </c>
      <c r="AB37">
        <v>32</v>
      </c>
      <c r="AC37" s="7">
        <v>0.50004179021475936</v>
      </c>
      <c r="AD37">
        <v>0.96250412778863526</v>
      </c>
      <c r="AE37">
        <v>0.95209536650920934</v>
      </c>
      <c r="AF37" s="7">
        <v>4.9090074303310777E-2</v>
      </c>
      <c r="AG37" s="10">
        <v>121.98465405389661</v>
      </c>
      <c r="AH37" s="1">
        <v>0.52919692063931534</v>
      </c>
      <c r="AI37" s="10">
        <v>32.529687774376256</v>
      </c>
      <c r="AJ37" s="32">
        <v>1827.6070430827936</v>
      </c>
      <c r="AK37">
        <v>320</v>
      </c>
      <c r="AL37" s="7">
        <v>0.31883424266368537</v>
      </c>
    </row>
    <row r="38" spans="1:38" x14ac:dyDescent="0.3">
      <c r="A38">
        <v>78912</v>
      </c>
      <c r="B38">
        <v>28</v>
      </c>
      <c r="C38">
        <v>7</v>
      </c>
      <c r="D38">
        <v>1982</v>
      </c>
      <c r="E38">
        <v>26</v>
      </c>
      <c r="F38">
        <v>5</v>
      </c>
      <c r="G38">
        <v>1983</v>
      </c>
      <c r="H38">
        <v>70</v>
      </c>
      <c r="I38" s="32">
        <f t="shared" si="2"/>
        <v>14.733200530681511</v>
      </c>
      <c r="J38" s="1">
        <v>0.82739726027397298</v>
      </c>
      <c r="K38" s="32">
        <f t="shared" si="3"/>
        <v>14.952046389621183</v>
      </c>
      <c r="L38" s="32">
        <f t="shared" si="10"/>
        <v>71.842969198967126</v>
      </c>
      <c r="M38" s="32">
        <f t="shared" si="4"/>
        <v>7.5117564179232127E-2</v>
      </c>
      <c r="N38">
        <v>-2.3887150746304542</v>
      </c>
      <c r="O38" s="32">
        <f t="shared" si="11"/>
        <v>14.297357307268129</v>
      </c>
      <c r="P38" s="32">
        <f t="shared" si="5"/>
        <v>66.400963800191477</v>
      </c>
      <c r="Q38">
        <v>2</v>
      </c>
      <c r="R38">
        <v>72</v>
      </c>
      <c r="S38" s="1">
        <f t="shared" si="17"/>
        <v>14.734372118089272</v>
      </c>
      <c r="T38" s="1">
        <f t="shared" si="12"/>
        <v>14.297357307268129</v>
      </c>
      <c r="U38" s="1">
        <f t="shared" si="7"/>
        <v>14.968385262332919</v>
      </c>
      <c r="V38" s="1">
        <f t="shared" si="8"/>
        <v>0.83411833913465905</v>
      </c>
      <c r="W38" s="1">
        <f t="shared" si="13"/>
        <v>0.45027851647843437</v>
      </c>
      <c r="X38" s="1">
        <f t="shared" si="14"/>
        <v>-0.6710279550647904</v>
      </c>
      <c r="Y38" s="39">
        <f t="shared" si="9"/>
        <v>71.971346819934297</v>
      </c>
      <c r="AB38">
        <v>33</v>
      </c>
      <c r="AC38" s="7">
        <v>0.5017169970869706</v>
      </c>
      <c r="AD38">
        <v>1.1894822908130627</v>
      </c>
      <c r="AE38">
        <v>0.93640382162274161</v>
      </c>
      <c r="AF38" s="7">
        <v>6.5708462187526531E-2</v>
      </c>
      <c r="AG38" s="10">
        <v>106.11306583914975</v>
      </c>
      <c r="AH38" s="1">
        <v>0.6603796614121189</v>
      </c>
      <c r="AI38" s="10">
        <v>28.546976154394262</v>
      </c>
      <c r="AJ38" s="32">
        <v>1771.6177002673339</v>
      </c>
      <c r="AK38">
        <v>320</v>
      </c>
      <c r="AL38" s="7">
        <v>0.29867926021483659</v>
      </c>
    </row>
    <row r="39" spans="1:38" x14ac:dyDescent="0.3">
      <c r="A39">
        <v>79564</v>
      </c>
      <c r="B39">
        <v>5</v>
      </c>
      <c r="C39">
        <v>9</v>
      </c>
      <c r="D39">
        <v>1982</v>
      </c>
      <c r="E39">
        <v>21</v>
      </c>
      <c r="F39">
        <v>8</v>
      </c>
      <c r="G39">
        <v>1988</v>
      </c>
      <c r="H39">
        <v>76</v>
      </c>
      <c r="I39" s="32">
        <f t="shared" si="2"/>
        <v>15.435595774162696</v>
      </c>
      <c r="J39" s="1">
        <v>5.9643835616438396</v>
      </c>
      <c r="K39" s="32">
        <f t="shared" si="3"/>
        <v>16.638608199535934</v>
      </c>
      <c r="L39" s="32">
        <f t="shared" si="10"/>
        <v>86.849428903952045</v>
      </c>
      <c r="M39" s="32">
        <f t="shared" si="4"/>
        <v>0.42245718474285437</v>
      </c>
      <c r="N39">
        <v>-1.0704161468311213</v>
      </c>
      <c r="O39" s="32">
        <f t="shared" si="11"/>
        <v>15.94287295894472</v>
      </c>
      <c r="P39" s="32">
        <f t="shared" si="5"/>
        <v>80.486672505207395</v>
      </c>
      <c r="Q39">
        <v>8</v>
      </c>
      <c r="R39">
        <v>84</v>
      </c>
      <c r="S39" s="1">
        <f t="shared" si="17"/>
        <v>15.436852174114659</v>
      </c>
      <c r="T39" s="1">
        <f t="shared" si="12"/>
        <v>15.94287295894472</v>
      </c>
      <c r="U39" s="1">
        <f t="shared" si="7"/>
        <v>16.761185806976403</v>
      </c>
      <c r="V39" s="1">
        <f t="shared" si="8"/>
        <v>4.7716461603188094</v>
      </c>
      <c r="W39" s="1">
        <f t="shared" si="13"/>
        <v>0.66963591725372396</v>
      </c>
      <c r="X39" s="1">
        <f t="shared" si="14"/>
        <v>-0.8183128480316828</v>
      </c>
      <c r="Y39" s="39">
        <f t="shared" si="9"/>
        <v>87.982197897794208</v>
      </c>
      <c r="AB39">
        <v>34</v>
      </c>
      <c r="AC39" s="7">
        <v>0.50035224093319208</v>
      </c>
      <c r="AD39">
        <v>1.1420796402911459</v>
      </c>
      <c r="AE39">
        <v>0.94072302593351909</v>
      </c>
      <c r="AF39" s="7">
        <v>6.1106522857727989E-2</v>
      </c>
      <c r="AG39" s="10">
        <v>112.83763411974435</v>
      </c>
      <c r="AH39" s="1">
        <v>0.63071908141032973</v>
      </c>
      <c r="AI39" s="10">
        <v>26.993679335003332</v>
      </c>
      <c r="AJ39" s="32">
        <v>1760.5394311310897</v>
      </c>
      <c r="AK39">
        <v>320</v>
      </c>
      <c r="AL39" s="7">
        <v>0.29043974921123555</v>
      </c>
    </row>
    <row r="40" spans="1:38" x14ac:dyDescent="0.3">
      <c r="A40">
        <v>22599</v>
      </c>
      <c r="B40">
        <v>25</v>
      </c>
      <c r="C40">
        <v>7</v>
      </c>
      <c r="D40">
        <v>1982</v>
      </c>
      <c r="E40">
        <v>29</v>
      </c>
      <c r="F40">
        <v>7</v>
      </c>
      <c r="G40">
        <v>1984</v>
      </c>
      <c r="H40">
        <v>66</v>
      </c>
      <c r="I40" s="32">
        <f t="shared" si="2"/>
        <v>14.248076809271922</v>
      </c>
      <c r="J40" s="1">
        <v>2.0136986301369899</v>
      </c>
      <c r="K40" s="32">
        <f t="shared" si="3"/>
        <v>14.812535562059185</v>
      </c>
      <c r="L40" s="32">
        <f t="shared" si="10"/>
        <v>70.665338006376189</v>
      </c>
      <c r="M40" s="32">
        <f t="shared" si="4"/>
        <v>0.17228083225004931</v>
      </c>
      <c r="N40">
        <v>-0.45998376663192175</v>
      </c>
      <c r="O40" s="32">
        <f t="shared" si="11"/>
        <v>14.621611359331505</v>
      </c>
      <c r="P40" s="32">
        <f t="shared" si="5"/>
        <v>69.069491045164511</v>
      </c>
      <c r="Q40">
        <v>3</v>
      </c>
      <c r="R40">
        <v>69</v>
      </c>
      <c r="S40" s="1">
        <f t="shared" si="17"/>
        <v>14.249190784284599</v>
      </c>
      <c r="T40" s="1">
        <f t="shared" si="12"/>
        <v>14.621611359331505</v>
      </c>
      <c r="U40" s="1">
        <f t="shared" si="7"/>
        <v>14.847371428189307</v>
      </c>
      <c r="V40" s="1">
        <f t="shared" si="8"/>
        <v>1.9211259841271606</v>
      </c>
      <c r="W40" s="1">
        <f t="shared" si="13"/>
        <v>5.0967608690679643E-2</v>
      </c>
      <c r="X40" s="1">
        <f t="shared" si="14"/>
        <v>-0.22576006885780231</v>
      </c>
      <c r="Y40" s="39">
        <f t="shared" si="9"/>
        <v>70.948498283185998</v>
      </c>
      <c r="AB40">
        <v>35</v>
      </c>
      <c r="AC40" s="7">
        <v>0.50066871575410632</v>
      </c>
      <c r="AD40">
        <v>0.89560122263491204</v>
      </c>
      <c r="AE40">
        <v>0.95528893388392921</v>
      </c>
      <c r="AF40" s="7">
        <v>4.5741435690436656E-2</v>
      </c>
      <c r="AG40" s="10">
        <v>120.85752381433333</v>
      </c>
      <c r="AH40" s="1">
        <v>0.49311058008049963</v>
      </c>
      <c r="AI40" s="10">
        <v>30.264139440657587</v>
      </c>
      <c r="AJ40" s="32">
        <v>1803.84887808343</v>
      </c>
      <c r="AK40">
        <v>320</v>
      </c>
      <c r="AL40" s="7">
        <v>0.3075311947625069</v>
      </c>
    </row>
    <row r="41" spans="1:38" x14ac:dyDescent="0.3">
      <c r="A41">
        <v>78849</v>
      </c>
      <c r="B41">
        <v>27</v>
      </c>
      <c r="C41">
        <v>7</v>
      </c>
      <c r="D41">
        <v>1982</v>
      </c>
      <c r="E41">
        <v>31</v>
      </c>
      <c r="F41">
        <v>5</v>
      </c>
      <c r="G41">
        <v>1986</v>
      </c>
      <c r="H41">
        <v>89</v>
      </c>
      <c r="I41" s="32">
        <f t="shared" si="2"/>
        <v>16.867962264113206</v>
      </c>
      <c r="J41" s="1">
        <v>3.8465753424657501</v>
      </c>
      <c r="K41" s="32">
        <f t="shared" si="3"/>
        <v>17.428780486767703</v>
      </c>
      <c r="L41" s="32">
        <f t="shared" si="10"/>
        <v>94.369377800751366</v>
      </c>
      <c r="M41" s="32">
        <f t="shared" si="4"/>
        <v>0.30097401354720787</v>
      </c>
      <c r="N41">
        <v>0.93959897640161216</v>
      </c>
      <c r="O41" s="32">
        <f t="shared" si="11"/>
        <v>17.944254807302581</v>
      </c>
      <c r="P41" s="32">
        <f t="shared" si="5"/>
        <v>99.443324954653036</v>
      </c>
      <c r="Q41">
        <v>12</v>
      </c>
      <c r="R41">
        <v>101</v>
      </c>
      <c r="S41" s="1">
        <f t="shared" si="17"/>
        <v>16.869396490572026</v>
      </c>
      <c r="T41" s="1">
        <f t="shared" si="12"/>
        <v>17.944254807302581</v>
      </c>
      <c r="U41" s="1">
        <f t="shared" si="7"/>
        <v>17.526346053979317</v>
      </c>
      <c r="V41" s="1">
        <f t="shared" si="8"/>
        <v>3.3770111490897055</v>
      </c>
      <c r="W41" s="1">
        <f t="shared" si="13"/>
        <v>0.17464772610420468</v>
      </c>
      <c r="X41" s="1">
        <f t="shared" si="14"/>
        <v>0.41790875332326394</v>
      </c>
      <c r="Y41" s="39">
        <f t="shared" si="9"/>
        <v>95.30472907418752</v>
      </c>
      <c r="AB41">
        <v>36</v>
      </c>
      <c r="AC41" s="7">
        <v>0.49933579448787463</v>
      </c>
      <c r="AD41">
        <v>0.79235968218412001</v>
      </c>
      <c r="AE41">
        <v>0.96326750504621894</v>
      </c>
      <c r="AF41" s="7">
        <v>3.7424122740690083E-2</v>
      </c>
      <c r="AG41" s="10">
        <v>139.47335606533321</v>
      </c>
      <c r="AH41" s="1">
        <v>0.43238604637734845</v>
      </c>
      <c r="AI41" s="10">
        <v>26.675957410039768</v>
      </c>
      <c r="AJ41" s="32">
        <v>1772.5702081248933</v>
      </c>
      <c r="AK41">
        <v>320</v>
      </c>
      <c r="AL41" s="7">
        <v>0.2887254178391197</v>
      </c>
    </row>
    <row r="42" spans="1:38" x14ac:dyDescent="0.3">
      <c r="A42">
        <v>79429</v>
      </c>
      <c r="B42">
        <v>3</v>
      </c>
      <c r="C42">
        <v>9</v>
      </c>
      <c r="D42">
        <v>1982</v>
      </c>
      <c r="E42">
        <v>15</v>
      </c>
      <c r="F42">
        <v>6</v>
      </c>
      <c r="G42">
        <v>1983</v>
      </c>
      <c r="H42">
        <v>68</v>
      </c>
      <c r="I42" s="32">
        <f t="shared" si="2"/>
        <v>14.492422502470642</v>
      </c>
      <c r="J42" s="1">
        <v>0.78082191780821897</v>
      </c>
      <c r="K42" s="32">
        <f t="shared" si="3"/>
        <v>14.708647192554812</v>
      </c>
      <c r="L42" s="32">
        <f t="shared" si="10"/>
        <v>69.794722751317465</v>
      </c>
      <c r="M42" s="32">
        <f t="shared" si="4"/>
        <v>7.1056315085784014E-2</v>
      </c>
      <c r="N42">
        <v>-0.49998675422102679</v>
      </c>
      <c r="O42" s="32">
        <f t="shared" si="11"/>
        <v>14.575368771241875</v>
      </c>
      <c r="P42" s="32">
        <f t="shared" si="5"/>
        <v>68.685712475665113</v>
      </c>
      <c r="Q42">
        <v>6</v>
      </c>
      <c r="R42">
        <v>74</v>
      </c>
      <c r="S42" s="1">
        <f t="shared" si="17"/>
        <v>14.49356539510066</v>
      </c>
      <c r="T42" s="1">
        <f t="shared" si="12"/>
        <v>14.575368771241875</v>
      </c>
      <c r="U42" s="1">
        <f t="shared" si="7"/>
        <v>14.723427624267185</v>
      </c>
      <c r="V42" s="1">
        <f t="shared" si="8"/>
        <v>0.78888803588688972</v>
      </c>
      <c r="W42" s="1">
        <f t="shared" si="13"/>
        <v>2.1921423959170273E-2</v>
      </c>
      <c r="X42" s="1">
        <f t="shared" si="14"/>
        <v>-0.14805885302530974</v>
      </c>
      <c r="Y42" s="39">
        <f t="shared" si="9"/>
        <v>69.908472680345952</v>
      </c>
      <c r="AB42">
        <v>37</v>
      </c>
      <c r="AC42" s="7">
        <v>0.49935930769512638</v>
      </c>
      <c r="AD42">
        <v>0.84939911251265365</v>
      </c>
      <c r="AE42">
        <v>0.95903214872256759</v>
      </c>
      <c r="AF42" s="7">
        <v>4.1830681487941744E-2</v>
      </c>
      <c r="AG42" s="10">
        <v>129.70512917333872</v>
      </c>
      <c r="AH42" s="1">
        <v>0.46512320405860591</v>
      </c>
      <c r="AI42" s="10">
        <v>26.488263460439082</v>
      </c>
      <c r="AJ42" s="32">
        <v>1766.6766950480148</v>
      </c>
      <c r="AK42">
        <v>320</v>
      </c>
      <c r="AL42" s="7">
        <v>0.28770787843552725</v>
      </c>
    </row>
    <row r="43" spans="1:38" x14ac:dyDescent="0.3">
      <c r="A43">
        <v>22670</v>
      </c>
      <c r="B43">
        <v>26</v>
      </c>
      <c r="C43">
        <v>7</v>
      </c>
      <c r="D43">
        <v>1982</v>
      </c>
      <c r="E43">
        <v>1</v>
      </c>
      <c r="F43">
        <v>5</v>
      </c>
      <c r="G43">
        <v>1986</v>
      </c>
      <c r="H43">
        <v>83</v>
      </c>
      <c r="I43" s="32">
        <f t="shared" si="2"/>
        <v>16.220867158288598</v>
      </c>
      <c r="J43" s="1">
        <v>3.7671232876712302</v>
      </c>
      <c r="K43" s="32">
        <f t="shared" si="3"/>
        <v>16.88488393190687</v>
      </c>
      <c r="L43" s="32">
        <f t="shared" si="10"/>
        <v>89.159710280398571</v>
      </c>
      <c r="M43" s="32">
        <f t="shared" si="4"/>
        <v>0.29588270916155052</v>
      </c>
      <c r="N43">
        <v>2.9007060220465064</v>
      </c>
      <c r="O43" s="32">
        <f t="shared" si="11"/>
        <v>18.462725923326911</v>
      </c>
      <c r="P43" s="32">
        <f t="shared" si="5"/>
        <v>104.6807880532988</v>
      </c>
      <c r="Q43">
        <v>32</v>
      </c>
      <c r="R43">
        <v>115</v>
      </c>
      <c r="S43" s="1">
        <f t="shared" si="17"/>
        <v>16.222220261490186</v>
      </c>
      <c r="T43" s="1">
        <f t="shared" si="12"/>
        <v>18.462725923326911</v>
      </c>
      <c r="U43" s="1">
        <f t="shared" si="7"/>
        <v>16.972940741930216</v>
      </c>
      <c r="V43" s="1">
        <f t="shared" si="8"/>
        <v>3.3190239795469934</v>
      </c>
      <c r="W43" s="1">
        <f t="shared" si="13"/>
        <v>2.2194598867091817</v>
      </c>
      <c r="X43" s="1">
        <f t="shared" si="14"/>
        <v>1.4897851813966945</v>
      </c>
      <c r="Y43" s="39">
        <f t="shared" si="9"/>
        <v>89.979390638562919</v>
      </c>
      <c r="AB43">
        <v>38</v>
      </c>
      <c r="AC43" s="7">
        <v>0.50110105884667422</v>
      </c>
      <c r="AD43">
        <v>0.88611588024191967</v>
      </c>
      <c r="AE43">
        <v>0.95608093777166225</v>
      </c>
      <c r="AF43" s="7">
        <v>4.4912706573370986E-2</v>
      </c>
      <c r="AG43" s="10">
        <v>122.13883681227631</v>
      </c>
      <c r="AH43" s="1">
        <v>0.48795266807841647</v>
      </c>
      <c r="AI43" s="10">
        <v>29.519983920614841</v>
      </c>
      <c r="AJ43" s="32">
        <v>1796.0502478361796</v>
      </c>
      <c r="AK43">
        <v>320</v>
      </c>
      <c r="AL43" s="7">
        <v>0.30372676825054684</v>
      </c>
    </row>
    <row r="44" spans="1:38" x14ac:dyDescent="0.3">
      <c r="A44">
        <v>79518</v>
      </c>
      <c r="B44">
        <v>5</v>
      </c>
      <c r="C44">
        <v>9</v>
      </c>
      <c r="D44">
        <v>1982</v>
      </c>
      <c r="E44">
        <v>7</v>
      </c>
      <c r="F44">
        <v>7</v>
      </c>
      <c r="G44">
        <v>1984</v>
      </c>
      <c r="H44">
        <v>71</v>
      </c>
      <c r="I44" s="32">
        <f t="shared" si="2"/>
        <v>14.852299546352718</v>
      </c>
      <c r="J44" s="1">
        <v>1.83835616438356</v>
      </c>
      <c r="K44" s="32">
        <f t="shared" si="3"/>
        <v>15.315520748701882</v>
      </c>
      <c r="L44" s="32">
        <f t="shared" si="10"/>
        <v>74.956814699681345</v>
      </c>
      <c r="M44" s="32">
        <f t="shared" si="4"/>
        <v>0.15865347774023775</v>
      </c>
      <c r="N44">
        <v>0.45692559069721028</v>
      </c>
      <c r="O44" s="32">
        <f t="shared" si="11"/>
        <v>15.497520284447642</v>
      </c>
      <c r="P44" s="32">
        <f t="shared" si="5"/>
        <v>76.540804026164167</v>
      </c>
      <c r="Q44">
        <v>5</v>
      </c>
      <c r="R44">
        <v>76</v>
      </c>
      <c r="S44" s="1">
        <f t="shared" si="17"/>
        <v>14.853485399691037</v>
      </c>
      <c r="T44" s="1">
        <f t="shared" si="12"/>
        <v>15.497520284447642</v>
      </c>
      <c r="U44" s="1">
        <f t="shared" si="7"/>
        <v>15.351234030284393</v>
      </c>
      <c r="V44" s="1">
        <f t="shared" si="8"/>
        <v>1.7680816522283369</v>
      </c>
      <c r="W44" s="1">
        <f t="shared" si="13"/>
        <v>2.1399668157114565E-2</v>
      </c>
      <c r="X44" s="1">
        <f t="shared" si="14"/>
        <v>0.14628625416324859</v>
      </c>
      <c r="Y44" s="39">
        <f t="shared" si="9"/>
        <v>75.255521366889326</v>
      </c>
      <c r="AB44">
        <v>39</v>
      </c>
      <c r="AC44" s="7">
        <v>0.50041780107711897</v>
      </c>
      <c r="AD44">
        <v>0.94206091602276387</v>
      </c>
      <c r="AE44">
        <v>0.95379076384550809</v>
      </c>
      <c r="AF44" s="7">
        <v>4.7310956698650007E-2</v>
      </c>
      <c r="AG44" s="10">
        <v>124.97832388721832</v>
      </c>
      <c r="AH44" s="1">
        <v>0.51763328823129984</v>
      </c>
      <c r="AI44" s="10">
        <v>27.960178410851046</v>
      </c>
      <c r="AJ44" s="32">
        <v>1780.3652820962475</v>
      </c>
      <c r="AK44">
        <v>320</v>
      </c>
      <c r="AL44" s="7">
        <v>0.2955935681538242</v>
      </c>
    </row>
    <row r="45" spans="1:38" x14ac:dyDescent="0.3">
      <c r="A45">
        <v>79367</v>
      </c>
      <c r="B45">
        <v>29</v>
      </c>
      <c r="C45">
        <v>8</v>
      </c>
      <c r="D45">
        <v>1982</v>
      </c>
      <c r="E45">
        <v>15</v>
      </c>
      <c r="F45">
        <v>7</v>
      </c>
      <c r="G45">
        <v>1983</v>
      </c>
      <c r="H45">
        <v>70</v>
      </c>
      <c r="I45" s="32">
        <f t="shared" si="2"/>
        <v>14.733200530681511</v>
      </c>
      <c r="J45" s="1">
        <v>0.87671232876712302</v>
      </c>
      <c r="K45" s="32">
        <f t="shared" si="3"/>
        <v>14.964799215316221</v>
      </c>
      <c r="L45" s="32">
        <f t="shared" si="10"/>
        <v>71.951103103998449</v>
      </c>
      <c r="M45" s="32">
        <f t="shared" si="4"/>
        <v>7.9396612281059792E-2</v>
      </c>
      <c r="N45">
        <v>-0.16432863958470989</v>
      </c>
      <c r="O45" s="32">
        <f t="shared" si="11"/>
        <v>14.918495669876172</v>
      </c>
      <c r="P45" s="32">
        <f t="shared" si="5"/>
        <v>71.558873932904703</v>
      </c>
      <c r="Q45">
        <v>2</v>
      </c>
      <c r="R45">
        <v>72</v>
      </c>
      <c r="S45" s="1">
        <f t="shared" si="17"/>
        <v>14.734372118089272</v>
      </c>
      <c r="T45" s="1">
        <f t="shared" si="12"/>
        <v>14.918495669876172</v>
      </c>
      <c r="U45" s="1">
        <f t="shared" si="7"/>
        <v>14.982044401832978</v>
      </c>
      <c r="V45" s="1">
        <f t="shared" si="8"/>
        <v>0.88179133484330852</v>
      </c>
      <c r="W45" s="1">
        <f t="shared" si="13"/>
        <v>4.0384413333178909E-3</v>
      </c>
      <c r="X45" s="1">
        <f t="shared" si="14"/>
        <v>-6.3548731956805327E-2</v>
      </c>
      <c r="Y45" s="39">
        <f t="shared" si="9"/>
        <v>72.08725808071064</v>
      </c>
      <c r="AB45">
        <v>40</v>
      </c>
      <c r="AC45" s="7">
        <v>0.50023204416608236</v>
      </c>
      <c r="AD45">
        <v>1.0653464661805749</v>
      </c>
      <c r="AE45">
        <v>0.94635883889918126</v>
      </c>
      <c r="AF45" s="7">
        <v>5.5133459551201684E-2</v>
      </c>
      <c r="AG45" s="10">
        <v>119.30733956843355</v>
      </c>
      <c r="AH45" s="1">
        <v>0.58656160162343984</v>
      </c>
      <c r="AI45" s="10">
        <v>29.823168289260565</v>
      </c>
      <c r="AJ45" s="32">
        <v>1797.1522297832412</v>
      </c>
      <c r="AK45">
        <v>320</v>
      </c>
      <c r="AL45" s="7">
        <v>0.30528249360868903</v>
      </c>
    </row>
    <row r="46" spans="1:38" x14ac:dyDescent="0.3">
      <c r="A46">
        <v>78894</v>
      </c>
      <c r="B46">
        <v>27</v>
      </c>
      <c r="C46">
        <v>7</v>
      </c>
      <c r="D46">
        <v>1982</v>
      </c>
      <c r="E46">
        <v>24</v>
      </c>
      <c r="F46">
        <v>5</v>
      </c>
      <c r="G46">
        <v>1983</v>
      </c>
      <c r="H46">
        <v>82</v>
      </c>
      <c r="I46" s="32">
        <f t="shared" si="2"/>
        <v>16.110770276274835</v>
      </c>
      <c r="J46" s="1">
        <v>0.82465753424657495</v>
      </c>
      <c r="K46" s="32">
        <f t="shared" si="3"/>
        <v>16.271851529219919</v>
      </c>
      <c r="L46" s="32">
        <f t="shared" si="10"/>
        <v>83.465139576464082</v>
      </c>
      <c r="M46" s="32">
        <f t="shared" si="4"/>
        <v>7.4879203949758222E-2</v>
      </c>
      <c r="N46">
        <v>-0.90495404947432689</v>
      </c>
      <c r="O46" s="32">
        <f t="shared" si="11"/>
        <v>16.024219317187928</v>
      </c>
      <c r="P46" s="32">
        <f t="shared" si="5"/>
        <v>81.218120498522609</v>
      </c>
      <c r="Q46">
        <v>1</v>
      </c>
      <c r="R46">
        <v>83</v>
      </c>
      <c r="S46" s="1">
        <f t="shared" si="17"/>
        <v>16.112109704694813</v>
      </c>
      <c r="T46" s="1">
        <f t="shared" si="12"/>
        <v>16.024219317187928</v>
      </c>
      <c r="U46" s="1">
        <f t="shared" si="7"/>
        <v>16.292371531696482</v>
      </c>
      <c r="V46" s="1">
        <f t="shared" si="8"/>
        <v>0.83146327651059948</v>
      </c>
      <c r="W46" s="1">
        <f t="shared" si="13"/>
        <v>7.1905610145841431E-2</v>
      </c>
      <c r="X46" s="1">
        <f t="shared" si="14"/>
        <v>-0.26815221450855375</v>
      </c>
      <c r="Y46" s="39">
        <f t="shared" si="9"/>
        <v>83.640258931826793</v>
      </c>
      <c r="AB46">
        <v>41</v>
      </c>
      <c r="AC46" s="7">
        <v>0.50028650273411035</v>
      </c>
      <c r="AD46">
        <v>0.98913540556184343</v>
      </c>
      <c r="AE46">
        <v>0.95025917152922867</v>
      </c>
      <c r="AF46" s="7">
        <v>5.1020519457984373E-2</v>
      </c>
      <c r="AG46" s="10">
        <v>119.54348880700334</v>
      </c>
      <c r="AH46" s="1">
        <v>0.54459192124979183</v>
      </c>
      <c r="AI46" s="10">
        <v>27.454428219636142</v>
      </c>
      <c r="AJ46" s="32">
        <v>1771.5723924674051</v>
      </c>
      <c r="AK46">
        <v>320</v>
      </c>
      <c r="AL46" s="7">
        <v>0.29290798586990241</v>
      </c>
    </row>
    <row r="47" spans="1:38" x14ac:dyDescent="0.3">
      <c r="A47">
        <v>76787</v>
      </c>
      <c r="B47">
        <v>30</v>
      </c>
      <c r="C47">
        <v>7</v>
      </c>
      <c r="D47">
        <v>1982</v>
      </c>
      <c r="E47">
        <v>24</v>
      </c>
      <c r="F47">
        <v>8</v>
      </c>
      <c r="G47">
        <v>1987</v>
      </c>
      <c r="H47">
        <v>59</v>
      </c>
      <c r="I47" s="32">
        <f t="shared" si="2"/>
        <v>13.362291495737216</v>
      </c>
      <c r="J47" s="1">
        <v>5.0712328767123296</v>
      </c>
      <c r="K47" s="32">
        <f t="shared" si="3"/>
        <v>14.882599689259838</v>
      </c>
      <c r="L47" s="32">
        <f t="shared" si="10"/>
        <v>71.255543066949087</v>
      </c>
      <c r="M47" s="32">
        <f t="shared" si="4"/>
        <v>0.37442068260540434</v>
      </c>
      <c r="N47">
        <v>-0.98804548542830162</v>
      </c>
      <c r="O47" s="32">
        <f t="shared" si="11"/>
        <v>14.27801540546675</v>
      </c>
      <c r="P47" s="32">
        <f t="shared" si="5"/>
        <v>66.243446385153206</v>
      </c>
      <c r="Q47">
        <v>2</v>
      </c>
      <c r="R47">
        <v>61</v>
      </c>
      <c r="S47" s="1">
        <f t="shared" si="17"/>
        <v>13.363302398360892</v>
      </c>
      <c r="T47" s="1">
        <f t="shared" si="12"/>
        <v>14.27801540546675</v>
      </c>
      <c r="U47" s="1">
        <f t="shared" si="7"/>
        <v>14.956812364590569</v>
      </c>
      <c r="V47" s="1">
        <f t="shared" si="8"/>
        <v>4.2175323166950323</v>
      </c>
      <c r="W47" s="1">
        <f t="shared" si="13"/>
        <v>0.46076531171574331</v>
      </c>
      <c r="X47" s="1">
        <f t="shared" si="14"/>
        <v>-0.67879695912381877</v>
      </c>
      <c r="Y47" s="39">
        <f t="shared" si="9"/>
        <v>71.873212356889255</v>
      </c>
      <c r="AB47">
        <v>42</v>
      </c>
      <c r="AC47" s="7">
        <v>0.5002760652341175</v>
      </c>
      <c r="AD47">
        <v>1.0862491111298407</v>
      </c>
      <c r="AE47">
        <v>0.9433358822789959</v>
      </c>
      <c r="AF47" s="7">
        <v>5.8332874954074181E-2</v>
      </c>
      <c r="AG47" s="10">
        <v>111.8621794072741</v>
      </c>
      <c r="AH47" s="1">
        <v>0.60008854890109842</v>
      </c>
      <c r="AI47" s="10">
        <v>29.443064515534871</v>
      </c>
      <c r="AJ47" s="32">
        <v>1788.5905116741333</v>
      </c>
      <c r="AK47">
        <v>320</v>
      </c>
      <c r="AL47" s="7">
        <v>0.3033308039270764</v>
      </c>
    </row>
    <row r="48" spans="1:38" x14ac:dyDescent="0.3">
      <c r="A48">
        <v>78727</v>
      </c>
      <c r="B48">
        <v>24</v>
      </c>
      <c r="C48">
        <v>7</v>
      </c>
      <c r="D48">
        <v>1982</v>
      </c>
      <c r="E48">
        <v>14</v>
      </c>
      <c r="F48">
        <v>6</v>
      </c>
      <c r="G48">
        <v>1983</v>
      </c>
      <c r="H48">
        <v>85</v>
      </c>
      <c r="I48" s="32">
        <f t="shared" si="2"/>
        <v>16.439088914585774</v>
      </c>
      <c r="J48" s="1">
        <v>0.89041095890411004</v>
      </c>
      <c r="K48" s="32">
        <f t="shared" si="3"/>
        <v>16.59806521715803</v>
      </c>
      <c r="L48" s="32">
        <f t="shared" si="10"/>
        <v>86.472007455415849</v>
      </c>
      <c r="M48" s="32">
        <f t="shared" si="4"/>
        <v>8.058139994140677E-2</v>
      </c>
      <c r="N48">
        <v>-0.94150436780182645</v>
      </c>
      <c r="O48" s="32">
        <f t="shared" si="11"/>
        <v>16.330801660732579</v>
      </c>
      <c r="P48" s="32">
        <f t="shared" si="5"/>
        <v>84.004572381279075</v>
      </c>
      <c r="Q48">
        <v>1</v>
      </c>
      <c r="R48">
        <v>86</v>
      </c>
      <c r="S48" s="1">
        <f t="shared" si="17"/>
        <v>16.440469232880666</v>
      </c>
      <c r="T48" s="1">
        <f t="shared" si="12"/>
        <v>16.330801660732579</v>
      </c>
      <c r="U48" s="1">
        <f t="shared" si="7"/>
        <v>16.621186604891594</v>
      </c>
      <c r="V48" s="1">
        <f t="shared" si="8"/>
        <v>0.89499419378630929</v>
      </c>
      <c r="W48" s="1">
        <f t="shared" si="13"/>
        <v>8.4323415794234483E-2</v>
      </c>
      <c r="X48" s="1">
        <f t="shared" si="14"/>
        <v>-0.29038494415901539</v>
      </c>
      <c r="Y48" s="39">
        <f t="shared" si="9"/>
        <v>86.674085714032699</v>
      </c>
      <c r="AB48">
        <v>43</v>
      </c>
      <c r="AC48" s="7">
        <v>0.50125967993363885</v>
      </c>
      <c r="AD48">
        <v>0.98807201645938481</v>
      </c>
      <c r="AE48">
        <v>0.95024329568566634</v>
      </c>
      <c r="AF48" s="7">
        <v>5.1037226453988394E-2</v>
      </c>
      <c r="AG48" s="10">
        <v>118.55623000828271</v>
      </c>
      <c r="AH48" s="1">
        <v>0.54503736703615002</v>
      </c>
      <c r="AI48" s="10">
        <v>30.077616727495624</v>
      </c>
      <c r="AJ48" s="32">
        <v>1799.2445123222114</v>
      </c>
      <c r="AK48">
        <v>320</v>
      </c>
      <c r="AL48" s="7">
        <v>0.3065820481917097</v>
      </c>
    </row>
    <row r="49" spans="1:38" x14ac:dyDescent="0.3">
      <c r="A49">
        <v>77085</v>
      </c>
      <c r="B49">
        <v>1</v>
      </c>
      <c r="C49">
        <v>8</v>
      </c>
      <c r="D49">
        <v>1982</v>
      </c>
      <c r="E49">
        <v>11</v>
      </c>
      <c r="F49">
        <v>6</v>
      </c>
      <c r="G49">
        <v>1985</v>
      </c>
      <c r="H49">
        <v>80</v>
      </c>
      <c r="I49" s="32">
        <f t="shared" si="2"/>
        <v>15.888543819998318</v>
      </c>
      <c r="J49" s="1">
        <v>2.86301369863014</v>
      </c>
      <c r="K49" s="32">
        <f t="shared" si="3"/>
        <v>16.450084277792566</v>
      </c>
      <c r="L49" s="32">
        <f t="shared" si="10"/>
        <v>85.101402464412104</v>
      </c>
      <c r="M49" s="32">
        <f t="shared" si="4"/>
        <v>0.23492766288993189</v>
      </c>
      <c r="N49">
        <v>1.5884415915934369</v>
      </c>
      <c r="O49" s="32">
        <f t="shared" si="11"/>
        <v>17.219991385817675</v>
      </c>
      <c r="P49" s="32">
        <f t="shared" si="5"/>
        <v>92.352017217726413</v>
      </c>
      <c r="Q49">
        <v>10</v>
      </c>
      <c r="R49">
        <v>90</v>
      </c>
      <c r="S49" s="1">
        <f t="shared" si="17"/>
        <v>15.889855761403318</v>
      </c>
      <c r="T49" s="1">
        <f t="shared" si="12"/>
        <v>17.219991385817675</v>
      </c>
      <c r="U49" s="1">
        <f t="shared" si="7"/>
        <v>16.51478569834395</v>
      </c>
      <c r="V49" s="1">
        <f t="shared" si="8"/>
        <v>2.6273573885959287</v>
      </c>
      <c r="W49" s="1">
        <f t="shared" si="13"/>
        <v>0.4973150616452896</v>
      </c>
      <c r="X49" s="1">
        <f t="shared" si="14"/>
        <v>0.70520568747372536</v>
      </c>
      <c r="Y49" s="39">
        <f t="shared" si="9"/>
        <v>85.686458601038296</v>
      </c>
      <c r="AB49">
        <v>44</v>
      </c>
      <c r="AC49" s="7">
        <v>0.50032346020798568</v>
      </c>
      <c r="AD49">
        <v>1.0084389127758515</v>
      </c>
      <c r="AE49">
        <v>0.94761361609289929</v>
      </c>
      <c r="AF49" s="7">
        <v>5.3808437770664949E-2</v>
      </c>
      <c r="AG49" s="10">
        <v>112.67827025877834</v>
      </c>
      <c r="AH49" s="1">
        <v>0.55693203015549375</v>
      </c>
      <c r="AI49" s="10">
        <v>29.519205602552681</v>
      </c>
      <c r="AJ49" s="32">
        <v>1790.7605335628839</v>
      </c>
      <c r="AK49">
        <v>320</v>
      </c>
      <c r="AL49" s="7">
        <v>0.30372276422418049</v>
      </c>
    </row>
    <row r="50" spans="1:38" x14ac:dyDescent="0.3">
      <c r="A50">
        <v>79601</v>
      </c>
      <c r="B50">
        <v>6</v>
      </c>
      <c r="C50">
        <v>9</v>
      </c>
      <c r="D50">
        <v>1982</v>
      </c>
      <c r="E50">
        <v>12</v>
      </c>
      <c r="F50">
        <v>6</v>
      </c>
      <c r="G50">
        <v>1985</v>
      </c>
      <c r="H50">
        <v>91</v>
      </c>
      <c r="I50" s="32">
        <f t="shared" si="2"/>
        <v>17.078784028338912</v>
      </c>
      <c r="J50" s="1">
        <v>2.7671232876712302</v>
      </c>
      <c r="K50" s="32">
        <f t="shared" si="3"/>
        <v>17.465325848731286</v>
      </c>
      <c r="L50" s="32">
        <f t="shared" si="10"/>
        <v>94.724727599321596</v>
      </c>
      <c r="M50" s="32">
        <f t="shared" si="4"/>
        <v>0.2281248854975628</v>
      </c>
      <c r="N50">
        <v>0.72369630288449116</v>
      </c>
      <c r="O50" s="32">
        <f t="shared" si="11"/>
        <v>17.810980723312337</v>
      </c>
      <c r="P50" s="32">
        <f t="shared" si="5"/>
        <v>98.118739304863254</v>
      </c>
      <c r="Q50">
        <v>15</v>
      </c>
      <c r="R50">
        <v>106</v>
      </c>
      <c r="S50" s="1">
        <f t="shared" si="17"/>
        <v>17.080244956481966</v>
      </c>
      <c r="T50" s="1">
        <f t="shared" si="12"/>
        <v>17.810980723312337</v>
      </c>
      <c r="U50" s="1">
        <f t="shared" si="7"/>
        <v>17.538798460059397</v>
      </c>
      <c r="V50" s="1">
        <f t="shared" si="8"/>
        <v>2.5504489010708622</v>
      </c>
      <c r="W50" s="1">
        <f t="shared" si="13"/>
        <v>7.4083184429492868E-2</v>
      </c>
      <c r="X50" s="1">
        <f t="shared" si="14"/>
        <v>0.27218226325294026</v>
      </c>
      <c r="Y50" s="39">
        <f t="shared" si="9"/>
        <v>95.426317781341439</v>
      </c>
      <c r="AB50">
        <v>45</v>
      </c>
      <c r="AC50" s="7">
        <v>0.50038332652894213</v>
      </c>
      <c r="AD50">
        <v>1.0540283877818037</v>
      </c>
      <c r="AE50">
        <v>0.94527697339991923</v>
      </c>
      <c r="AF50" s="7">
        <v>5.6277300887028481E-2</v>
      </c>
      <c r="AG50" s="10">
        <v>112.7569342122312</v>
      </c>
      <c r="AH50" s="1">
        <v>0.58214125753427748</v>
      </c>
      <c r="AI50" s="10">
        <v>28.053182970236328</v>
      </c>
      <c r="AJ50" s="32">
        <v>1773.9408754034755</v>
      </c>
      <c r="AK50">
        <v>320</v>
      </c>
      <c r="AL50" s="7">
        <v>0.29608477972024927</v>
      </c>
    </row>
    <row r="51" spans="1:38" x14ac:dyDescent="0.3">
      <c r="A51">
        <v>22981</v>
      </c>
      <c r="B51">
        <v>29</v>
      </c>
      <c r="C51">
        <v>7</v>
      </c>
      <c r="D51">
        <v>1982</v>
      </c>
      <c r="E51">
        <v>8</v>
      </c>
      <c r="F51">
        <v>5</v>
      </c>
      <c r="G51">
        <v>1988</v>
      </c>
      <c r="H51">
        <v>57</v>
      </c>
      <c r="I51" s="32">
        <f t="shared" si="2"/>
        <v>13.0996688705415</v>
      </c>
      <c r="J51" s="1">
        <v>5.7808219178082201</v>
      </c>
      <c r="K51" s="32">
        <f t="shared" si="3"/>
        <v>14.87027526526731</v>
      </c>
      <c r="L51" s="32">
        <f t="shared" si="10"/>
        <v>71.151546881472498</v>
      </c>
      <c r="M51" s="32">
        <f t="shared" si="4"/>
        <v>0.41294071208028604</v>
      </c>
      <c r="N51">
        <v>0.67398559622233734</v>
      </c>
      <c r="O51" s="32">
        <f t="shared" si="11"/>
        <v>15.303381530783167</v>
      </c>
      <c r="P51" s="32">
        <f t="shared" si="5"/>
        <v>74.851753099961996</v>
      </c>
      <c r="Q51">
        <v>15</v>
      </c>
      <c r="R51">
        <v>72</v>
      </c>
      <c r="S51" s="1">
        <f t="shared" si="17"/>
        <v>13.100649759066076</v>
      </c>
      <c r="T51" s="1">
        <f t="shared" si="12"/>
        <v>15.303381530783167</v>
      </c>
      <c r="U51" s="1">
        <f t="shared" si="7"/>
        <v>14.951168779701995</v>
      </c>
      <c r="V51" s="1">
        <f t="shared" si="8"/>
        <v>4.6615748696387129</v>
      </c>
      <c r="W51" s="1">
        <f t="shared" si="13"/>
        <v>0.1240538220241677</v>
      </c>
      <c r="X51" s="1">
        <f t="shared" si="14"/>
        <v>0.35221275108117212</v>
      </c>
      <c r="Y51" s="39">
        <f t="shared" si="9"/>
        <v>71.825380849601132</v>
      </c>
      <c r="AB51">
        <v>46</v>
      </c>
      <c r="AC51" s="7">
        <v>0.49995712376872015</v>
      </c>
      <c r="AD51">
        <v>0.85747747874072155</v>
      </c>
      <c r="AE51">
        <v>0.95842411685678364</v>
      </c>
      <c r="AF51" s="7">
        <v>4.2464888272293479E-2</v>
      </c>
      <c r="AG51" s="10">
        <v>127.99906377051536</v>
      </c>
      <c r="AH51" s="1">
        <v>0.47027785711088138</v>
      </c>
      <c r="AI51" s="10">
        <v>25.479515618218915</v>
      </c>
      <c r="AJ51" s="32">
        <v>1752.965717545856</v>
      </c>
      <c r="AK51">
        <v>320</v>
      </c>
      <c r="AL51" s="7">
        <v>0.28217633902744949</v>
      </c>
    </row>
    <row r="52" spans="1:38" x14ac:dyDescent="0.3">
      <c r="A52">
        <v>22916</v>
      </c>
      <c r="B52">
        <v>28</v>
      </c>
      <c r="C52">
        <v>7</v>
      </c>
      <c r="D52">
        <v>1982</v>
      </c>
      <c r="E52">
        <v>10</v>
      </c>
      <c r="F52">
        <v>5</v>
      </c>
      <c r="G52">
        <v>1988</v>
      </c>
      <c r="H52">
        <v>83</v>
      </c>
      <c r="I52" s="32">
        <f t="shared" si="2"/>
        <v>16.220867158288598</v>
      </c>
      <c r="J52" s="1">
        <v>5.7890410958904104</v>
      </c>
      <c r="K52" s="32">
        <f t="shared" si="3"/>
        <v>17.191766642577115</v>
      </c>
      <c r="L52" s="32">
        <f t="shared" si="10"/>
        <v>92.080976715783919</v>
      </c>
      <c r="M52" s="32">
        <f t="shared" si="4"/>
        <v>0.41337066613648554</v>
      </c>
      <c r="N52">
        <v>-0.2474121174600441</v>
      </c>
      <c r="O52" s="32">
        <f t="shared" si="11"/>
        <v>17.032695722329557</v>
      </c>
      <c r="P52" s="32">
        <f t="shared" si="5"/>
        <v>90.560876614695445</v>
      </c>
      <c r="Q52">
        <v>12</v>
      </c>
      <c r="R52">
        <v>95</v>
      </c>
      <c r="S52" s="1">
        <f t="shared" si="17"/>
        <v>16.222220261490186</v>
      </c>
      <c r="T52" s="1">
        <f t="shared" si="12"/>
        <v>17.032695722329557</v>
      </c>
      <c r="U52" s="1">
        <f t="shared" si="7"/>
        <v>17.323716992502408</v>
      </c>
      <c r="V52" s="1">
        <f t="shared" si="8"/>
        <v>4.6665446457624595</v>
      </c>
      <c r="W52" s="1">
        <f t="shared" si="13"/>
        <v>8.4693379693020029E-2</v>
      </c>
      <c r="X52" s="1">
        <f t="shared" si="14"/>
        <v>-0.29102127017285184</v>
      </c>
      <c r="Y52" s="39">
        <f t="shared" si="9"/>
        <v>93.337095396568884</v>
      </c>
      <c r="AB52">
        <v>47</v>
      </c>
      <c r="AC52" s="7">
        <v>0.49992605455297007</v>
      </c>
      <c r="AD52">
        <v>1.0322155687228369</v>
      </c>
      <c r="AE52">
        <v>0.94722588336680635</v>
      </c>
      <c r="AF52" s="7">
        <v>5.4217689036131139E-2</v>
      </c>
      <c r="AG52" s="10">
        <v>116.24952678328795</v>
      </c>
      <c r="AH52" s="1">
        <v>0.56880557335295168</v>
      </c>
      <c r="AI52" s="10">
        <v>32.505259203127217</v>
      </c>
      <c r="AJ52" s="32">
        <v>1823.9222323929835</v>
      </c>
      <c r="AK52">
        <v>320</v>
      </c>
      <c r="AL52" s="7">
        <v>0.31871450392125639</v>
      </c>
    </row>
    <row r="53" spans="1:38" x14ac:dyDescent="0.3">
      <c r="A53">
        <v>77013</v>
      </c>
      <c r="B53">
        <v>31</v>
      </c>
      <c r="C53">
        <v>7</v>
      </c>
      <c r="D53">
        <v>1982</v>
      </c>
      <c r="E53">
        <v>29</v>
      </c>
      <c r="F53">
        <v>7</v>
      </c>
      <c r="G53">
        <v>1988</v>
      </c>
      <c r="H53">
        <v>49</v>
      </c>
      <c r="I53" s="32">
        <f t="shared" si="2"/>
        <v>12</v>
      </c>
      <c r="J53" s="1">
        <v>6</v>
      </c>
      <c r="K53" s="32">
        <f t="shared" si="3"/>
        <v>14.119264874999995</v>
      </c>
      <c r="L53" s="32">
        <f t="shared" si="10"/>
        <v>64.95767502760215</v>
      </c>
      <c r="M53" s="32">
        <f t="shared" si="4"/>
        <v>0.42428299600371966</v>
      </c>
      <c r="N53">
        <v>-0.61512992033385672</v>
      </c>
      <c r="O53" s="32">
        <f t="shared" si="11"/>
        <v>13.718587642553544</v>
      </c>
      <c r="P53" s="32">
        <f t="shared" si="5"/>
        <v>61.768499369159244</v>
      </c>
      <c r="Q53">
        <v>37</v>
      </c>
      <c r="R53">
        <v>86</v>
      </c>
      <c r="S53" s="1">
        <f t="shared" si="17"/>
        <v>12.000858058108191</v>
      </c>
      <c r="T53" s="1">
        <f t="shared" si="12"/>
        <v>13.718587642553544</v>
      </c>
      <c r="U53" s="1">
        <f t="shared" si="7"/>
        <v>14.185056190057637</v>
      </c>
      <c r="V53" s="1">
        <f t="shared" si="8"/>
        <v>4.7927815385356363</v>
      </c>
      <c r="W53" s="1">
        <f t="shared" si="13"/>
        <v>0.21759290581057791</v>
      </c>
      <c r="X53" s="1">
        <f t="shared" si="14"/>
        <v>-0.46646854750409261</v>
      </c>
      <c r="Y53" s="39">
        <f t="shared" si="9"/>
        <v>65.480057540711172</v>
      </c>
      <c r="AB53">
        <v>48</v>
      </c>
      <c r="AC53" s="7">
        <v>0.4996705848803572</v>
      </c>
      <c r="AD53">
        <v>1.0061961930208214</v>
      </c>
      <c r="AE53">
        <v>0.95068217878784178</v>
      </c>
      <c r="AF53" s="7">
        <v>5.0575469151172295E-2</v>
      </c>
      <c r="AG53" s="10">
        <v>125.71480427559499</v>
      </c>
      <c r="AH53" s="1">
        <v>0.55208446148326085</v>
      </c>
      <c r="AI53" s="10">
        <v>27.167618138336334</v>
      </c>
      <c r="AJ53" s="32">
        <v>1771.7608668897428</v>
      </c>
      <c r="AK53">
        <v>320</v>
      </c>
      <c r="AL53" s="7">
        <v>0.29137399795160351</v>
      </c>
    </row>
    <row r="54" spans="1:38" x14ac:dyDescent="0.3">
      <c r="A54" s="7">
        <v>0.4</v>
      </c>
      <c r="B54">
        <v>5</v>
      </c>
      <c r="C54">
        <v>9</v>
      </c>
      <c r="D54">
        <v>1982</v>
      </c>
      <c r="E54">
        <v>5</v>
      </c>
      <c r="F54">
        <v>5</v>
      </c>
      <c r="G54">
        <v>1986</v>
      </c>
      <c r="H54">
        <v>85</v>
      </c>
      <c r="I54" s="32">
        <f t="shared" si="2"/>
        <v>16.439088914585774</v>
      </c>
      <c r="J54" s="1">
        <v>3.6657534246575301</v>
      </c>
      <c r="K54" s="32">
        <f t="shared" si="3"/>
        <v>17.049461000292258</v>
      </c>
      <c r="L54" s="32">
        <f t="shared" si="10"/>
        <v>90.720491100413923</v>
      </c>
      <c r="M54" s="32">
        <f t="shared" si="4"/>
        <v>0.28932636710241399</v>
      </c>
      <c r="N54">
        <v>0.73617684392957017</v>
      </c>
      <c r="O54" s="32">
        <f t="shared" si="11"/>
        <v>17.445443652163068</v>
      </c>
      <c r="P54" s="32">
        <f t="shared" si="5"/>
        <v>94.531319707362229</v>
      </c>
      <c r="Q54">
        <v>11</v>
      </c>
      <c r="R54">
        <v>96</v>
      </c>
      <c r="S54" s="1">
        <f t="shared" si="17"/>
        <v>16.440469232880666</v>
      </c>
      <c r="T54" s="1">
        <f t="shared" si="12"/>
        <v>17.445443652163068</v>
      </c>
      <c r="U54" s="1">
        <f t="shared" si="7"/>
        <v>17.137780706278036</v>
      </c>
      <c r="V54" s="1">
        <f t="shared" si="8"/>
        <v>3.2444012229879351</v>
      </c>
      <c r="W54" s="1">
        <f t="shared" si="13"/>
        <v>9.4656488270655689E-2</v>
      </c>
      <c r="X54" s="1">
        <f t="shared" si="14"/>
        <v>0.30766294588503129</v>
      </c>
      <c r="Y54" s="39">
        <f t="shared" si="9"/>
        <v>91.549613727967838</v>
      </c>
      <c r="AB54">
        <v>49</v>
      </c>
      <c r="AC54" s="7">
        <v>0.49987683912290259</v>
      </c>
      <c r="AD54">
        <v>1.1201904656207733</v>
      </c>
      <c r="AE54">
        <v>0.9419235533044229</v>
      </c>
      <c r="AF54" s="7">
        <v>5.9831161303552538E-2</v>
      </c>
      <c r="AG54" s="10">
        <v>113.37840356364512</v>
      </c>
      <c r="AH54" s="1">
        <v>0.61803371586570177</v>
      </c>
      <c r="AI54" s="10">
        <v>27.05000062576816</v>
      </c>
      <c r="AJ54" s="32">
        <v>1762.4275975150963</v>
      </c>
      <c r="AK54">
        <v>320</v>
      </c>
      <c r="AL54" s="7">
        <v>0.29074258710330947</v>
      </c>
    </row>
    <row r="55" spans="1:38" x14ac:dyDescent="0.3">
      <c r="A55">
        <v>77091</v>
      </c>
      <c r="B55">
        <v>1</v>
      </c>
      <c r="C55">
        <v>8</v>
      </c>
      <c r="D55">
        <v>1982</v>
      </c>
      <c r="E55">
        <v>9</v>
      </c>
      <c r="F55">
        <v>5</v>
      </c>
      <c r="G55">
        <v>1983</v>
      </c>
      <c r="H55">
        <v>83</v>
      </c>
      <c r="I55" s="32">
        <f t="shared" si="2"/>
        <v>16.220867158288598</v>
      </c>
      <c r="J55" s="1">
        <v>0.76986301369862997</v>
      </c>
      <c r="K55" s="32">
        <f t="shared" si="3"/>
        <v>16.367192496960779</v>
      </c>
      <c r="L55" s="32">
        <f t="shared" si="10"/>
        <v>84.338440055103092</v>
      </c>
      <c r="M55" s="32">
        <f t="shared" si="4"/>
        <v>7.0097903703802644E-2</v>
      </c>
      <c r="N55">
        <v>0.66184156821691431</v>
      </c>
      <c r="O55" s="32">
        <f t="shared" si="11"/>
        <v>16.542421728186547</v>
      </c>
      <c r="P55" s="32">
        <f t="shared" si="5"/>
        <v>85.955350886481142</v>
      </c>
      <c r="Q55">
        <v>6</v>
      </c>
      <c r="R55">
        <v>89</v>
      </c>
      <c r="S55" s="1">
        <f t="shared" si="17"/>
        <v>16.222220261490186</v>
      </c>
      <c r="T55" s="1">
        <f t="shared" si="12"/>
        <v>16.542421728186547</v>
      </c>
      <c r="U55" s="1">
        <f t="shared" si="7"/>
        <v>16.386763728510537</v>
      </c>
      <c r="V55" s="1">
        <f t="shared" si="8"/>
        <v>0.77821645787090177</v>
      </c>
      <c r="W55" s="1">
        <f t="shared" si="13"/>
        <v>2.4229412863136492E-2</v>
      </c>
      <c r="X55" s="1">
        <f t="shared" si="14"/>
        <v>0.15565799967600924</v>
      </c>
      <c r="Y55" s="39">
        <f t="shared" si="9"/>
        <v>84.505642472654486</v>
      </c>
      <c r="AB55">
        <v>50</v>
      </c>
      <c r="AC55" s="7">
        <v>0.49998753314215083</v>
      </c>
      <c r="AD55">
        <v>1.0429779540404258</v>
      </c>
      <c r="AE55">
        <v>0.94714380674845544</v>
      </c>
      <c r="AF55" s="7">
        <v>5.4304342257865568E-2</v>
      </c>
      <c r="AG55" s="10">
        <v>118.08267596135347</v>
      </c>
      <c r="AH55" s="1">
        <v>0.57433216761386463</v>
      </c>
      <c r="AI55" s="10">
        <v>29.516628326373034</v>
      </c>
      <c r="AJ55" s="32">
        <v>1793.7314117944186</v>
      </c>
      <c r="AK55">
        <v>320</v>
      </c>
      <c r="AL55" s="7">
        <v>0.30370950515240008</v>
      </c>
    </row>
    <row r="56" spans="1:38" x14ac:dyDescent="0.3">
      <c r="A56">
        <v>76960</v>
      </c>
      <c r="B56">
        <v>31</v>
      </c>
      <c r="C56">
        <v>7</v>
      </c>
      <c r="D56">
        <v>1982</v>
      </c>
      <c r="E56">
        <v>21</v>
      </c>
      <c r="F56">
        <v>5</v>
      </c>
      <c r="G56">
        <v>1984</v>
      </c>
      <c r="H56">
        <v>60</v>
      </c>
      <c r="I56" s="32">
        <f t="shared" si="2"/>
        <v>13.491933384829668</v>
      </c>
      <c r="J56" s="1">
        <v>1.8082191780821899</v>
      </c>
      <c r="K56" s="32">
        <f t="shared" si="3"/>
        <v>14.06840643307314</v>
      </c>
      <c r="L56" s="32">
        <f t="shared" si="10"/>
        <v>64.548421324606565</v>
      </c>
      <c r="M56" s="32">
        <f t="shared" si="4"/>
        <v>0.1562864904575606</v>
      </c>
      <c r="N56">
        <v>0.12436203178367577</v>
      </c>
      <c r="O56" s="32">
        <f t="shared" si="11"/>
        <v>14.117570582299493</v>
      </c>
      <c r="P56" s="32">
        <f t="shared" si="5"/>
        <v>64.944020368851497</v>
      </c>
      <c r="Q56">
        <v>5</v>
      </c>
      <c r="R56">
        <v>65</v>
      </c>
      <c r="S56" s="1">
        <f t="shared" si="17"/>
        <v>13.492959197163596</v>
      </c>
      <c r="T56" s="1">
        <f t="shared" si="12"/>
        <v>14.117570582299493</v>
      </c>
      <c r="U56" s="1">
        <f t="shared" si="7"/>
        <v>14.095011152478367</v>
      </c>
      <c r="V56" s="1">
        <f t="shared" si="8"/>
        <v>1.7415191247725659</v>
      </c>
      <c r="W56" s="1">
        <f t="shared" si="13"/>
        <v>5.0892787385428998E-4</v>
      </c>
      <c r="X56" s="1">
        <f t="shared" si="14"/>
        <v>2.2559429821125576E-2</v>
      </c>
      <c r="Y56" s="39">
        <f t="shared" si="9"/>
        <v>64.753527548058202</v>
      </c>
      <c r="AB56">
        <v>51</v>
      </c>
      <c r="AC56" s="7">
        <v>0.50057419775538181</v>
      </c>
      <c r="AD56">
        <v>1.0573618865440058</v>
      </c>
      <c r="AE56">
        <v>0.9464426556288752</v>
      </c>
      <c r="AF56" s="7">
        <v>5.5044895874565736E-2</v>
      </c>
      <c r="AG56" s="10">
        <v>117.78507971592099</v>
      </c>
      <c r="AH56" s="1">
        <v>0.58284542246500748</v>
      </c>
      <c r="AI56" s="10">
        <v>33.235831175999365</v>
      </c>
      <c r="AJ56" s="32">
        <v>1830.825877305004</v>
      </c>
      <c r="AK56">
        <v>320</v>
      </c>
      <c r="AL56" s="7">
        <v>0.3222762362089362</v>
      </c>
    </row>
    <row r="57" spans="1:38" x14ac:dyDescent="0.3">
      <c r="A57">
        <v>76975</v>
      </c>
      <c r="B57">
        <v>31</v>
      </c>
      <c r="C57">
        <v>7</v>
      </c>
      <c r="D57">
        <v>1982</v>
      </c>
      <c r="E57">
        <v>19</v>
      </c>
      <c r="F57">
        <v>6</v>
      </c>
      <c r="G57">
        <v>1987</v>
      </c>
      <c r="H57">
        <v>58</v>
      </c>
      <c r="I57" s="32">
        <f t="shared" si="2"/>
        <v>13.231546211727817</v>
      </c>
      <c r="J57" s="1">
        <v>4.88767123287671</v>
      </c>
      <c r="K57" s="32">
        <f t="shared" si="3"/>
        <v>14.732436562920046</v>
      </c>
      <c r="L57" s="32">
        <f t="shared" si="10"/>
        <v>69.993608333035908</v>
      </c>
      <c r="M57" s="32">
        <f t="shared" si="4"/>
        <v>0.3639910656450947</v>
      </c>
      <c r="N57">
        <v>1.6129570212797262</v>
      </c>
      <c r="O57" s="32">
        <f t="shared" si="11"/>
        <v>15.705560503854336</v>
      </c>
      <c r="P57" s="32">
        <f t="shared" si="5"/>
        <v>78.371718188911657</v>
      </c>
      <c r="Q57">
        <v>18</v>
      </c>
      <c r="R57">
        <v>76</v>
      </c>
      <c r="S57" s="1">
        <f t="shared" si="17"/>
        <v>13.232542140125398</v>
      </c>
      <c r="T57" s="1">
        <f t="shared" si="12"/>
        <v>15.705560503854336</v>
      </c>
      <c r="U57" s="1">
        <f t="shared" si="7"/>
        <v>14.801948393523173</v>
      </c>
      <c r="V57" s="1">
        <f t="shared" si="8"/>
        <v>4.0977007181359522</v>
      </c>
      <c r="W57" s="1">
        <f t="shared" si="13"/>
        <v>0.81651484593713897</v>
      </c>
      <c r="X57" s="1">
        <f t="shared" si="14"/>
        <v>0.90361211033116362</v>
      </c>
      <c r="Y57" s="39">
        <f t="shared" si="9"/>
        <v>70.566457383058747</v>
      </c>
      <c r="AB57">
        <v>52</v>
      </c>
      <c r="AC57" s="7">
        <v>0.50051479121517806</v>
      </c>
      <c r="AD57">
        <v>1.0373414684527098</v>
      </c>
      <c r="AE57">
        <v>0.94587757801961703</v>
      </c>
      <c r="AF57" s="7">
        <v>5.5642128431726501E-2</v>
      </c>
      <c r="AG57" s="10">
        <v>111.67142972645519</v>
      </c>
      <c r="AH57" s="1">
        <v>0.57332717048183723</v>
      </c>
      <c r="AI57" s="10">
        <v>29.449768362234536</v>
      </c>
      <c r="AJ57" s="32">
        <v>1788.9107031135809</v>
      </c>
      <c r="AK57">
        <v>320</v>
      </c>
      <c r="AL57" s="7">
        <v>0.30336533442696273</v>
      </c>
    </row>
    <row r="58" spans="1:38" x14ac:dyDescent="0.3">
      <c r="A58">
        <v>79529</v>
      </c>
      <c r="B58">
        <v>5</v>
      </c>
      <c r="C58">
        <v>9</v>
      </c>
      <c r="D58">
        <v>1982</v>
      </c>
      <c r="E58">
        <v>16</v>
      </c>
      <c r="F58">
        <v>6</v>
      </c>
      <c r="G58">
        <v>1985</v>
      </c>
      <c r="H58">
        <v>78</v>
      </c>
      <c r="I58" s="32">
        <f t="shared" si="2"/>
        <v>15.663521732655695</v>
      </c>
      <c r="J58" s="1">
        <v>2.7808219178082201</v>
      </c>
      <c r="K58" s="32">
        <f t="shared" si="3"/>
        <v>16.239977120734277</v>
      </c>
      <c r="L58" s="32">
        <f t="shared" si="10"/>
        <v>83.17419134122747</v>
      </c>
      <c r="M58" s="32">
        <f t="shared" si="4"/>
        <v>0.22910081273934049</v>
      </c>
      <c r="N58">
        <v>0.85658484749728814</v>
      </c>
      <c r="O58" s="32">
        <f t="shared" si="11"/>
        <v>16.649976975268149</v>
      </c>
      <c r="P58" s="32">
        <f t="shared" si="5"/>
        <v>86.955410294508027</v>
      </c>
      <c r="Q58">
        <v>8</v>
      </c>
      <c r="R58">
        <v>86</v>
      </c>
      <c r="S58" s="1">
        <f t="shared" si="17"/>
        <v>15.664805999633327</v>
      </c>
      <c r="T58" s="1">
        <f t="shared" si="12"/>
        <v>16.649976975268149</v>
      </c>
      <c r="U58" s="1">
        <f t="shared" si="7"/>
        <v>16.300837060716141</v>
      </c>
      <c r="V58" s="1">
        <f t="shared" si="8"/>
        <v>2.56147882415772</v>
      </c>
      <c r="W58" s="1">
        <f t="shared" si="13"/>
        <v>0.12189867993338376</v>
      </c>
      <c r="X58" s="1">
        <f t="shared" si="14"/>
        <v>0.34913991455200843</v>
      </c>
      <c r="Y58" s="39">
        <f t="shared" si="9"/>
        <v>83.717688734322181</v>
      </c>
      <c r="AB58">
        <v>53</v>
      </c>
      <c r="AC58" s="7">
        <v>0.50022795441346823</v>
      </c>
      <c r="AD58">
        <v>0.89065672157384057</v>
      </c>
      <c r="AE58">
        <v>0.95608381888166227</v>
      </c>
      <c r="AF58" s="7">
        <v>4.490969311965054E-2</v>
      </c>
      <c r="AG58" s="10">
        <v>123.93926254712456</v>
      </c>
      <c r="AH58" s="1">
        <v>0.48944757103582592</v>
      </c>
      <c r="AI58" s="10">
        <v>29.713541493756274</v>
      </c>
      <c r="AJ58" s="32">
        <v>1799.8479283178515</v>
      </c>
      <c r="AK58">
        <v>320</v>
      </c>
      <c r="AL58" s="7">
        <v>0.30472088403650371</v>
      </c>
    </row>
    <row r="59" spans="1:38" x14ac:dyDescent="0.3">
      <c r="A59">
        <v>78850</v>
      </c>
      <c r="B59">
        <v>27</v>
      </c>
      <c r="C59">
        <v>7</v>
      </c>
      <c r="D59">
        <v>1982</v>
      </c>
      <c r="E59">
        <v>29</v>
      </c>
      <c r="F59">
        <v>5</v>
      </c>
      <c r="G59">
        <v>1984</v>
      </c>
      <c r="H59">
        <v>70</v>
      </c>
      <c r="I59" s="32">
        <f t="shared" si="2"/>
        <v>14.733200530681511</v>
      </c>
      <c r="J59" s="1">
        <v>1.84109589041096</v>
      </c>
      <c r="K59" s="32">
        <f t="shared" si="3"/>
        <v>15.207812473752266</v>
      </c>
      <c r="L59" s="32">
        <f t="shared" si="10"/>
        <v>74.027202532956025</v>
      </c>
      <c r="M59" s="32">
        <f t="shared" si="4"/>
        <v>0.15886829575228487</v>
      </c>
      <c r="N59">
        <v>-0.96110852609854192</v>
      </c>
      <c r="O59" s="32">
        <f t="shared" si="11"/>
        <v>14.824731089292737</v>
      </c>
      <c r="P59" s="32">
        <f t="shared" si="5"/>
        <v>70.767894056753391</v>
      </c>
      <c r="Q59">
        <v>6</v>
      </c>
      <c r="R59">
        <v>76</v>
      </c>
      <c r="S59" s="1">
        <f t="shared" si="17"/>
        <v>14.734372118089272</v>
      </c>
      <c r="T59" s="1">
        <f t="shared" si="12"/>
        <v>14.824731089292737</v>
      </c>
      <c r="U59" s="1">
        <f t="shared" si="7"/>
        <v>15.242817114366453</v>
      </c>
      <c r="V59" s="1">
        <f t="shared" si="8"/>
        <v>1.7704926536827144</v>
      </c>
      <c r="W59" s="1">
        <f t="shared" si="13"/>
        <v>0.17479592436194002</v>
      </c>
      <c r="X59" s="1">
        <f t="shared" si="14"/>
        <v>-0.41808602507371617</v>
      </c>
      <c r="Y59" s="39">
        <f t="shared" si="9"/>
        <v>74.318057318152754</v>
      </c>
      <c r="AB59">
        <v>54</v>
      </c>
      <c r="AC59" s="7">
        <v>0.50039983987099479</v>
      </c>
      <c r="AD59">
        <v>1.0792524283341165</v>
      </c>
      <c r="AE59">
        <v>0.94469573128900886</v>
      </c>
      <c r="AF59" s="7">
        <v>5.6892380806217925E-2</v>
      </c>
      <c r="AG59" s="10">
        <v>115.4504620117731</v>
      </c>
      <c r="AH59" s="1">
        <v>0.59536201102976527</v>
      </c>
      <c r="AI59" s="10">
        <v>27.766965814332281</v>
      </c>
      <c r="AJ59" s="32">
        <v>1771.8816198980062</v>
      </c>
      <c r="AK59">
        <v>320</v>
      </c>
      <c r="AL59" s="7">
        <v>0.29457048081874798</v>
      </c>
    </row>
    <row r="60" spans="1:38" x14ac:dyDescent="0.3">
      <c r="A60">
        <v>22965</v>
      </c>
      <c r="B60">
        <v>29</v>
      </c>
      <c r="C60">
        <v>7</v>
      </c>
      <c r="D60">
        <v>1982</v>
      </c>
      <c r="E60">
        <v>9</v>
      </c>
      <c r="F60">
        <v>7</v>
      </c>
      <c r="G60">
        <v>1983</v>
      </c>
      <c r="H60">
        <v>55</v>
      </c>
      <c r="I60" s="32">
        <f t="shared" si="2"/>
        <v>12.832396974191326</v>
      </c>
      <c r="J60" s="1">
        <v>0.94520547945205502</v>
      </c>
      <c r="K60" s="32">
        <f t="shared" si="3"/>
        <v>13.171612262045972</v>
      </c>
      <c r="L60" s="32">
        <f t="shared" si="10"/>
        <v>57.544454657465927</v>
      </c>
      <c r="M60" s="32">
        <f t="shared" si="4"/>
        <v>8.5303935854358984E-2</v>
      </c>
      <c r="N60">
        <v>3.814420779235661E-2</v>
      </c>
      <c r="O60" s="32">
        <f t="shared" si="11"/>
        <v>13.182752978843251</v>
      </c>
      <c r="P60" s="32">
        <f t="shared" si="5"/>
        <v>57.6289970041434</v>
      </c>
      <c r="Q60">
        <v>2</v>
      </c>
      <c r="R60">
        <v>57</v>
      </c>
      <c r="S60" s="1">
        <f t="shared" si="17"/>
        <v>12.833347581326695</v>
      </c>
      <c r="T60" s="1">
        <f t="shared" si="12"/>
        <v>13.182752978843251</v>
      </c>
      <c r="U60" s="1">
        <f t="shared" si="7"/>
        <v>13.183506601314743</v>
      </c>
      <c r="V60" s="1">
        <f t="shared" si="8"/>
        <v>0.94763392488050735</v>
      </c>
      <c r="W60" s="1">
        <f t="shared" si="13"/>
        <v>5.6794682953857937E-7</v>
      </c>
      <c r="X60" s="1">
        <f t="shared" si="14"/>
        <v>-7.5362247149257655E-4</v>
      </c>
      <c r="Y60" s="39">
        <f t="shared" si="9"/>
        <v>57.627200087720929</v>
      </c>
      <c r="AB60">
        <v>55</v>
      </c>
      <c r="AC60" s="7">
        <v>0.50026091138038553</v>
      </c>
      <c r="AD60">
        <v>0.94724115607442783</v>
      </c>
      <c r="AE60">
        <v>0.95275144209828522</v>
      </c>
      <c r="AF60" s="7">
        <v>4.8401225612639952E-2</v>
      </c>
      <c r="AG60" s="10">
        <v>121.340195054959</v>
      </c>
      <c r="AH60" s="1">
        <v>0.52111628193651804</v>
      </c>
      <c r="AI60" s="10">
        <v>26.590789940038043</v>
      </c>
      <c r="AJ60" s="32">
        <v>1762.7447441517158</v>
      </c>
      <c r="AK60">
        <v>320</v>
      </c>
      <c r="AL60" s="7">
        <v>0.28826414720290638</v>
      </c>
    </row>
    <row r="61" spans="1:38" x14ac:dyDescent="0.3">
      <c r="A61">
        <v>76986</v>
      </c>
      <c r="B61">
        <v>31</v>
      </c>
      <c r="C61">
        <v>7</v>
      </c>
      <c r="D61">
        <v>1982</v>
      </c>
      <c r="E61">
        <v>1</v>
      </c>
      <c r="F61">
        <v>5</v>
      </c>
      <c r="G61">
        <v>1986</v>
      </c>
      <c r="H61">
        <v>69</v>
      </c>
      <c r="I61" s="32">
        <f t="shared" si="2"/>
        <v>14.61324772583615</v>
      </c>
      <c r="J61" s="1">
        <v>3.75342465753425</v>
      </c>
      <c r="K61" s="32">
        <f t="shared" si="3"/>
        <v>15.556612034051998</v>
      </c>
      <c r="L61" s="32">
        <f t="shared" si="10"/>
        <v>77.058656528554863</v>
      </c>
      <c r="M61" s="32">
        <f t="shared" si="4"/>
        <v>0.295000696207319</v>
      </c>
      <c r="N61">
        <v>1.328828602709109</v>
      </c>
      <c r="O61" s="32">
        <f t="shared" si="11"/>
        <v>16.278351556794949</v>
      </c>
      <c r="P61" s="32">
        <f t="shared" si="5"/>
        <v>83.524533908447083</v>
      </c>
      <c r="Q61">
        <v>16</v>
      </c>
      <c r="R61">
        <v>85</v>
      </c>
      <c r="S61" s="1">
        <f t="shared" si="17"/>
        <v>14.614404993282996</v>
      </c>
      <c r="T61" s="1">
        <f t="shared" si="12"/>
        <v>16.278351556794949</v>
      </c>
      <c r="U61" s="1">
        <f t="shared" si="7"/>
        <v>15.625495996900741</v>
      </c>
      <c r="V61" s="1">
        <f t="shared" si="8"/>
        <v>3.308981822564188</v>
      </c>
      <c r="W61" s="1">
        <f t="shared" si="13"/>
        <v>0.42622038208477991</v>
      </c>
      <c r="X61" s="1">
        <f t="shared" si="14"/>
        <v>0.65285555989420807</v>
      </c>
      <c r="Y61" s="39">
        <f t="shared" si="9"/>
        <v>77.653252227300058</v>
      </c>
      <c r="AB61">
        <v>56</v>
      </c>
      <c r="AC61" s="7">
        <v>0.50046996849644221</v>
      </c>
      <c r="AD61">
        <v>1.0116597440187309</v>
      </c>
      <c r="AE61">
        <v>0.94883294458645917</v>
      </c>
      <c r="AF61" s="7">
        <v>5.252252896958317E-2</v>
      </c>
      <c r="AG61" s="10">
        <v>118.17287944522387</v>
      </c>
      <c r="AH61" s="1">
        <v>0.55747237563171392</v>
      </c>
      <c r="AI61" s="10">
        <v>29.802211218950394</v>
      </c>
      <c r="AJ61" s="32">
        <v>1796.7405566123493</v>
      </c>
      <c r="AK61">
        <v>320</v>
      </c>
      <c r="AL61" s="7">
        <v>0.30517521206549519</v>
      </c>
    </row>
    <row r="62" spans="1:38" x14ac:dyDescent="0.3">
      <c r="A62">
        <v>78993</v>
      </c>
      <c r="B62">
        <v>31</v>
      </c>
      <c r="C62">
        <v>7</v>
      </c>
      <c r="D62">
        <v>1982</v>
      </c>
      <c r="E62">
        <v>24</v>
      </c>
      <c r="F62">
        <v>6</v>
      </c>
      <c r="G62">
        <v>1984</v>
      </c>
      <c r="H62">
        <v>64</v>
      </c>
      <c r="I62" s="32">
        <f t="shared" si="2"/>
        <v>14</v>
      </c>
      <c r="J62" s="1">
        <v>1.9013698630136999</v>
      </c>
      <c r="K62" s="32">
        <f t="shared" si="3"/>
        <v>14.557535751783114</v>
      </c>
      <c r="L62" s="32">
        <f t="shared" si="10"/>
        <v>68.537997542894004</v>
      </c>
      <c r="M62" s="32">
        <f t="shared" si="4"/>
        <v>0.16357904889438485</v>
      </c>
      <c r="N62">
        <v>0.45175170271249954</v>
      </c>
      <c r="O62" s="32">
        <f t="shared" si="11"/>
        <v>14.740246307073615</v>
      </c>
      <c r="P62" s="32">
        <f t="shared" si="5"/>
        <v>70.058961605372957</v>
      </c>
      <c r="Q62">
        <v>0</v>
      </c>
      <c r="R62">
        <v>64</v>
      </c>
      <c r="S62" s="1">
        <f t="shared" si="17"/>
        <v>14.001084827483453</v>
      </c>
      <c r="T62" s="1">
        <f t="shared" si="12"/>
        <v>14.740246307073615</v>
      </c>
      <c r="U62" s="1">
        <f t="shared" si="7"/>
        <v>14.588836999249416</v>
      </c>
      <c r="V62" s="1">
        <f t="shared" si="8"/>
        <v>1.8233760276161064</v>
      </c>
      <c r="W62" s="1">
        <f t="shared" si="13"/>
        <v>2.2924778495803093E-2</v>
      </c>
      <c r="X62" s="1">
        <f t="shared" si="14"/>
        <v>0.15140930782419915</v>
      </c>
      <c r="Y62" s="39">
        <f t="shared" si="9"/>
        <v>68.787804981358633</v>
      </c>
      <c r="AB62">
        <v>57</v>
      </c>
      <c r="AC62" s="7">
        <v>0.50018871269738996</v>
      </c>
      <c r="AD62">
        <v>0.95547480065679724</v>
      </c>
      <c r="AE62">
        <v>0.95294843400083995</v>
      </c>
      <c r="AF62" s="7">
        <v>4.8194485920071355E-2</v>
      </c>
      <c r="AG62" s="10">
        <v>124.25937270108601</v>
      </c>
      <c r="AH62" s="1">
        <v>0.52496927655447867</v>
      </c>
      <c r="AI62" s="10">
        <v>29.693668687750272</v>
      </c>
      <c r="AJ62" s="32">
        <v>1799.3632539134833</v>
      </c>
      <c r="AK62">
        <v>320</v>
      </c>
      <c r="AL62" s="7">
        <v>0.30461896633207131</v>
      </c>
    </row>
    <row r="63" spans="1:38" x14ac:dyDescent="0.3">
      <c r="A63">
        <v>22875</v>
      </c>
      <c r="B63">
        <v>28</v>
      </c>
      <c r="C63">
        <v>7</v>
      </c>
      <c r="D63">
        <v>1982</v>
      </c>
      <c r="E63">
        <v>14</v>
      </c>
      <c r="F63">
        <v>6</v>
      </c>
      <c r="G63">
        <v>1983</v>
      </c>
      <c r="H63">
        <v>83</v>
      </c>
      <c r="I63" s="32">
        <f t="shared" si="2"/>
        <v>16.220867158288598</v>
      </c>
      <c r="J63" s="1">
        <v>0.87945205479452104</v>
      </c>
      <c r="K63" s="32">
        <f t="shared" si="3"/>
        <v>16.387555885758498</v>
      </c>
      <c r="L63" s="32">
        <f t="shared" si="10"/>
        <v>84.525552862973001</v>
      </c>
      <c r="M63" s="32">
        <f t="shared" si="4"/>
        <v>7.9633703030007871E-2</v>
      </c>
      <c r="N63">
        <v>-0.51137476475560106</v>
      </c>
      <c r="O63" s="32">
        <f t="shared" si="11"/>
        <v>16.243248769424923</v>
      </c>
      <c r="P63" s="32">
        <f t="shared" si="5"/>
        <v>83.204031415780989</v>
      </c>
      <c r="Q63">
        <v>3</v>
      </c>
      <c r="R63">
        <v>86</v>
      </c>
      <c r="S63" s="1">
        <f t="shared" si="17"/>
        <v>16.222220261490186</v>
      </c>
      <c r="T63" s="1">
        <f t="shared" si="12"/>
        <v>16.243248769424923</v>
      </c>
      <c r="U63" s="1">
        <f t="shared" si="7"/>
        <v>16.409700257694247</v>
      </c>
      <c r="V63" s="1">
        <f t="shared" si="8"/>
        <v>0.88443328313489045</v>
      </c>
      <c r="W63" s="1">
        <f t="shared" si="13"/>
        <v>2.7706097947072902E-2</v>
      </c>
      <c r="X63" s="1">
        <f t="shared" si="14"/>
        <v>-0.16645148826932399</v>
      </c>
      <c r="Y63" s="39">
        <f t="shared" si="9"/>
        <v>84.716596143858126</v>
      </c>
      <c r="AB63">
        <v>58</v>
      </c>
      <c r="AC63" s="7">
        <v>0.50130286507138966</v>
      </c>
      <c r="AD63">
        <v>1.0740806939949157</v>
      </c>
      <c r="AE63">
        <v>0.9438788718657608</v>
      </c>
      <c r="AF63" s="7">
        <v>5.7757434771068206E-2</v>
      </c>
      <c r="AG63" s="10">
        <v>110.86937929381286</v>
      </c>
      <c r="AH63" s="1">
        <v>0.59456085735175701</v>
      </c>
      <c r="AI63" s="10">
        <v>26.373342284883947</v>
      </c>
      <c r="AJ63" s="32">
        <v>1751.6973593510627</v>
      </c>
      <c r="AK63">
        <v>320</v>
      </c>
      <c r="AL63" s="7">
        <v>0.28708307968297664</v>
      </c>
    </row>
    <row r="64" spans="1:38" x14ac:dyDescent="0.3">
      <c r="A64">
        <v>76900</v>
      </c>
      <c r="B64">
        <v>30</v>
      </c>
      <c r="C64">
        <v>7</v>
      </c>
      <c r="D64">
        <v>1982</v>
      </c>
      <c r="E64">
        <v>12</v>
      </c>
      <c r="F64">
        <v>7</v>
      </c>
      <c r="G64">
        <v>1985</v>
      </c>
      <c r="H64">
        <v>54</v>
      </c>
      <c r="I64" s="32">
        <f t="shared" si="2"/>
        <v>12.696938456699069</v>
      </c>
      <c r="J64" s="1">
        <v>2.9534246575342502</v>
      </c>
      <c r="K64" s="32">
        <f t="shared" si="3"/>
        <v>13.723561076061035</v>
      </c>
      <c r="L64" s="32">
        <f t="shared" si="10"/>
        <v>61.807593228155412</v>
      </c>
      <c r="M64" s="32">
        <f t="shared" si="4"/>
        <v>0.24128070652183439</v>
      </c>
      <c r="N64">
        <v>0.98269993031863123</v>
      </c>
      <c r="O64" s="32">
        <f t="shared" si="11"/>
        <v>14.206266549341603</v>
      </c>
      <c r="P64" s="32">
        <f t="shared" si="5"/>
        <v>65.660768867077138</v>
      </c>
      <c r="Q64">
        <v>14</v>
      </c>
      <c r="R64">
        <v>68</v>
      </c>
      <c r="S64" s="1">
        <f t="shared" si="17"/>
        <v>12.697873819873205</v>
      </c>
      <c r="T64" s="1">
        <f t="shared" si="12"/>
        <v>14.206266549341603</v>
      </c>
      <c r="U64" s="1">
        <f t="shared" si="7"/>
        <v>13.759493795766238</v>
      </c>
      <c r="V64" s="1">
        <f t="shared" si="8"/>
        <v>2.6992313885469961</v>
      </c>
      <c r="W64" s="1">
        <f t="shared" si="13"/>
        <v>0.19960589333731377</v>
      </c>
      <c r="X64" s="1">
        <f t="shared" si="14"/>
        <v>0.44677275357536494</v>
      </c>
      <c r="Y64" s="39">
        <f t="shared" si="9"/>
        <v>62.082085292710993</v>
      </c>
      <c r="AB64">
        <v>59</v>
      </c>
      <c r="AC64" s="7">
        <v>0.50029606032190632</v>
      </c>
      <c r="AD64">
        <v>1.092259803907379</v>
      </c>
      <c r="AE64">
        <v>0.9449660438974844</v>
      </c>
      <c r="AF64" s="7">
        <v>5.6606284517592254E-2</v>
      </c>
      <c r="AG64" s="10">
        <v>119.11381668737398</v>
      </c>
      <c r="AH64" s="1">
        <v>0.60148723284535521</v>
      </c>
      <c r="AI64" s="10">
        <v>33.157443450260836</v>
      </c>
      <c r="AJ64" s="32">
        <v>1830.6616107301975</v>
      </c>
      <c r="AK64">
        <v>320</v>
      </c>
      <c r="AL64" s="7">
        <v>0.32189596266816567</v>
      </c>
    </row>
    <row r="65" spans="1:38" x14ac:dyDescent="0.3">
      <c r="A65">
        <v>78864</v>
      </c>
      <c r="B65">
        <v>27</v>
      </c>
      <c r="C65">
        <v>7</v>
      </c>
      <c r="D65">
        <v>1982</v>
      </c>
      <c r="E65">
        <v>4</v>
      </c>
      <c r="F65">
        <v>5</v>
      </c>
      <c r="G65">
        <v>1983</v>
      </c>
      <c r="H65">
        <v>84</v>
      </c>
      <c r="I65" s="32">
        <f t="shared" si="2"/>
        <v>16.330302779823359</v>
      </c>
      <c r="J65" s="1">
        <v>0.76986301369862997</v>
      </c>
      <c r="K65" s="32">
        <f t="shared" si="3"/>
        <v>16.472390848980396</v>
      </c>
      <c r="L65" s="32">
        <f t="shared" si="10"/>
        <v>85.307305919373675</v>
      </c>
      <c r="M65" s="32">
        <f t="shared" si="4"/>
        <v>7.0097903703802644E-2</v>
      </c>
      <c r="N65">
        <v>0.985680799203692</v>
      </c>
      <c r="O65" s="32">
        <f t="shared" si="11"/>
        <v>16.733359783197979</v>
      </c>
      <c r="P65" s="32">
        <f t="shared" si="5"/>
        <v>87.734692191684857</v>
      </c>
      <c r="Q65">
        <v>1</v>
      </c>
      <c r="R65">
        <v>85</v>
      </c>
      <c r="S65" s="1">
        <f t="shared" si="17"/>
        <v>16.331669512789063</v>
      </c>
      <c r="T65" s="1">
        <f t="shared" si="12"/>
        <v>16.733359783197979</v>
      </c>
      <c r="U65" s="1">
        <f t="shared" si="7"/>
        <v>16.492277887206612</v>
      </c>
      <c r="V65" s="1">
        <f t="shared" si="8"/>
        <v>0.77821645787090177</v>
      </c>
      <c r="W65" s="1">
        <f t="shared" si="13"/>
        <v>5.8120480574792605E-2</v>
      </c>
      <c r="X65" s="1">
        <f t="shared" si="14"/>
        <v>0.24108189599136765</v>
      </c>
      <c r="Y65" s="39">
        <f t="shared" si="9"/>
        <v>85.478263298640798</v>
      </c>
      <c r="AB65">
        <v>60</v>
      </c>
      <c r="AC65" s="7">
        <v>0.50002814527771011</v>
      </c>
      <c r="AD65">
        <v>0.96606484070830712</v>
      </c>
      <c r="AE65">
        <v>0.95355183522272691</v>
      </c>
      <c r="AF65" s="7">
        <v>4.7561492312071178E-2</v>
      </c>
      <c r="AG65" s="10">
        <v>129.92376111078232</v>
      </c>
      <c r="AH65" s="1">
        <v>0.52950777529465443</v>
      </c>
      <c r="AI65" s="10">
        <v>32.590771710429827</v>
      </c>
      <c r="AJ65" s="32">
        <v>1831.9267917177747</v>
      </c>
      <c r="AK65">
        <v>320</v>
      </c>
      <c r="AL65" s="7">
        <v>0.31913345420856964</v>
      </c>
    </row>
    <row r="66" spans="1:38" x14ac:dyDescent="0.3">
      <c r="A66">
        <v>76806</v>
      </c>
      <c r="B66">
        <v>30</v>
      </c>
      <c r="C66">
        <v>7</v>
      </c>
      <c r="D66">
        <v>1982</v>
      </c>
      <c r="E66">
        <v>8</v>
      </c>
      <c r="F66">
        <v>5</v>
      </c>
      <c r="G66">
        <v>1989</v>
      </c>
      <c r="H66">
        <v>48</v>
      </c>
      <c r="I66" s="32">
        <f t="shared" si="2"/>
        <v>11.856406460551018</v>
      </c>
      <c r="J66" s="1">
        <v>6.7780821917808201</v>
      </c>
      <c r="K66" s="32">
        <f t="shared" si="3"/>
        <v>14.24792083068343</v>
      </c>
      <c r="L66" s="32">
        <f t="shared" si="10"/>
        <v>65.998732830039131</v>
      </c>
      <c r="M66" s="32">
        <f t="shared" si="4"/>
        <v>0.46254957541660374</v>
      </c>
      <c r="N66">
        <v>1.5092700778041035</v>
      </c>
      <c r="O66" s="32">
        <f t="shared" si="11"/>
        <v>15.274390462595692</v>
      </c>
      <c r="P66" s="32">
        <f t="shared" si="5"/>
        <v>74.601141463554228</v>
      </c>
      <c r="Q66">
        <v>25</v>
      </c>
      <c r="R66">
        <v>73</v>
      </c>
      <c r="S66" s="1">
        <f t="shared" si="17"/>
        <v>11.857248830682847</v>
      </c>
      <c r="T66" s="1">
        <f t="shared" si="12"/>
        <v>15.274390462595692</v>
      </c>
      <c r="U66" s="1">
        <f t="shared" si="7"/>
        <v>14.321300716619486</v>
      </c>
      <c r="V66" s="1">
        <f t="shared" si="8"/>
        <v>5.2370816451722835</v>
      </c>
      <c r="W66" s="1">
        <f t="shared" si="13"/>
        <v>0.90838006388498804</v>
      </c>
      <c r="X66" s="1">
        <f t="shared" si="14"/>
        <v>0.95308974597620555</v>
      </c>
      <c r="Y66" s="39">
        <f t="shared" si="9"/>
        <v>66.587054364622531</v>
      </c>
      <c r="AB66">
        <v>61</v>
      </c>
      <c r="AC66" s="7"/>
      <c r="AF66" s="7"/>
      <c r="AG66" s="10"/>
      <c r="AH66" s="1"/>
      <c r="AI66" s="10"/>
      <c r="AJ66" s="32"/>
      <c r="AL66" s="7"/>
    </row>
    <row r="67" spans="1:38" x14ac:dyDescent="0.3">
      <c r="A67">
        <v>20576</v>
      </c>
      <c r="B67">
        <v>18</v>
      </c>
      <c r="C67">
        <v>1</v>
      </c>
      <c r="D67">
        <v>1982</v>
      </c>
      <c r="E67">
        <v>29</v>
      </c>
      <c r="F67">
        <v>4</v>
      </c>
      <c r="G67">
        <v>1985</v>
      </c>
      <c r="H67">
        <v>110</v>
      </c>
      <c r="I67" s="32">
        <f t="shared" si="2"/>
        <v>18.976176963403031</v>
      </c>
      <c r="J67" s="1">
        <v>3.2794520547945201</v>
      </c>
      <c r="K67" s="32">
        <f t="shared" si="3"/>
        <v>19.134692378791105</v>
      </c>
      <c r="L67" s="32">
        <f t="shared" si="10"/>
        <v>111.6688054865327</v>
      </c>
      <c r="M67" s="32">
        <f t="shared" si="4"/>
        <v>0.26370696378745245</v>
      </c>
      <c r="N67">
        <v>-0.96768644652911462</v>
      </c>
      <c r="O67" s="32">
        <f t="shared" si="11"/>
        <v>18.637762102581345</v>
      </c>
      <c r="P67" s="32">
        <f t="shared" si="5"/>
        <v>106.47930615068569</v>
      </c>
      <c r="Q67">
        <v>17</v>
      </c>
      <c r="R67">
        <v>127</v>
      </c>
      <c r="S67" s="1">
        <f t="shared" si="17"/>
        <v>18.977883942479558</v>
      </c>
      <c r="T67" s="1">
        <f t="shared" si="12"/>
        <v>18.637762102581345</v>
      </c>
      <c r="U67" s="1">
        <f t="shared" si="7"/>
        <v>19.240856688275748</v>
      </c>
      <c r="V67" s="1">
        <f t="shared" si="8"/>
        <v>2.9533398220928442</v>
      </c>
      <c r="W67" s="1">
        <f t="shared" si="13"/>
        <v>0.36372307929390441</v>
      </c>
      <c r="X67" s="1">
        <f t="shared" si="14"/>
        <v>-0.60309458569440366</v>
      </c>
      <c r="Y67" s="39">
        <f t="shared" si="9"/>
        <v>112.7749996776575</v>
      </c>
      <c r="AB67">
        <v>62</v>
      </c>
      <c r="AC67" s="7"/>
      <c r="AF67" s="7"/>
      <c r="AG67" s="10"/>
      <c r="AH67" s="1"/>
      <c r="AI67" s="10"/>
      <c r="AJ67" s="32"/>
      <c r="AL67" s="7"/>
    </row>
    <row r="68" spans="1:38" x14ac:dyDescent="0.3">
      <c r="A68">
        <v>79470</v>
      </c>
      <c r="B68">
        <v>4</v>
      </c>
      <c r="C68">
        <v>9</v>
      </c>
      <c r="D68">
        <v>1982</v>
      </c>
      <c r="E68">
        <v>29</v>
      </c>
      <c r="F68">
        <v>4</v>
      </c>
      <c r="G68">
        <v>1984</v>
      </c>
      <c r="H68">
        <v>74</v>
      </c>
      <c r="I68" s="32">
        <f t="shared" si="2"/>
        <v>15.204650534085253</v>
      </c>
      <c r="J68" s="1">
        <v>1.6520547945205499</v>
      </c>
      <c r="K68" s="32">
        <f t="shared" si="3"/>
        <v>15.594264326970881</v>
      </c>
      <c r="L68" s="32">
        <f t="shared" si="10"/>
        <v>77.389534301830011</v>
      </c>
      <c r="M68" s="32">
        <f t="shared" si="4"/>
        <v>0.14390329610323932</v>
      </c>
      <c r="N68">
        <v>1.6551030057598837</v>
      </c>
      <c r="O68" s="32">
        <f t="shared" si="11"/>
        <v>16.222120831938621</v>
      </c>
      <c r="P68" s="32">
        <f t="shared" si="5"/>
        <v>83.011421903442866</v>
      </c>
      <c r="Q68">
        <v>4</v>
      </c>
      <c r="R68">
        <v>78</v>
      </c>
      <c r="S68" s="1">
        <f t="shared" si="17"/>
        <v>15.205878868967202</v>
      </c>
      <c r="T68" s="1">
        <f t="shared" si="12"/>
        <v>16.222120831938621</v>
      </c>
      <c r="U68" s="1">
        <f t="shared" si="7"/>
        <v>15.628514466399233</v>
      </c>
      <c r="V68" s="1">
        <f t="shared" si="8"/>
        <v>1.6026506725010023</v>
      </c>
      <c r="W68" s="1">
        <f t="shared" si="13"/>
        <v>0.35236851720888202</v>
      </c>
      <c r="X68" s="1">
        <f t="shared" si="14"/>
        <v>0.59360636553938839</v>
      </c>
      <c r="Y68" s="39">
        <f t="shared" si="9"/>
        <v>77.679850326380063</v>
      </c>
      <c r="AB68">
        <v>63</v>
      </c>
      <c r="AC68" s="7"/>
      <c r="AF68" s="7"/>
      <c r="AG68" s="10"/>
      <c r="AH68" s="1"/>
      <c r="AI68" s="10"/>
      <c r="AJ68" s="32"/>
      <c r="AL68" s="7"/>
    </row>
    <row r="69" spans="1:38" x14ac:dyDescent="0.3">
      <c r="A69">
        <v>78810</v>
      </c>
      <c r="B69">
        <v>25</v>
      </c>
      <c r="C69">
        <v>7</v>
      </c>
      <c r="D69">
        <v>1982</v>
      </c>
      <c r="E69">
        <v>11</v>
      </c>
      <c r="F69">
        <v>9</v>
      </c>
      <c r="G69">
        <v>1984</v>
      </c>
      <c r="H69">
        <v>88</v>
      </c>
      <c r="I69" s="32">
        <f t="shared" si="2"/>
        <v>16.761663039293719</v>
      </c>
      <c r="J69" s="1">
        <v>2.1342465753424702</v>
      </c>
      <c r="K69" s="32">
        <f t="shared" si="3"/>
        <v>17.097456631038082</v>
      </c>
      <c r="L69" s="32">
        <f t="shared" si="10"/>
        <v>91.1782124435951</v>
      </c>
      <c r="M69" s="32">
        <f t="shared" si="4"/>
        <v>0.18150845428367926</v>
      </c>
      <c r="N69">
        <v>3.8066900742705911E-2</v>
      </c>
      <c r="O69" s="32">
        <f t="shared" si="11"/>
        <v>17.113674580729551</v>
      </c>
      <c r="P69" s="32">
        <f t="shared" si="5"/>
        <v>91.33313899450674</v>
      </c>
      <c r="Q69">
        <v>8</v>
      </c>
      <c r="R69">
        <v>96</v>
      </c>
      <c r="S69" s="1">
        <f t="shared" si="17"/>
        <v>16.763083852596107</v>
      </c>
      <c r="T69" s="1">
        <f t="shared" si="12"/>
        <v>17.113674580729551</v>
      </c>
      <c r="U69" s="1">
        <f t="shared" si="7"/>
        <v>17.152632815065591</v>
      </c>
      <c r="V69" s="1">
        <f t="shared" si="8"/>
        <v>2.0248729670933816</v>
      </c>
      <c r="W69" s="1">
        <f t="shared" si="13"/>
        <v>1.5177440225817677E-3</v>
      </c>
      <c r="X69" s="1">
        <f t="shared" si="14"/>
        <v>-3.895823433603951E-2</v>
      </c>
      <c r="Y69" s="39">
        <f t="shared" si="9"/>
        <v>91.691758089626305</v>
      </c>
      <c r="AB69">
        <v>64</v>
      </c>
      <c r="AC69" s="7"/>
      <c r="AF69" s="7"/>
      <c r="AG69" s="10"/>
      <c r="AH69" s="1"/>
      <c r="AI69" s="10"/>
      <c r="AJ69" s="32"/>
      <c r="AL69" s="7"/>
    </row>
    <row r="70" spans="1:38" x14ac:dyDescent="0.3">
      <c r="A70">
        <v>79575</v>
      </c>
      <c r="B70">
        <v>5</v>
      </c>
      <c r="C70">
        <v>9</v>
      </c>
      <c r="D70">
        <v>1982</v>
      </c>
      <c r="E70">
        <v>7</v>
      </c>
      <c r="F70">
        <v>9</v>
      </c>
      <c r="G70">
        <v>1987</v>
      </c>
      <c r="H70">
        <v>82</v>
      </c>
      <c r="I70" s="32">
        <f t="shared" si="2"/>
        <v>16.110770276274835</v>
      </c>
      <c r="J70" s="1">
        <v>5.0082191780821903</v>
      </c>
      <c r="K70" s="32">
        <f t="shared" si="3"/>
        <v>16.991856644899549</v>
      </c>
      <c r="L70" s="32">
        <f t="shared" si="10"/>
        <v>90.172654705103795</v>
      </c>
      <c r="M70" s="32">
        <f t="shared" si="4"/>
        <v>0.37086248258474203</v>
      </c>
      <c r="N70">
        <v>-3.0488536140182987E-2</v>
      </c>
      <c r="O70" s="32">
        <f t="shared" si="11"/>
        <v>16.973289589917215</v>
      </c>
      <c r="P70" s="32">
        <f t="shared" si="5"/>
        <v>89.996429465715238</v>
      </c>
      <c r="Q70">
        <v>10</v>
      </c>
      <c r="R70">
        <v>92</v>
      </c>
      <c r="S70" s="1">
        <f t="shared" si="17"/>
        <v>16.112109704694813</v>
      </c>
      <c r="T70" s="1">
        <f t="shared" si="12"/>
        <v>16.973289589917215</v>
      </c>
      <c r="U70" s="1">
        <f t="shared" si="7"/>
        <v>17.10546514576755</v>
      </c>
      <c r="V70" s="1">
        <f t="shared" si="8"/>
        <v>4.1766317318738722</v>
      </c>
      <c r="W70" s="1">
        <f t="shared" si="13"/>
        <v>1.7470377564344976E-2</v>
      </c>
      <c r="X70" s="1">
        <f t="shared" si="14"/>
        <v>-0.1321755558503348</v>
      </c>
      <c r="Y70" s="39">
        <f t="shared" si="9"/>
        <v>91.240713694804057</v>
      </c>
      <c r="AB70">
        <v>65</v>
      </c>
      <c r="AC70" s="7"/>
      <c r="AF70" s="7"/>
      <c r="AG70" s="10"/>
      <c r="AH70" s="1"/>
      <c r="AI70" s="10"/>
      <c r="AJ70" s="32"/>
      <c r="AL70" s="7"/>
    </row>
    <row r="71" spans="1:38" x14ac:dyDescent="0.3">
      <c r="A71">
        <v>22973</v>
      </c>
      <c r="B71">
        <v>29</v>
      </c>
      <c r="C71">
        <v>7</v>
      </c>
      <c r="D71">
        <v>1982</v>
      </c>
      <c r="E71">
        <v>10</v>
      </c>
      <c r="F71">
        <v>7</v>
      </c>
      <c r="G71">
        <v>1984</v>
      </c>
      <c r="H71">
        <v>70</v>
      </c>
      <c r="I71" s="32">
        <f t="shared" si="2"/>
        <v>14.733200530681511</v>
      </c>
      <c r="J71" s="1">
        <v>1.95068493150685</v>
      </c>
      <c r="K71" s="32">
        <f t="shared" si="3"/>
        <v>15.234674667167942</v>
      </c>
      <c r="L71" s="32">
        <f t="shared" si="10"/>
        <v>74.258502720780115</v>
      </c>
      <c r="M71" s="32">
        <f t="shared" si="4"/>
        <v>0.16741169476680939</v>
      </c>
      <c r="N71">
        <v>0.92284153652144596</v>
      </c>
      <c r="O71" s="32">
        <f t="shared" si="11"/>
        <v>15.612264272488707</v>
      </c>
      <c r="P71" s="32">
        <f t="shared" si="5"/>
        <v>77.547963200995554</v>
      </c>
      <c r="Q71">
        <v>4</v>
      </c>
      <c r="R71">
        <v>74</v>
      </c>
      <c r="S71" s="1">
        <f t="shared" si="17"/>
        <v>14.734372118089272</v>
      </c>
      <c r="T71" s="1">
        <f t="shared" si="12"/>
        <v>15.612264272488707</v>
      </c>
      <c r="U71" s="1">
        <f t="shared" si="7"/>
        <v>15.271700631104943</v>
      </c>
      <c r="V71" s="1">
        <f t="shared" si="8"/>
        <v>1.8664192864980793</v>
      </c>
      <c r="W71" s="1">
        <f t="shared" si="13"/>
        <v>0.11598359383256859</v>
      </c>
      <c r="X71" s="1">
        <f t="shared" si="14"/>
        <v>0.34056364138376338</v>
      </c>
      <c r="Y71" s="39">
        <f t="shared" si="9"/>
        <v>74.567234422899034</v>
      </c>
      <c r="AB71">
        <v>66</v>
      </c>
      <c r="AC71" s="7"/>
      <c r="AF71" s="7"/>
      <c r="AG71" s="10"/>
      <c r="AH71" s="1"/>
      <c r="AI71" s="10"/>
      <c r="AJ71" s="32"/>
      <c r="AL71" s="7"/>
    </row>
    <row r="72" spans="1:38" x14ac:dyDescent="0.3">
      <c r="A72">
        <v>77045</v>
      </c>
      <c r="B72">
        <v>1</v>
      </c>
      <c r="C72">
        <v>8</v>
      </c>
      <c r="D72">
        <v>1982</v>
      </c>
      <c r="E72">
        <v>8</v>
      </c>
      <c r="F72">
        <v>5</v>
      </c>
      <c r="G72">
        <v>1988</v>
      </c>
      <c r="H72">
        <v>79</v>
      </c>
      <c r="I72" s="32">
        <f t="shared" ref="I72:I135" si="18">(H72^gamma_T-1)/gamma_T</f>
        <v>15.776388834631177</v>
      </c>
      <c r="J72" s="1">
        <v>5.7726027397260298</v>
      </c>
      <c r="K72" s="32">
        <f t="shared" ref="K72:K135" si="19">alpha_T*(1-rho_T^J72)/(1-rho_T)+I72*rho_T^J72</f>
        <v>16.858832089443759</v>
      </c>
      <c r="L72" s="32">
        <f t="shared" ref="L72:L135" si="20">(gamma_T*K72+1)^(1/gamma_T)</f>
        <v>88.913886944458412</v>
      </c>
      <c r="M72" s="32">
        <f t="shared" ref="M72:M135" si="21">sigma_eps_T^2*(1-rho_T^(2*J72))/(1-rho_T^2)</f>
        <v>0.41251039534364464</v>
      </c>
      <c r="N72">
        <v>0.91840092864003964</v>
      </c>
      <c r="O72" s="32">
        <f t="shared" si="11"/>
        <v>17.44869319824112</v>
      </c>
      <c r="P72" s="32">
        <f t="shared" ref="P72:P135" si="22">(gamma_T*O72+1)^(1/gamma_T)</f>
        <v>94.562916779827603</v>
      </c>
      <c r="Q72">
        <v>23</v>
      </c>
      <c r="R72">
        <v>102</v>
      </c>
      <c r="S72" s="1">
        <f t="shared" ref="S72:S135" si="23">(H72^gamma-1)/gamma</f>
        <v>15.777686962567273</v>
      </c>
      <c r="T72" s="1">
        <f t="shared" si="12"/>
        <v>17.44869319824112</v>
      </c>
      <c r="U72" s="1">
        <f t="shared" ref="U72:U135" si="24">alpha*(1-rho^J72)/(1-rho)+(rho^J72)*S72</f>
        <v>16.983193153142622</v>
      </c>
      <c r="V72" s="1">
        <f t="shared" ref="V72:V135" si="25">(1-rho^(2*J72))/(1-rho^2)</f>
        <v>4.6566012064619162</v>
      </c>
      <c r="W72" s="1">
        <f t="shared" si="13"/>
        <v>0.21669029198670353</v>
      </c>
      <c r="X72" s="1">
        <f t="shared" si="14"/>
        <v>0.46550004509849785</v>
      </c>
      <c r="Y72" s="39">
        <f t="shared" ref="Y72:Y135" si="26">(U72*gamma+1)^(1/gamma)</f>
        <v>90.076656368961565</v>
      </c>
      <c r="AB72">
        <v>67</v>
      </c>
      <c r="AC72" s="7"/>
      <c r="AF72" s="7"/>
      <c r="AG72" s="10"/>
      <c r="AH72" s="1"/>
      <c r="AI72" s="10"/>
      <c r="AJ72" s="32"/>
      <c r="AL72" s="7"/>
    </row>
    <row r="73" spans="1:38" x14ac:dyDescent="0.3">
      <c r="A73">
        <v>78917</v>
      </c>
      <c r="B73">
        <v>28</v>
      </c>
      <c r="C73">
        <v>7</v>
      </c>
      <c r="D73">
        <v>1982</v>
      </c>
      <c r="E73">
        <v>6</v>
      </c>
      <c r="F73">
        <v>7</v>
      </c>
      <c r="G73">
        <v>1983</v>
      </c>
      <c r="H73">
        <v>79</v>
      </c>
      <c r="I73" s="32">
        <f t="shared" si="18"/>
        <v>15.776388834631177</v>
      </c>
      <c r="J73" s="1">
        <v>0.93972602739725997</v>
      </c>
      <c r="K73" s="32">
        <f t="shared" si="19"/>
        <v>15.975145163530975</v>
      </c>
      <c r="L73" s="32">
        <f t="shared" si="20"/>
        <v>80.776460912502756</v>
      </c>
      <c r="M73" s="32">
        <f t="shared" si="21"/>
        <v>8.483287594817894E-2</v>
      </c>
      <c r="N73">
        <v>-1.6563080862397328</v>
      </c>
      <c r="O73" s="32">
        <f t="shared" ref="O73:O136" si="27">K73+N73*SQRT(M73)</f>
        <v>15.492727481790125</v>
      </c>
      <c r="P73" s="32">
        <f t="shared" si="22"/>
        <v>76.498878688043888</v>
      </c>
      <c r="Q73">
        <v>6</v>
      </c>
      <c r="R73">
        <v>85</v>
      </c>
      <c r="S73" s="1">
        <f t="shared" si="23"/>
        <v>15.777686962567273</v>
      </c>
      <c r="T73" s="1">
        <f t="shared" ref="T73:T136" si="28">O73</f>
        <v>15.492727481790125</v>
      </c>
      <c r="U73" s="1">
        <f t="shared" si="24"/>
        <v>15.997162035702765</v>
      </c>
      <c r="V73" s="1">
        <f t="shared" si="25"/>
        <v>0.94238228982784578</v>
      </c>
      <c r="W73" s="1">
        <f t="shared" ref="W73:W136" si="29">(T73-U73)^2</f>
        <v>0.25445421918104416</v>
      </c>
      <c r="X73" s="1">
        <f t="shared" ref="X73:X136" si="30">T73-U73</f>
        <v>-0.50443455391264003</v>
      </c>
      <c r="Y73" s="39">
        <f t="shared" si="26"/>
        <v>80.962535916321926</v>
      </c>
      <c r="AB73">
        <v>68</v>
      </c>
      <c r="AC73" s="7"/>
      <c r="AF73" s="7"/>
      <c r="AG73" s="10"/>
      <c r="AH73" s="1"/>
      <c r="AI73" s="10"/>
      <c r="AJ73" s="32"/>
      <c r="AL73" s="7"/>
    </row>
    <row r="74" spans="1:38" x14ac:dyDescent="0.3">
      <c r="A74">
        <v>20582</v>
      </c>
      <c r="B74">
        <v>18</v>
      </c>
      <c r="C74">
        <v>1</v>
      </c>
      <c r="D74">
        <v>1982</v>
      </c>
      <c r="E74">
        <v>3</v>
      </c>
      <c r="F74">
        <v>5</v>
      </c>
      <c r="G74">
        <v>1983</v>
      </c>
      <c r="H74">
        <v>96</v>
      </c>
      <c r="I74" s="32">
        <f t="shared" si="18"/>
        <v>17.595917942265423</v>
      </c>
      <c r="J74" s="1">
        <v>1.2876712328767099</v>
      </c>
      <c r="K74" s="32">
        <f t="shared" si="19"/>
        <v>17.749574633106089</v>
      </c>
      <c r="L74" s="32">
        <f t="shared" si="20"/>
        <v>97.511424547156878</v>
      </c>
      <c r="M74" s="32">
        <f t="shared" si="21"/>
        <v>0.11422588266200534</v>
      </c>
      <c r="N74">
        <v>1.7098500393331051E-2</v>
      </c>
      <c r="O74" s="32">
        <f t="shared" si="27"/>
        <v>17.755353467967446</v>
      </c>
      <c r="P74" s="32">
        <f t="shared" si="22"/>
        <v>97.568497661083342</v>
      </c>
      <c r="Q74">
        <v>0</v>
      </c>
      <c r="R74">
        <v>96</v>
      </c>
      <c r="S74" s="1">
        <f t="shared" si="23"/>
        <v>17.597444920630032</v>
      </c>
      <c r="T74" s="1">
        <f t="shared" si="28"/>
        <v>17.755353467967446</v>
      </c>
      <c r="U74" s="1">
        <f t="shared" si="24"/>
        <v>17.787622652975884</v>
      </c>
      <c r="V74" s="1">
        <f t="shared" si="25"/>
        <v>1.270488321140379</v>
      </c>
      <c r="W74" s="1">
        <f t="shared" si="29"/>
        <v>1.0413003011088145E-3</v>
      </c>
      <c r="X74" s="1">
        <f t="shared" si="30"/>
        <v>-3.2269185008438228E-2</v>
      </c>
      <c r="Y74" s="39">
        <f t="shared" si="26"/>
        <v>97.872153316196176</v>
      </c>
      <c r="AB74">
        <v>69</v>
      </c>
      <c r="AC74" s="7"/>
      <c r="AF74" s="7"/>
      <c r="AG74" s="10"/>
      <c r="AH74" s="1"/>
      <c r="AI74" s="10"/>
      <c r="AJ74" s="32"/>
      <c r="AL74" s="7"/>
    </row>
    <row r="75" spans="1:38" x14ac:dyDescent="0.3">
      <c r="A75">
        <v>79008</v>
      </c>
      <c r="B75">
        <v>31</v>
      </c>
      <c r="C75">
        <v>7</v>
      </c>
      <c r="D75">
        <v>1982</v>
      </c>
      <c r="E75">
        <v>1</v>
      </c>
      <c r="F75">
        <v>5</v>
      </c>
      <c r="G75">
        <v>1984</v>
      </c>
      <c r="H75">
        <v>76</v>
      </c>
      <c r="I75" s="32">
        <f t="shared" si="18"/>
        <v>15.435595774162696</v>
      </c>
      <c r="J75" s="1">
        <v>1.75342465753425</v>
      </c>
      <c r="K75" s="32">
        <f t="shared" si="19"/>
        <v>15.828193859493267</v>
      </c>
      <c r="L75" s="32">
        <f t="shared" si="20"/>
        <v>79.461124072918366</v>
      </c>
      <c r="M75" s="32">
        <f t="shared" si="21"/>
        <v>0.15196408401693537</v>
      </c>
      <c r="N75">
        <v>0.70229134507826529</v>
      </c>
      <c r="O75" s="32">
        <f t="shared" si="27"/>
        <v>16.10196508157107</v>
      </c>
      <c r="P75" s="32">
        <f t="shared" si="22"/>
        <v>81.920284953604579</v>
      </c>
      <c r="Q75">
        <v>3</v>
      </c>
      <c r="R75">
        <v>79</v>
      </c>
      <c r="S75" s="1">
        <f t="shared" si="23"/>
        <v>15.436852174114659</v>
      </c>
      <c r="T75" s="1">
        <f t="shared" si="28"/>
        <v>16.10196508157107</v>
      </c>
      <c r="U75" s="1">
        <f t="shared" si="24"/>
        <v>15.865874340172716</v>
      </c>
      <c r="V75" s="1">
        <f t="shared" si="25"/>
        <v>1.6930280992608442</v>
      </c>
      <c r="W75" s="1">
        <f t="shared" si="29"/>
        <v>5.5738838174024127E-2</v>
      </c>
      <c r="X75" s="1">
        <f t="shared" si="30"/>
        <v>0.23609074139835329</v>
      </c>
      <c r="Y75" s="39">
        <f t="shared" si="26"/>
        <v>79.785673834245415</v>
      </c>
      <c r="AB75">
        <v>70</v>
      </c>
      <c r="AC75" s="7"/>
      <c r="AF75" s="7"/>
      <c r="AG75" s="10"/>
      <c r="AH75" s="1"/>
      <c r="AI75" s="10"/>
      <c r="AJ75" s="32"/>
      <c r="AL75" s="7"/>
    </row>
    <row r="76" spans="1:38" x14ac:dyDescent="0.3">
      <c r="A76">
        <v>22602</v>
      </c>
      <c r="B76">
        <v>25</v>
      </c>
      <c r="C76">
        <v>7</v>
      </c>
      <c r="D76">
        <v>1982</v>
      </c>
      <c r="E76">
        <v>24</v>
      </c>
      <c r="F76">
        <v>8</v>
      </c>
      <c r="G76">
        <v>1985</v>
      </c>
      <c r="H76">
        <v>81</v>
      </c>
      <c r="I76" s="32">
        <f t="shared" si="18"/>
        <v>16</v>
      </c>
      <c r="J76" s="1">
        <v>3.0849315068493199</v>
      </c>
      <c r="K76" s="32">
        <f t="shared" si="19"/>
        <v>16.585407835409971</v>
      </c>
      <c r="L76" s="32">
        <f t="shared" si="20"/>
        <v>86.354346102129583</v>
      </c>
      <c r="M76" s="32">
        <f t="shared" si="21"/>
        <v>0.25041694324156155</v>
      </c>
      <c r="N76">
        <v>-7.8223365562735125E-2</v>
      </c>
      <c r="O76" s="32">
        <f t="shared" si="27"/>
        <v>16.546263551512151</v>
      </c>
      <c r="P76" s="32">
        <f t="shared" si="22"/>
        <v>85.990972930537026</v>
      </c>
      <c r="Q76">
        <v>9</v>
      </c>
      <c r="R76">
        <v>90</v>
      </c>
      <c r="S76" s="1">
        <f t="shared" si="23"/>
        <v>16.001325708024599</v>
      </c>
      <c r="T76" s="1">
        <f t="shared" si="28"/>
        <v>16.546263551512151</v>
      </c>
      <c r="U76" s="1">
        <f t="shared" si="24"/>
        <v>16.656022196766202</v>
      </c>
      <c r="V76" s="1">
        <f t="shared" si="25"/>
        <v>2.8026781120023569</v>
      </c>
      <c r="W76" s="1">
        <f t="shared" si="29"/>
        <v>1.2046960208004488E-2</v>
      </c>
      <c r="X76" s="1">
        <f t="shared" si="30"/>
        <v>-0.10975864525405044</v>
      </c>
      <c r="Y76" s="39">
        <f t="shared" si="26"/>
        <v>86.998663864445064</v>
      </c>
      <c r="AB76">
        <v>71</v>
      </c>
      <c r="AC76" s="7"/>
      <c r="AF76" s="7"/>
      <c r="AG76" s="10"/>
      <c r="AH76" s="1"/>
      <c r="AI76" s="10"/>
      <c r="AJ76" s="32"/>
      <c r="AL76" s="7"/>
    </row>
    <row r="77" spans="1:38" x14ac:dyDescent="0.3">
      <c r="A77">
        <v>78729</v>
      </c>
      <c r="B77">
        <v>24</v>
      </c>
      <c r="C77">
        <v>7</v>
      </c>
      <c r="D77">
        <v>1982</v>
      </c>
      <c r="E77">
        <v>9</v>
      </c>
      <c r="F77">
        <v>6</v>
      </c>
      <c r="G77">
        <v>1986</v>
      </c>
      <c r="H77">
        <v>78</v>
      </c>
      <c r="I77" s="32">
        <f t="shared" si="18"/>
        <v>15.663521732655695</v>
      </c>
      <c r="J77" s="1">
        <v>3.8794520547945202</v>
      </c>
      <c r="K77" s="32">
        <f t="shared" si="19"/>
        <v>16.446003719179252</v>
      </c>
      <c r="L77" s="32">
        <f t="shared" si="20"/>
        <v>85.063763301993703</v>
      </c>
      <c r="M77" s="32">
        <f t="shared" si="21"/>
        <v>0.3030686518177983</v>
      </c>
      <c r="N77">
        <v>-0.22452127268479671</v>
      </c>
      <c r="O77" s="32">
        <f t="shared" si="27"/>
        <v>16.322401006035086</v>
      </c>
      <c r="P77" s="32">
        <f t="shared" si="22"/>
        <v>83.927594656488893</v>
      </c>
      <c r="Q77">
        <v>10</v>
      </c>
      <c r="R77">
        <v>88</v>
      </c>
      <c r="S77" s="1">
        <f t="shared" si="23"/>
        <v>15.664805999633327</v>
      </c>
      <c r="T77" s="1">
        <f t="shared" si="28"/>
        <v>16.322401006035086</v>
      </c>
      <c r="U77" s="1">
        <f t="shared" si="24"/>
        <v>16.529830573667667</v>
      </c>
      <c r="V77" s="1">
        <f t="shared" si="25"/>
        <v>3.4008779424779898</v>
      </c>
      <c r="W77" s="1">
        <f t="shared" si="29"/>
        <v>4.3027025528239227E-2</v>
      </c>
      <c r="X77" s="1">
        <f t="shared" si="30"/>
        <v>-0.20742956763258036</v>
      </c>
      <c r="Y77" s="39">
        <f t="shared" si="26"/>
        <v>85.825763594472889</v>
      </c>
      <c r="AB77">
        <v>72</v>
      </c>
      <c r="AC77" s="7"/>
      <c r="AF77" s="7"/>
      <c r="AG77" s="10"/>
      <c r="AH77" s="1"/>
      <c r="AI77" s="10"/>
      <c r="AJ77" s="32"/>
      <c r="AL77" s="7"/>
    </row>
    <row r="78" spans="1:38" x14ac:dyDescent="0.3">
      <c r="A78">
        <v>79193</v>
      </c>
      <c r="B78">
        <v>13</v>
      </c>
      <c r="C78">
        <v>8</v>
      </c>
      <c r="D78">
        <v>1982</v>
      </c>
      <c r="E78">
        <v>14</v>
      </c>
      <c r="F78">
        <v>6</v>
      </c>
      <c r="G78">
        <v>1986</v>
      </c>
      <c r="H78">
        <v>147</v>
      </c>
      <c r="I78" s="32">
        <f t="shared" si="18"/>
        <v>22.248711305964282</v>
      </c>
      <c r="J78" s="1">
        <v>3.8383561643835602</v>
      </c>
      <c r="K78" s="32">
        <f t="shared" si="19"/>
        <v>21.846838699861735</v>
      </c>
      <c r="L78" s="32">
        <f t="shared" si="20"/>
        <v>142.16792899430584</v>
      </c>
      <c r="M78" s="32">
        <f t="shared" si="21"/>
        <v>0.30044924920365951</v>
      </c>
      <c r="N78">
        <v>-0.1116518433263991</v>
      </c>
      <c r="O78" s="32">
        <f t="shared" si="27"/>
        <v>21.785638694663369</v>
      </c>
      <c r="P78" s="32">
        <f t="shared" si="22"/>
        <v>141.43915202826685</v>
      </c>
      <c r="Q78">
        <v>2</v>
      </c>
      <c r="R78">
        <v>149</v>
      </c>
      <c r="S78" s="1">
        <f t="shared" si="23"/>
        <v>22.250864935558074</v>
      </c>
      <c r="T78" s="1">
        <f t="shared" si="28"/>
        <v>21.785638694663369</v>
      </c>
      <c r="U78" s="1">
        <f t="shared" si="24"/>
        <v>22.008563615087994</v>
      </c>
      <c r="V78" s="1">
        <f t="shared" si="25"/>
        <v>3.3710327792211716</v>
      </c>
      <c r="W78" s="1">
        <f t="shared" si="29"/>
        <v>4.9695520146325126E-2</v>
      </c>
      <c r="X78" s="1">
        <f t="shared" si="30"/>
        <v>-0.22292492042462442</v>
      </c>
      <c r="Y78" s="39">
        <f t="shared" si="26"/>
        <v>144.07733775345162</v>
      </c>
      <c r="AB78">
        <v>73</v>
      </c>
      <c r="AC78" s="7"/>
      <c r="AF78" s="7"/>
      <c r="AG78" s="10"/>
      <c r="AH78" s="1"/>
      <c r="AI78" s="10"/>
      <c r="AJ78" s="32"/>
      <c r="AL78" s="7"/>
    </row>
    <row r="79" spans="1:38" x14ac:dyDescent="0.3">
      <c r="A79">
        <v>22643</v>
      </c>
      <c r="B79">
        <v>26</v>
      </c>
      <c r="C79">
        <v>7</v>
      </c>
      <c r="D79">
        <v>1982</v>
      </c>
      <c r="E79">
        <v>18</v>
      </c>
      <c r="F79">
        <v>6</v>
      </c>
      <c r="G79">
        <v>1987</v>
      </c>
      <c r="H79">
        <v>65</v>
      </c>
      <c r="I79" s="32">
        <f t="shared" si="18"/>
        <v>14.124515496597098</v>
      </c>
      <c r="J79" s="1">
        <v>4.8986301369863003</v>
      </c>
      <c r="K79" s="32">
        <f t="shared" si="19"/>
        <v>15.429961416808197</v>
      </c>
      <c r="L79" s="32">
        <f t="shared" si="20"/>
        <v>75.950888747855601</v>
      </c>
      <c r="M79" s="32">
        <f t="shared" si="21"/>
        <v>0.36461925723843691</v>
      </c>
      <c r="N79">
        <v>1.5550358511973172</v>
      </c>
      <c r="O79" s="32">
        <f t="shared" si="27"/>
        <v>16.368949773491863</v>
      </c>
      <c r="P79" s="32">
        <f t="shared" si="22"/>
        <v>84.354578945266695</v>
      </c>
      <c r="Q79">
        <v>35</v>
      </c>
      <c r="R79">
        <v>100</v>
      </c>
      <c r="S79" s="1">
        <f t="shared" si="23"/>
        <v>14.125614927041669</v>
      </c>
      <c r="T79" s="1">
        <f t="shared" si="28"/>
        <v>16.368949773491863</v>
      </c>
      <c r="U79" s="1">
        <f t="shared" si="24"/>
        <v>15.51253384609798</v>
      </c>
      <c r="V79" s="1">
        <f t="shared" si="25"/>
        <v>4.1049137238033637</v>
      </c>
      <c r="W79" s="1">
        <f t="shared" si="29"/>
        <v>0.73344824069392422</v>
      </c>
      <c r="X79" s="1">
        <f t="shared" si="30"/>
        <v>0.85641592739388273</v>
      </c>
      <c r="Y79" s="39">
        <f t="shared" si="26"/>
        <v>76.661128603947958</v>
      </c>
      <c r="AB79">
        <v>74</v>
      </c>
      <c r="AC79" s="7"/>
      <c r="AF79" s="7"/>
      <c r="AG79" s="10"/>
      <c r="AH79" s="1"/>
      <c r="AI79" s="10"/>
      <c r="AJ79" s="32"/>
      <c r="AL79" s="7"/>
    </row>
    <row r="80" spans="1:38" x14ac:dyDescent="0.3">
      <c r="A80">
        <v>20568</v>
      </c>
      <c r="B80">
        <v>18</v>
      </c>
      <c r="C80">
        <v>1</v>
      </c>
      <c r="D80">
        <v>1982</v>
      </c>
      <c r="E80">
        <v>10</v>
      </c>
      <c r="F80">
        <v>7</v>
      </c>
      <c r="G80">
        <v>1982</v>
      </c>
      <c r="H80">
        <v>116</v>
      </c>
      <c r="I80" s="32">
        <f t="shared" si="18"/>
        <v>19.540659228538015</v>
      </c>
      <c r="J80" s="1">
        <v>0.47397260273972602</v>
      </c>
      <c r="K80" s="32">
        <f t="shared" si="19"/>
        <v>19.551691890770297</v>
      </c>
      <c r="L80" s="32">
        <f t="shared" si="20"/>
        <v>116.11885583867354</v>
      </c>
      <c r="M80" s="32">
        <f t="shared" si="21"/>
        <v>4.3809278579889414E-2</v>
      </c>
      <c r="N80">
        <v>-0.15588284441037104</v>
      </c>
      <c r="O80" s="32">
        <f t="shared" si="27"/>
        <v>19.519064573009867</v>
      </c>
      <c r="P80" s="32">
        <f t="shared" si="22"/>
        <v>115.76753502434208</v>
      </c>
      <c r="Q80">
        <v>2</v>
      </c>
      <c r="R80">
        <v>118</v>
      </c>
      <c r="S80" s="1">
        <f t="shared" si="23"/>
        <v>19.542441315298891</v>
      </c>
      <c r="T80" s="1">
        <f t="shared" si="28"/>
        <v>19.519064573009867</v>
      </c>
      <c r="U80" s="1">
        <f t="shared" si="24"/>
        <v>19.570445771422044</v>
      </c>
      <c r="V80" s="1">
        <f t="shared" si="25"/>
        <v>0.48583831123346316</v>
      </c>
      <c r="W80" s="1">
        <f t="shared" si="29"/>
        <v>2.6400275502714578E-3</v>
      </c>
      <c r="X80" s="1">
        <f t="shared" si="30"/>
        <v>-5.1381198412176587E-2</v>
      </c>
      <c r="Y80" s="39">
        <f t="shared" si="26"/>
        <v>116.30177287100092</v>
      </c>
      <c r="AB80">
        <v>75</v>
      </c>
      <c r="AC80" s="7"/>
      <c r="AF80" s="7"/>
      <c r="AG80" s="10"/>
      <c r="AH80" s="1"/>
      <c r="AI80" s="10"/>
      <c r="AJ80" s="32"/>
      <c r="AL80" s="7"/>
    </row>
    <row r="81" spans="1:38" x14ac:dyDescent="0.3">
      <c r="A81">
        <v>79132</v>
      </c>
      <c r="B81">
        <v>9</v>
      </c>
      <c r="C81">
        <v>8</v>
      </c>
      <c r="D81">
        <v>1982</v>
      </c>
      <c r="E81">
        <v>12</v>
      </c>
      <c r="F81">
        <v>6</v>
      </c>
      <c r="G81">
        <v>1985</v>
      </c>
      <c r="H81">
        <v>73</v>
      </c>
      <c r="I81" s="32">
        <f t="shared" si="18"/>
        <v>15.088007490635061</v>
      </c>
      <c r="J81" s="1">
        <v>2.8438356164383598</v>
      </c>
      <c r="K81" s="32">
        <f t="shared" si="19"/>
        <v>15.754710699122395</v>
      </c>
      <c r="L81" s="32">
        <f t="shared" si="20"/>
        <v>78.80743800238281</v>
      </c>
      <c r="M81" s="32">
        <f t="shared" si="21"/>
        <v>0.23357245569011437</v>
      </c>
      <c r="N81">
        <v>-0.92706613941118121</v>
      </c>
      <c r="O81" s="32">
        <f t="shared" si="27"/>
        <v>15.30666580513461</v>
      </c>
      <c r="P81" s="32">
        <f t="shared" si="22"/>
        <v>74.880170322653896</v>
      </c>
      <c r="Q81">
        <v>11</v>
      </c>
      <c r="R81">
        <v>84</v>
      </c>
      <c r="S81" s="1">
        <f t="shared" si="23"/>
        <v>15.089221716937686</v>
      </c>
      <c r="T81" s="1">
        <f t="shared" si="28"/>
        <v>15.30666580513461</v>
      </c>
      <c r="U81" s="1">
        <f t="shared" si="24"/>
        <v>15.811529424262407</v>
      </c>
      <c r="V81" s="1">
        <f t="shared" si="25"/>
        <v>2.6120317607747534</v>
      </c>
      <c r="W81" s="1">
        <f t="shared" si="29"/>
        <v>0.25488727391881671</v>
      </c>
      <c r="X81" s="1">
        <f t="shared" si="30"/>
        <v>-0.50486361912779643</v>
      </c>
      <c r="Y81" s="39">
        <f t="shared" si="26"/>
        <v>79.301047630903454</v>
      </c>
      <c r="AB81">
        <v>76</v>
      </c>
      <c r="AC81" s="7"/>
      <c r="AF81" s="7"/>
      <c r="AG81" s="10"/>
      <c r="AH81" s="1"/>
      <c r="AI81" s="10"/>
      <c r="AJ81" s="32"/>
      <c r="AL81" s="7"/>
    </row>
    <row r="82" spans="1:38" x14ac:dyDescent="0.3">
      <c r="A82">
        <v>76796</v>
      </c>
      <c r="B82">
        <v>30</v>
      </c>
      <c r="C82">
        <v>7</v>
      </c>
      <c r="D82">
        <v>1982</v>
      </c>
      <c r="E82">
        <v>14</v>
      </c>
      <c r="F82">
        <v>6</v>
      </c>
      <c r="G82">
        <v>1985</v>
      </c>
      <c r="H82">
        <v>68</v>
      </c>
      <c r="I82" s="32">
        <f t="shared" si="18"/>
        <v>14.492422502470642</v>
      </c>
      <c r="J82" s="1">
        <v>2.8767123287671201</v>
      </c>
      <c r="K82" s="32">
        <f t="shared" si="19"/>
        <v>15.247984620321679</v>
      </c>
      <c r="L82" s="32">
        <f t="shared" si="20"/>
        <v>74.373243365713307</v>
      </c>
      <c r="M82" s="32">
        <f t="shared" si="21"/>
        <v>0.23589403693174985</v>
      </c>
      <c r="N82">
        <v>-2.715978553169407E-3</v>
      </c>
      <c r="O82" s="32">
        <f t="shared" si="27"/>
        <v>15.246665498764907</v>
      </c>
      <c r="P82" s="32">
        <f t="shared" si="22"/>
        <v>74.361867706571928</v>
      </c>
      <c r="Q82">
        <v>6</v>
      </c>
      <c r="R82">
        <v>74</v>
      </c>
      <c r="S82" s="1">
        <f t="shared" si="23"/>
        <v>14.49356539510066</v>
      </c>
      <c r="T82" s="1">
        <f t="shared" si="28"/>
        <v>15.246665498764907</v>
      </c>
      <c r="U82" s="1">
        <f t="shared" si="24"/>
        <v>15.299834014126766</v>
      </c>
      <c r="V82" s="1">
        <f t="shared" si="25"/>
        <v>2.6382871609906502</v>
      </c>
      <c r="W82" s="1">
        <f t="shared" si="29"/>
        <v>2.8268910257842677E-3</v>
      </c>
      <c r="X82" s="1">
        <f t="shared" si="30"/>
        <v>-5.3168515361859292E-2</v>
      </c>
      <c r="Y82" s="39">
        <f t="shared" si="26"/>
        <v>74.81034104957449</v>
      </c>
      <c r="AB82">
        <v>77</v>
      </c>
      <c r="AC82" s="7"/>
      <c r="AF82" s="7"/>
      <c r="AG82" s="10"/>
      <c r="AH82" s="1"/>
      <c r="AI82" s="10"/>
      <c r="AJ82" s="32"/>
      <c r="AL82" s="7"/>
    </row>
    <row r="83" spans="1:38" x14ac:dyDescent="0.3">
      <c r="A83">
        <v>79247</v>
      </c>
      <c r="B83">
        <v>15</v>
      </c>
      <c r="C83">
        <v>8</v>
      </c>
      <c r="D83">
        <v>1982</v>
      </c>
      <c r="E83">
        <v>8</v>
      </c>
      <c r="F83">
        <v>6</v>
      </c>
      <c r="G83">
        <v>1985</v>
      </c>
      <c r="H83">
        <v>77</v>
      </c>
      <c r="I83" s="32">
        <f t="shared" si="18"/>
        <v>15.549928774784245</v>
      </c>
      <c r="J83" s="1">
        <v>2.81643835616438</v>
      </c>
      <c r="K83" s="32">
        <f t="shared" si="19"/>
        <v>16.148526894243069</v>
      </c>
      <c r="L83" s="32">
        <f t="shared" si="20"/>
        <v>82.342257107766002</v>
      </c>
      <c r="M83" s="32">
        <f t="shared" si="21"/>
        <v>0.2316318144158673</v>
      </c>
      <c r="N83">
        <v>0.53541270972345956</v>
      </c>
      <c r="O83" s="32">
        <f t="shared" si="27"/>
        <v>16.406211088570327</v>
      </c>
      <c r="P83" s="32">
        <f t="shared" si="22"/>
        <v>84.697151659252313</v>
      </c>
      <c r="Q83">
        <v>9</v>
      </c>
      <c r="R83">
        <v>86</v>
      </c>
      <c r="S83" s="1">
        <f t="shared" si="23"/>
        <v>15.551199132657898</v>
      </c>
      <c r="T83" s="1">
        <f t="shared" si="28"/>
        <v>16.406211088570327</v>
      </c>
      <c r="U83" s="1">
        <f t="shared" si="24"/>
        <v>16.20908597725683</v>
      </c>
      <c r="V83" s="1">
        <f t="shared" si="25"/>
        <v>2.5900894509346437</v>
      </c>
      <c r="W83" s="1">
        <f t="shared" si="29"/>
        <v>3.8858309510358527E-2</v>
      </c>
      <c r="X83" s="1">
        <f t="shared" si="30"/>
        <v>0.19712511131349686</v>
      </c>
      <c r="Y83" s="39">
        <f t="shared" si="26"/>
        <v>82.880398971093086</v>
      </c>
      <c r="AB83">
        <v>78</v>
      </c>
      <c r="AC83" s="7"/>
      <c r="AF83" s="7"/>
      <c r="AG83" s="10"/>
      <c r="AH83" s="1"/>
      <c r="AI83" s="10"/>
      <c r="AJ83" s="32"/>
      <c r="AL83" s="7"/>
    </row>
    <row r="84" spans="1:38" x14ac:dyDescent="0.3">
      <c r="A84">
        <v>78900</v>
      </c>
      <c r="B84">
        <v>27</v>
      </c>
      <c r="C84">
        <v>7</v>
      </c>
      <c r="D84">
        <v>1982</v>
      </c>
      <c r="E84">
        <v>27</v>
      </c>
      <c r="F84">
        <v>4</v>
      </c>
      <c r="G84">
        <v>1984</v>
      </c>
      <c r="H84">
        <v>89</v>
      </c>
      <c r="I84" s="32">
        <f t="shared" si="18"/>
        <v>16.867962264113206</v>
      </c>
      <c r="J84" s="1">
        <v>1.75342465753425</v>
      </c>
      <c r="K84" s="32">
        <f t="shared" si="19"/>
        <v>17.137358215359544</v>
      </c>
      <c r="L84" s="32">
        <f t="shared" si="20"/>
        <v>91.559619865747365</v>
      </c>
      <c r="M84" s="32">
        <f t="shared" si="21"/>
        <v>0.15196408401693537</v>
      </c>
      <c r="N84">
        <v>0.57386841945117339</v>
      </c>
      <c r="O84" s="32">
        <f t="shared" si="27"/>
        <v>17.361066879300857</v>
      </c>
      <c r="P84" s="32">
        <f t="shared" si="22"/>
        <v>93.712727676190156</v>
      </c>
      <c r="Q84">
        <v>14</v>
      </c>
      <c r="R84">
        <v>103</v>
      </c>
      <c r="S84" s="1">
        <f t="shared" si="23"/>
        <v>16.869396490572026</v>
      </c>
      <c r="T84" s="1">
        <f t="shared" si="28"/>
        <v>17.361066879300857</v>
      </c>
      <c r="U84" s="1">
        <f t="shared" si="24"/>
        <v>17.18379681258407</v>
      </c>
      <c r="V84" s="1">
        <f t="shared" si="25"/>
        <v>1.6930280992608442</v>
      </c>
      <c r="W84" s="1">
        <f t="shared" si="29"/>
        <v>3.1424676553774046E-2</v>
      </c>
      <c r="X84" s="1">
        <f t="shared" si="30"/>
        <v>0.1772700667167868</v>
      </c>
      <c r="Y84" s="39">
        <f t="shared" si="26"/>
        <v>91.990376258576092</v>
      </c>
      <c r="AB84">
        <v>79</v>
      </c>
      <c r="AC84" s="7"/>
      <c r="AF84" s="7"/>
      <c r="AG84" s="10"/>
      <c r="AH84" s="1"/>
      <c r="AI84" s="10"/>
      <c r="AJ84" s="32"/>
      <c r="AL84" s="7"/>
    </row>
    <row r="85" spans="1:38" x14ac:dyDescent="0.3">
      <c r="A85">
        <v>78940</v>
      </c>
      <c r="B85">
        <v>30</v>
      </c>
      <c r="C85">
        <v>7</v>
      </c>
      <c r="D85">
        <v>1982</v>
      </c>
      <c r="E85">
        <v>1</v>
      </c>
      <c r="F85">
        <v>5</v>
      </c>
      <c r="G85">
        <v>1984</v>
      </c>
      <c r="H85">
        <v>72</v>
      </c>
      <c r="I85" s="32">
        <f t="shared" si="18"/>
        <v>14.970562748477139</v>
      </c>
      <c r="J85" s="1">
        <v>1.7561643835616401</v>
      </c>
      <c r="K85" s="32">
        <f t="shared" si="19"/>
        <v>15.403805664499158</v>
      </c>
      <c r="L85" s="32">
        <f t="shared" si="20"/>
        <v>75.723112901913268</v>
      </c>
      <c r="M85" s="32">
        <f t="shared" si="21"/>
        <v>0.1521807818800906</v>
      </c>
      <c r="N85">
        <v>1.1436850400059484</v>
      </c>
      <c r="O85" s="32">
        <f t="shared" si="27"/>
        <v>15.849961261849975</v>
      </c>
      <c r="P85" s="32">
        <f t="shared" si="22"/>
        <v>79.655279262386202</v>
      </c>
      <c r="Q85">
        <v>5</v>
      </c>
      <c r="R85">
        <v>77</v>
      </c>
      <c r="S85" s="1">
        <f t="shared" si="23"/>
        <v>14.971762814519451</v>
      </c>
      <c r="T85" s="1">
        <f t="shared" si="28"/>
        <v>15.849961261849975</v>
      </c>
      <c r="U85" s="1">
        <f t="shared" si="24"/>
        <v>15.438696562944063</v>
      </c>
      <c r="V85" s="1">
        <f t="shared" si="25"/>
        <v>1.6954586579419353</v>
      </c>
      <c r="W85" s="1">
        <f t="shared" si="29"/>
        <v>0.16913865256617036</v>
      </c>
      <c r="X85" s="1">
        <f t="shared" si="30"/>
        <v>0.41126469890591189</v>
      </c>
      <c r="Y85" s="39">
        <f t="shared" si="26"/>
        <v>76.01607789948126</v>
      </c>
      <c r="AB85">
        <v>80</v>
      </c>
      <c r="AC85" s="7"/>
      <c r="AF85" s="7"/>
      <c r="AG85" s="10"/>
      <c r="AH85" s="1"/>
      <c r="AI85" s="10"/>
      <c r="AJ85" s="32"/>
      <c r="AL85" s="7"/>
    </row>
    <row r="86" spans="1:38" x14ac:dyDescent="0.3">
      <c r="A86">
        <v>76775</v>
      </c>
      <c r="B86">
        <v>30</v>
      </c>
      <c r="C86">
        <v>7</v>
      </c>
      <c r="D86">
        <v>1982</v>
      </c>
      <c r="E86">
        <v>23</v>
      </c>
      <c r="F86">
        <v>9</v>
      </c>
      <c r="G86">
        <v>1987</v>
      </c>
      <c r="H86">
        <v>63</v>
      </c>
      <c r="I86" s="32">
        <f t="shared" si="18"/>
        <v>13.874507866387544</v>
      </c>
      <c r="J86" s="1">
        <v>5.1534246575342504</v>
      </c>
      <c r="K86" s="32">
        <f t="shared" si="19"/>
        <v>15.297365077264237</v>
      </c>
      <c r="L86" s="32">
        <f t="shared" si="20"/>
        <v>74.799709654040115</v>
      </c>
      <c r="M86" s="32">
        <f t="shared" si="21"/>
        <v>0.37902737965130018</v>
      </c>
      <c r="N86">
        <v>-1.4283114069257863</v>
      </c>
      <c r="O86" s="32">
        <f t="shared" si="27"/>
        <v>14.41802230929269</v>
      </c>
      <c r="P86" s="32">
        <f t="shared" si="22"/>
        <v>67.387864137108096</v>
      </c>
      <c r="Q86">
        <v>25</v>
      </c>
      <c r="R86">
        <v>88</v>
      </c>
      <c r="S86" s="1">
        <f t="shared" si="23"/>
        <v>13.8755780315691</v>
      </c>
      <c r="T86" s="1">
        <f t="shared" si="28"/>
        <v>14.41802230929269</v>
      </c>
      <c r="U86" s="1">
        <f t="shared" si="24"/>
        <v>15.380523504563364</v>
      </c>
      <c r="V86" s="1">
        <f t="shared" si="25"/>
        <v>4.2705137950826062</v>
      </c>
      <c r="W86" s="1">
        <f t="shared" si="29"/>
        <v>0.92640855089747598</v>
      </c>
      <c r="X86" s="1">
        <f t="shared" si="30"/>
        <v>-0.9625011952706739</v>
      </c>
      <c r="Y86" s="39">
        <f t="shared" si="26"/>
        <v>75.509790887206307</v>
      </c>
      <c r="AB86">
        <v>81</v>
      </c>
      <c r="AC86" s="7"/>
      <c r="AF86" s="7"/>
      <c r="AG86" s="10"/>
      <c r="AH86" s="1"/>
      <c r="AI86" s="10"/>
      <c r="AJ86" s="32"/>
      <c r="AL86" s="7"/>
    </row>
    <row r="87" spans="1:38" x14ac:dyDescent="0.3">
      <c r="A87">
        <v>76639</v>
      </c>
      <c r="B87">
        <v>30</v>
      </c>
      <c r="C87">
        <v>7</v>
      </c>
      <c r="D87">
        <v>1982</v>
      </c>
      <c r="E87">
        <v>25</v>
      </c>
      <c r="F87">
        <v>8</v>
      </c>
      <c r="G87">
        <v>1988</v>
      </c>
      <c r="H87">
        <v>56</v>
      </c>
      <c r="I87" s="32">
        <f t="shared" si="18"/>
        <v>12.966629547095765</v>
      </c>
      <c r="J87" s="1">
        <v>6.0767123287671199</v>
      </c>
      <c r="K87" s="32">
        <f t="shared" si="19"/>
        <v>14.850130188291658</v>
      </c>
      <c r="L87" s="32">
        <f t="shared" si="20"/>
        <v>70.98172184059446</v>
      </c>
      <c r="M87" s="32">
        <f t="shared" si="21"/>
        <v>0.42819292759959504</v>
      </c>
      <c r="N87">
        <v>-0.97393694886704907</v>
      </c>
      <c r="O87" s="32">
        <f t="shared" si="27"/>
        <v>14.212820402327347</v>
      </c>
      <c r="P87" s="32">
        <f t="shared" si="22"/>
        <v>65.713886349530455</v>
      </c>
      <c r="Q87">
        <v>26</v>
      </c>
      <c r="R87">
        <v>82</v>
      </c>
      <c r="S87" s="1">
        <f t="shared" si="23"/>
        <v>12.967595328934028</v>
      </c>
      <c r="T87" s="1">
        <f t="shared" si="28"/>
        <v>14.212820402327347</v>
      </c>
      <c r="U87" s="1">
        <f t="shared" si="24"/>
        <v>14.933228057284825</v>
      </c>
      <c r="V87" s="1">
        <f t="shared" si="25"/>
        <v>4.8380614146753746</v>
      </c>
      <c r="W87" s="1">
        <f t="shared" si="29"/>
        <v>0.51898718932133303</v>
      </c>
      <c r="X87" s="1">
        <f t="shared" si="30"/>
        <v>-0.72040765495747827</v>
      </c>
      <c r="Y87" s="39">
        <f t="shared" si="26"/>
        <v>71.67343221917254</v>
      </c>
      <c r="AB87">
        <v>82</v>
      </c>
      <c r="AC87" s="7"/>
      <c r="AF87" s="7"/>
      <c r="AG87" s="10"/>
      <c r="AH87" s="1"/>
      <c r="AI87" s="10"/>
      <c r="AJ87" s="32"/>
      <c r="AL87" s="7"/>
    </row>
    <row r="88" spans="1:38" x14ac:dyDescent="0.3">
      <c r="A88">
        <v>78792</v>
      </c>
      <c r="B88">
        <v>25</v>
      </c>
      <c r="C88">
        <v>7</v>
      </c>
      <c r="D88">
        <v>1982</v>
      </c>
      <c r="E88">
        <v>1</v>
      </c>
      <c r="F88">
        <v>5</v>
      </c>
      <c r="G88">
        <v>1984</v>
      </c>
      <c r="H88">
        <v>86</v>
      </c>
      <c r="I88" s="32">
        <f t="shared" si="18"/>
        <v>16.547236990991408</v>
      </c>
      <c r="J88" s="1">
        <v>1.76986301369863</v>
      </c>
      <c r="K88" s="32">
        <f t="shared" si="19"/>
        <v>16.846879245536311</v>
      </c>
      <c r="L88" s="32">
        <f t="shared" si="20"/>
        <v>88.801214323956842</v>
      </c>
      <c r="M88" s="32">
        <f t="shared" si="21"/>
        <v>0.15326335809268193</v>
      </c>
      <c r="N88">
        <v>-1.0008398021454923</v>
      </c>
      <c r="O88" s="32">
        <f t="shared" si="27"/>
        <v>16.455061828901634</v>
      </c>
      <c r="P88" s="32">
        <f t="shared" si="22"/>
        <v>85.147326777145537</v>
      </c>
      <c r="Q88">
        <v>7</v>
      </c>
      <c r="R88">
        <v>93</v>
      </c>
      <c r="S88" s="1">
        <f t="shared" si="23"/>
        <v>16.54863085074988</v>
      </c>
      <c r="T88" s="1">
        <f t="shared" si="28"/>
        <v>16.455061828901634</v>
      </c>
      <c r="U88" s="1">
        <f t="shared" si="24"/>
        <v>16.891752352480946</v>
      </c>
      <c r="V88" s="1">
        <f t="shared" si="25"/>
        <v>1.7076019544335892</v>
      </c>
      <c r="W88" s="1">
        <f t="shared" si="29"/>
        <v>0.19069861338397359</v>
      </c>
      <c r="X88" s="1">
        <f t="shared" si="30"/>
        <v>-0.43669052357931193</v>
      </c>
      <c r="Y88" s="39">
        <f t="shared" si="26"/>
        <v>89.211003044233138</v>
      </c>
      <c r="AB88">
        <v>83</v>
      </c>
      <c r="AC88" s="7"/>
      <c r="AF88" s="7"/>
      <c r="AG88" s="10"/>
      <c r="AH88" s="1"/>
      <c r="AI88" s="10"/>
      <c r="AJ88" s="32"/>
      <c r="AL88" s="7"/>
    </row>
    <row r="89" spans="1:38" x14ac:dyDescent="0.3">
      <c r="A89">
        <v>79508</v>
      </c>
      <c r="B89">
        <v>5</v>
      </c>
      <c r="C89">
        <v>9</v>
      </c>
      <c r="D89">
        <v>1982</v>
      </c>
      <c r="E89">
        <v>6</v>
      </c>
      <c r="F89">
        <v>5</v>
      </c>
      <c r="G89">
        <v>1987</v>
      </c>
      <c r="H89">
        <v>79</v>
      </c>
      <c r="I89" s="32">
        <f t="shared" si="18"/>
        <v>15.776388834631177</v>
      </c>
      <c r="J89" s="1">
        <v>4.6684931506849301</v>
      </c>
      <c r="K89" s="32">
        <f t="shared" si="19"/>
        <v>16.67580315355292</v>
      </c>
      <c r="L89" s="32">
        <f t="shared" si="20"/>
        <v>87.196405857564301</v>
      </c>
      <c r="M89" s="32">
        <f t="shared" si="21"/>
        <v>0.35127777827654649</v>
      </c>
      <c r="N89">
        <v>1.0321309673599899</v>
      </c>
      <c r="O89" s="32">
        <f t="shared" si="27"/>
        <v>17.287533671658768</v>
      </c>
      <c r="P89" s="32">
        <f t="shared" si="22"/>
        <v>93.002238783842685</v>
      </c>
      <c r="Q89">
        <v>10</v>
      </c>
      <c r="R89">
        <v>89</v>
      </c>
      <c r="S89" s="1">
        <f t="shared" si="23"/>
        <v>15.777686962567273</v>
      </c>
      <c r="T89" s="1">
        <f t="shared" si="28"/>
        <v>17.287533671658768</v>
      </c>
      <c r="U89" s="1">
        <f t="shared" si="24"/>
        <v>16.777470939870586</v>
      </c>
      <c r="V89" s="1">
        <f t="shared" si="25"/>
        <v>3.9518502745874078</v>
      </c>
      <c r="W89" s="1">
        <f t="shared" si="29"/>
        <v>0.2601639903592225</v>
      </c>
      <c r="X89" s="1">
        <f t="shared" si="30"/>
        <v>0.51006273178818162</v>
      </c>
      <c r="Y89" s="39">
        <f t="shared" si="26"/>
        <v>88.134997566505703</v>
      </c>
      <c r="AB89">
        <v>84</v>
      </c>
      <c r="AC89" s="7"/>
      <c r="AF89" s="7"/>
      <c r="AG89" s="10"/>
      <c r="AH89" s="1"/>
      <c r="AI89" s="10"/>
      <c r="AJ89" s="32"/>
      <c r="AL89" s="7"/>
    </row>
    <row r="90" spans="1:38" x14ac:dyDescent="0.3">
      <c r="A90">
        <v>79535</v>
      </c>
      <c r="B90">
        <v>5</v>
      </c>
      <c r="C90">
        <v>9</v>
      </c>
      <c r="D90">
        <v>1982</v>
      </c>
      <c r="E90">
        <v>29</v>
      </c>
      <c r="F90">
        <v>5</v>
      </c>
      <c r="G90">
        <v>1984</v>
      </c>
      <c r="H90">
        <v>77</v>
      </c>
      <c r="I90" s="32">
        <f t="shared" si="18"/>
        <v>15.549928774784245</v>
      </c>
      <c r="J90" s="1">
        <v>1.73150684931507</v>
      </c>
      <c r="K90" s="32">
        <f t="shared" si="19"/>
        <v>15.928117549156307</v>
      </c>
      <c r="L90" s="32">
        <f t="shared" si="20"/>
        <v>80.354349714091569</v>
      </c>
      <c r="M90" s="32">
        <f t="shared" si="21"/>
        <v>0.15022830678762508</v>
      </c>
      <c r="N90">
        <v>1.4385659596882761</v>
      </c>
      <c r="O90" s="32">
        <f t="shared" si="27"/>
        <v>16.48569559532126</v>
      </c>
      <c r="P90" s="32">
        <f t="shared" si="22"/>
        <v>85.430235410719959</v>
      </c>
      <c r="Q90">
        <v>3</v>
      </c>
      <c r="R90">
        <v>80</v>
      </c>
      <c r="S90" s="1">
        <f t="shared" si="23"/>
        <v>15.551199132657898</v>
      </c>
      <c r="T90" s="1">
        <f t="shared" si="28"/>
        <v>16.48569559532126</v>
      </c>
      <c r="U90" s="1">
        <f t="shared" si="24"/>
        <v>15.966036851028754</v>
      </c>
      <c r="V90" s="1">
        <f t="shared" si="25"/>
        <v>1.6735608094801835</v>
      </c>
      <c r="W90" s="1">
        <f t="shared" si="29"/>
        <v>0.27004521051966462</v>
      </c>
      <c r="X90" s="1">
        <f t="shared" si="30"/>
        <v>0.51965874429250647</v>
      </c>
      <c r="Y90" s="39">
        <f t="shared" si="26"/>
        <v>80.682750797648595</v>
      </c>
      <c r="AB90">
        <v>85</v>
      </c>
      <c r="AC90" s="7"/>
      <c r="AF90" s="7"/>
      <c r="AG90" s="10"/>
      <c r="AH90" s="1"/>
      <c r="AI90" s="10"/>
      <c r="AJ90" s="32"/>
      <c r="AL90" s="7"/>
    </row>
    <row r="91" spans="1:38" x14ac:dyDescent="0.3">
      <c r="A91">
        <v>79379</v>
      </c>
      <c r="B91">
        <v>30</v>
      </c>
      <c r="C91">
        <v>8</v>
      </c>
      <c r="D91">
        <v>1982</v>
      </c>
      <c r="E91">
        <v>21</v>
      </c>
      <c r="F91">
        <v>3</v>
      </c>
      <c r="G91">
        <v>1984</v>
      </c>
      <c r="H91">
        <v>81</v>
      </c>
      <c r="I91" s="32">
        <f t="shared" si="18"/>
        <v>16</v>
      </c>
      <c r="J91" s="1">
        <v>1.5589041095890399</v>
      </c>
      <c r="K91" s="32">
        <f t="shared" si="19"/>
        <v>16.307391814511188</v>
      </c>
      <c r="L91" s="32">
        <f t="shared" si="20"/>
        <v>83.790148762507812</v>
      </c>
      <c r="M91" s="32">
        <f t="shared" si="21"/>
        <v>0.13642181471890533</v>
      </c>
      <c r="N91">
        <v>-0.59546891861828044</v>
      </c>
      <c r="O91" s="32">
        <f t="shared" si="27"/>
        <v>16.087453441051096</v>
      </c>
      <c r="P91" s="32">
        <f t="shared" si="22"/>
        <v>81.788992995547787</v>
      </c>
      <c r="Q91">
        <v>6</v>
      </c>
      <c r="R91">
        <v>87</v>
      </c>
      <c r="S91" s="1">
        <f t="shared" si="23"/>
        <v>16.001325708024599</v>
      </c>
      <c r="T91" s="1">
        <f t="shared" si="28"/>
        <v>16.087453441051096</v>
      </c>
      <c r="U91" s="1">
        <f t="shared" si="24"/>
        <v>16.344160150640967</v>
      </c>
      <c r="V91" s="1">
        <f t="shared" si="25"/>
        <v>1.5188292822105756</v>
      </c>
      <c r="W91" s="1">
        <f t="shared" si="29"/>
        <v>6.5898334748458229E-2</v>
      </c>
      <c r="X91" s="1">
        <f t="shared" si="30"/>
        <v>-0.25670670958987074</v>
      </c>
      <c r="Y91" s="39">
        <f t="shared" si="26"/>
        <v>84.114503303613134</v>
      </c>
      <c r="AB91">
        <v>86</v>
      </c>
      <c r="AC91" s="7"/>
      <c r="AF91" s="7"/>
      <c r="AG91" s="10"/>
      <c r="AH91" s="1"/>
      <c r="AI91" s="10"/>
      <c r="AJ91" s="32"/>
      <c r="AL91" s="7"/>
    </row>
    <row r="92" spans="1:38" x14ac:dyDescent="0.3">
      <c r="A92">
        <v>79026</v>
      </c>
      <c r="B92">
        <v>2</v>
      </c>
      <c r="C92">
        <v>8</v>
      </c>
      <c r="D92">
        <v>1982</v>
      </c>
      <c r="E92">
        <v>13</v>
      </c>
      <c r="F92">
        <v>6</v>
      </c>
      <c r="G92">
        <v>1986</v>
      </c>
      <c r="H92">
        <v>115</v>
      </c>
      <c r="I92" s="32">
        <f t="shared" si="18"/>
        <v>19.447610589527216</v>
      </c>
      <c r="J92" s="1">
        <v>3.8657534246575298</v>
      </c>
      <c r="K92" s="32">
        <f t="shared" si="19"/>
        <v>19.546966523244095</v>
      </c>
      <c r="L92" s="32">
        <f t="shared" si="20"/>
        <v>116.06794158845042</v>
      </c>
      <c r="M92" s="32">
        <f t="shared" si="21"/>
        <v>0.30219674433707111</v>
      </c>
      <c r="N92">
        <v>1.4359875422087498</v>
      </c>
      <c r="O92" s="32">
        <f t="shared" si="27"/>
        <v>20.33636368914199</v>
      </c>
      <c r="P92" s="32">
        <f t="shared" si="22"/>
        <v>124.7282857134052</v>
      </c>
      <c r="Q92">
        <v>5</v>
      </c>
      <c r="R92">
        <v>120</v>
      </c>
      <c r="S92" s="1">
        <f t="shared" si="23"/>
        <v>19.449380237704567</v>
      </c>
      <c r="T92" s="1">
        <f t="shared" si="28"/>
        <v>20.33636368914199</v>
      </c>
      <c r="U92" s="1">
        <f t="shared" si="24"/>
        <v>19.676008815193907</v>
      </c>
      <c r="V92" s="1">
        <f t="shared" si="25"/>
        <v>3.3909425151989971</v>
      </c>
      <c r="W92" s="1">
        <f t="shared" si="29"/>
        <v>0.43606855954698931</v>
      </c>
      <c r="X92" s="1">
        <f t="shared" si="30"/>
        <v>0.66035487394808356</v>
      </c>
      <c r="Y92" s="39">
        <f t="shared" si="26"/>
        <v>117.4428321691002</v>
      </c>
      <c r="AB92">
        <v>87</v>
      </c>
      <c r="AC92" s="7"/>
      <c r="AF92" s="7"/>
      <c r="AG92" s="10"/>
      <c r="AH92" s="1"/>
      <c r="AI92" s="10"/>
      <c r="AJ92" s="32"/>
      <c r="AL92" s="7"/>
    </row>
    <row r="93" spans="1:38" x14ac:dyDescent="0.3">
      <c r="A93">
        <v>78882</v>
      </c>
      <c r="B93">
        <v>27</v>
      </c>
      <c r="C93">
        <v>7</v>
      </c>
      <c r="D93">
        <v>1982</v>
      </c>
      <c r="E93">
        <v>16</v>
      </c>
      <c r="F93">
        <v>6</v>
      </c>
      <c r="G93">
        <v>1990</v>
      </c>
      <c r="H93">
        <v>74</v>
      </c>
      <c r="I93" s="32">
        <f t="shared" si="18"/>
        <v>15.204650534085253</v>
      </c>
      <c r="J93" s="1">
        <v>7.8931506849315101</v>
      </c>
      <c r="K93" s="32">
        <f t="shared" si="19"/>
        <v>16.80118353959325</v>
      </c>
      <c r="L93" s="32">
        <f t="shared" si="20"/>
        <v>88.371125622368041</v>
      </c>
      <c r="M93" s="32">
        <f t="shared" si="21"/>
        <v>0.51232839728221424</v>
      </c>
      <c r="N93">
        <v>-1.5301475286833011</v>
      </c>
      <c r="O93" s="32">
        <f t="shared" si="27"/>
        <v>15.705948021205423</v>
      </c>
      <c r="P93" s="32">
        <f t="shared" si="22"/>
        <v>78.375148832407049</v>
      </c>
      <c r="Q93">
        <v>23</v>
      </c>
      <c r="R93">
        <v>97</v>
      </c>
      <c r="S93" s="1">
        <f t="shared" si="23"/>
        <v>15.205878868967202</v>
      </c>
      <c r="T93" s="1">
        <f t="shared" si="28"/>
        <v>15.705948021205423</v>
      </c>
      <c r="U93" s="1">
        <f t="shared" si="24"/>
        <v>16.956412650864234</v>
      </c>
      <c r="V93" s="1">
        <f t="shared" si="25"/>
        <v>5.8191213200190193</v>
      </c>
      <c r="W93" s="1">
        <f t="shared" si="29"/>
        <v>1.5636617900277481</v>
      </c>
      <c r="X93" s="1">
        <f t="shared" si="30"/>
        <v>-1.2504646296588113</v>
      </c>
      <c r="Y93" s="39">
        <f t="shared" si="26"/>
        <v>89.82269748025972</v>
      </c>
      <c r="AB93">
        <v>88</v>
      </c>
      <c r="AC93" s="7"/>
      <c r="AF93" s="7"/>
      <c r="AG93" s="10"/>
      <c r="AH93" s="1"/>
      <c r="AI93" s="10"/>
      <c r="AJ93" s="32"/>
      <c r="AL93" s="7"/>
    </row>
    <row r="94" spans="1:38" x14ac:dyDescent="0.3">
      <c r="A94">
        <v>20683</v>
      </c>
      <c r="B94">
        <v>25</v>
      </c>
      <c r="C94">
        <v>1</v>
      </c>
      <c r="D94">
        <v>1982</v>
      </c>
      <c r="E94">
        <v>26</v>
      </c>
      <c r="F94">
        <v>4</v>
      </c>
      <c r="G94">
        <v>1984</v>
      </c>
      <c r="H94">
        <v>128</v>
      </c>
      <c r="I94" s="32">
        <f t="shared" si="18"/>
        <v>20.627416997969522</v>
      </c>
      <c r="J94" s="1">
        <v>2.25205479452055</v>
      </c>
      <c r="K94" s="32">
        <f t="shared" si="19"/>
        <v>20.558970153214009</v>
      </c>
      <c r="L94" s="32">
        <f t="shared" si="20"/>
        <v>127.22678359340013</v>
      </c>
      <c r="M94" s="32">
        <f t="shared" si="21"/>
        <v>0.19041677278552621</v>
      </c>
      <c r="N94">
        <v>-0.44971898205403704</v>
      </c>
      <c r="O94" s="32">
        <f t="shared" si="27"/>
        <v>20.362727313728946</v>
      </c>
      <c r="P94" s="32">
        <f t="shared" si="22"/>
        <v>125.02289322704966</v>
      </c>
      <c r="Q94">
        <v>17</v>
      </c>
      <c r="R94">
        <v>145</v>
      </c>
      <c r="S94" s="1">
        <f t="shared" si="23"/>
        <v>20.629346011044444</v>
      </c>
      <c r="T94" s="1">
        <f t="shared" si="28"/>
        <v>20.362727313728946</v>
      </c>
      <c r="U94" s="1">
        <f t="shared" si="24"/>
        <v>20.646555422486717</v>
      </c>
      <c r="V94" s="1">
        <f t="shared" si="25"/>
        <v>2.1251191249204147</v>
      </c>
      <c r="W94" s="1">
        <f t="shared" si="29"/>
        <v>8.0558395321012818E-2</v>
      </c>
      <c r="X94" s="1">
        <f t="shared" si="30"/>
        <v>-0.28382810875777054</v>
      </c>
      <c r="Y94" s="39">
        <f t="shared" si="26"/>
        <v>128.19474969400474</v>
      </c>
      <c r="AB94">
        <v>89</v>
      </c>
      <c r="AC94" s="7"/>
      <c r="AF94" s="7"/>
      <c r="AG94" s="10"/>
      <c r="AH94" s="1"/>
      <c r="AI94" s="10"/>
      <c r="AJ94" s="32"/>
      <c r="AL94" s="7"/>
    </row>
    <row r="95" spans="1:38" x14ac:dyDescent="0.3">
      <c r="A95">
        <v>78757</v>
      </c>
      <c r="B95">
        <v>25</v>
      </c>
      <c r="C95">
        <v>7</v>
      </c>
      <c r="D95">
        <v>1982</v>
      </c>
      <c r="E95">
        <v>30</v>
      </c>
      <c r="F95">
        <v>4</v>
      </c>
      <c r="G95">
        <v>1984</v>
      </c>
      <c r="H95">
        <v>94</v>
      </c>
      <c r="I95" s="32">
        <f t="shared" si="18"/>
        <v>17.390719429665317</v>
      </c>
      <c r="J95" s="1">
        <v>1.7671232876712299</v>
      </c>
      <c r="K95" s="32">
        <f t="shared" si="19"/>
        <v>17.616826590745369</v>
      </c>
      <c r="L95" s="32">
        <f t="shared" si="20"/>
        <v>96.204971372843644</v>
      </c>
      <c r="M95" s="32">
        <f t="shared" si="21"/>
        <v>0.15304696454023575</v>
      </c>
      <c r="N95">
        <v>-0.84264684119261801</v>
      </c>
      <c r="O95" s="32">
        <f t="shared" si="27"/>
        <v>17.287172888675734</v>
      </c>
      <c r="P95" s="32">
        <f t="shared" si="22"/>
        <v>92.99875950941707</v>
      </c>
      <c r="Q95">
        <v>8</v>
      </c>
      <c r="R95">
        <v>102</v>
      </c>
      <c r="S95" s="1">
        <f t="shared" si="23"/>
        <v>17.392220106237751</v>
      </c>
      <c r="T95" s="1">
        <f t="shared" si="28"/>
        <v>17.287172888675734</v>
      </c>
      <c r="U95" s="1">
        <f t="shared" si="24"/>
        <v>17.666829072563093</v>
      </c>
      <c r="V95" s="1">
        <f t="shared" si="25"/>
        <v>1.7051745608405309</v>
      </c>
      <c r="W95" s="1">
        <f t="shared" si="29"/>
        <v>0.1441388179639124</v>
      </c>
      <c r="X95" s="1">
        <f t="shared" si="30"/>
        <v>-0.37965618388735933</v>
      </c>
      <c r="Y95" s="39">
        <f t="shared" si="26"/>
        <v>96.680938909188086</v>
      </c>
      <c r="AB95">
        <v>90</v>
      </c>
      <c r="AC95" s="7"/>
      <c r="AF95" s="7"/>
      <c r="AG95" s="10"/>
      <c r="AH95" s="1"/>
      <c r="AI95" s="10"/>
      <c r="AJ95" s="32"/>
      <c r="AL95" s="7"/>
    </row>
    <row r="96" spans="1:38" x14ac:dyDescent="0.3">
      <c r="A96">
        <v>22683</v>
      </c>
      <c r="B96">
        <v>26</v>
      </c>
      <c r="C96">
        <v>7</v>
      </c>
      <c r="D96">
        <v>1982</v>
      </c>
      <c r="E96">
        <v>30</v>
      </c>
      <c r="F96">
        <v>4</v>
      </c>
      <c r="G96">
        <v>1984</v>
      </c>
      <c r="H96">
        <v>97</v>
      </c>
      <c r="I96" s="32">
        <f t="shared" si="18"/>
        <v>17.697715603592208</v>
      </c>
      <c r="J96" s="1">
        <v>1.7643835616438399</v>
      </c>
      <c r="K96" s="32">
        <f t="shared" si="19"/>
        <v>17.896924493181142</v>
      </c>
      <c r="L96" s="32">
        <f t="shared" si="20"/>
        <v>98.97190107183792</v>
      </c>
      <c r="M96" s="32">
        <f t="shared" si="21"/>
        <v>0.1528305101598553</v>
      </c>
      <c r="N96">
        <v>2.2298445401247591</v>
      </c>
      <c r="O96" s="32">
        <f t="shared" si="27"/>
        <v>18.768649726539572</v>
      </c>
      <c r="P96" s="32">
        <f t="shared" si="22"/>
        <v>107.83420286592306</v>
      </c>
      <c r="Q96">
        <v>2</v>
      </c>
      <c r="R96">
        <v>99</v>
      </c>
      <c r="S96" s="1">
        <f t="shared" si="23"/>
        <v>17.699255675077943</v>
      </c>
      <c r="T96" s="1">
        <f t="shared" si="28"/>
        <v>18.768649726539572</v>
      </c>
      <c r="U96" s="1">
        <f t="shared" si="24"/>
        <v>17.94874254741233</v>
      </c>
      <c r="V96" s="1">
        <f t="shared" si="25"/>
        <v>1.7027465345597728</v>
      </c>
      <c r="W96" s="1">
        <f t="shared" si="29"/>
        <v>0.67224778238439076</v>
      </c>
      <c r="X96" s="1">
        <f t="shared" si="30"/>
        <v>0.81990717912724165</v>
      </c>
      <c r="Y96" s="39">
        <f t="shared" si="26"/>
        <v>99.472400409125527</v>
      </c>
      <c r="AB96">
        <v>91</v>
      </c>
      <c r="AC96" s="7"/>
      <c r="AF96" s="7"/>
      <c r="AG96" s="10"/>
      <c r="AH96" s="1"/>
      <c r="AI96" s="10"/>
      <c r="AJ96" s="32"/>
      <c r="AL96" s="7"/>
    </row>
    <row r="97" spans="1:38" x14ac:dyDescent="0.3">
      <c r="A97">
        <v>77071</v>
      </c>
      <c r="B97">
        <v>1</v>
      </c>
      <c r="C97">
        <v>8</v>
      </c>
      <c r="D97">
        <v>1982</v>
      </c>
      <c r="E97">
        <v>11</v>
      </c>
      <c r="F97">
        <v>6</v>
      </c>
      <c r="G97">
        <v>1986</v>
      </c>
      <c r="H97">
        <v>62</v>
      </c>
      <c r="I97" s="32">
        <f t="shared" si="18"/>
        <v>13.748015748023622</v>
      </c>
      <c r="J97" s="1">
        <v>3.86301369863014</v>
      </c>
      <c r="K97" s="32">
        <f t="shared" si="19"/>
        <v>14.871812951799139</v>
      </c>
      <c r="L97" s="32">
        <f t="shared" si="20"/>
        <v>71.164518070124302</v>
      </c>
      <c r="M97" s="32">
        <f t="shared" si="21"/>
        <v>0.30202221575816363</v>
      </c>
      <c r="N97">
        <v>0.55164036893984303</v>
      </c>
      <c r="O97" s="32">
        <f t="shared" si="27"/>
        <v>15.174975455416227</v>
      </c>
      <c r="P97" s="32">
        <f t="shared" si="22"/>
        <v>73.744945473537456</v>
      </c>
      <c r="Q97">
        <v>15</v>
      </c>
      <c r="R97">
        <v>77</v>
      </c>
      <c r="S97" s="1">
        <f t="shared" si="23"/>
        <v>13.749071190587207</v>
      </c>
      <c r="T97" s="1">
        <f t="shared" si="28"/>
        <v>15.174975455416227</v>
      </c>
      <c r="U97" s="1">
        <f t="shared" si="24"/>
        <v>14.932294025762463</v>
      </c>
      <c r="V97" s="1">
        <f t="shared" si="25"/>
        <v>3.3889538757023083</v>
      </c>
      <c r="W97" s="1">
        <f t="shared" si="29"/>
        <v>5.8894276298794936E-2</v>
      </c>
      <c r="X97" s="1">
        <f t="shared" si="30"/>
        <v>0.24268142965376427</v>
      </c>
      <c r="Y97" s="39">
        <f t="shared" si="26"/>
        <v>71.665525861849787</v>
      </c>
      <c r="AB97">
        <v>92</v>
      </c>
      <c r="AC97" s="7"/>
      <c r="AF97" s="7"/>
      <c r="AG97" s="10"/>
      <c r="AH97" s="1"/>
      <c r="AI97" s="10"/>
      <c r="AJ97" s="32"/>
      <c r="AL97" s="7"/>
    </row>
    <row r="98" spans="1:38" x14ac:dyDescent="0.3">
      <c r="A98">
        <v>79342</v>
      </c>
      <c r="B98">
        <v>27</v>
      </c>
      <c r="C98">
        <v>8</v>
      </c>
      <c r="D98">
        <v>1982</v>
      </c>
      <c r="E98">
        <v>25</v>
      </c>
      <c r="F98">
        <v>4</v>
      </c>
      <c r="G98">
        <v>1984</v>
      </c>
      <c r="H98">
        <v>96</v>
      </c>
      <c r="I98" s="32">
        <f t="shared" si="18"/>
        <v>17.595917942265423</v>
      </c>
      <c r="J98" s="1">
        <v>1.66301369863014</v>
      </c>
      <c r="K98" s="32">
        <f t="shared" si="19"/>
        <v>17.792486655151766</v>
      </c>
      <c r="L98" s="32">
        <f t="shared" si="20"/>
        <v>97.935631998590182</v>
      </c>
      <c r="M98" s="32">
        <f t="shared" si="21"/>
        <v>0.14477877938673217</v>
      </c>
      <c r="N98">
        <v>1.1296742741251364</v>
      </c>
      <c r="O98" s="32">
        <f t="shared" si="27"/>
        <v>18.222325533383852</v>
      </c>
      <c r="P98" s="32">
        <f t="shared" si="22"/>
        <v>102.23561249453712</v>
      </c>
      <c r="Q98">
        <v>13</v>
      </c>
      <c r="R98">
        <v>109</v>
      </c>
      <c r="S98" s="1">
        <f t="shared" si="23"/>
        <v>17.597444920630032</v>
      </c>
      <c r="T98" s="1">
        <f t="shared" si="28"/>
        <v>18.222325533383852</v>
      </c>
      <c r="U98" s="1">
        <f t="shared" si="24"/>
        <v>17.840900285683951</v>
      </c>
      <c r="V98" s="1">
        <f t="shared" si="25"/>
        <v>1.6124632720870962</v>
      </c>
      <c r="W98" s="1">
        <f t="shared" si="29"/>
        <v>0.14548521958293129</v>
      </c>
      <c r="X98" s="1">
        <f t="shared" si="30"/>
        <v>0.3814252476999016</v>
      </c>
      <c r="Y98" s="39">
        <f t="shared" si="26"/>
        <v>98.399872243476196</v>
      </c>
      <c r="AB98">
        <v>93</v>
      </c>
      <c r="AC98" s="7"/>
      <c r="AF98" s="7"/>
      <c r="AG98" s="10"/>
      <c r="AH98" s="1"/>
      <c r="AI98" s="10"/>
      <c r="AJ98" s="32"/>
      <c r="AL98" s="7"/>
    </row>
    <row r="99" spans="1:38" x14ac:dyDescent="0.3">
      <c r="A99">
        <v>76954</v>
      </c>
      <c r="B99">
        <v>31</v>
      </c>
      <c r="C99">
        <v>7</v>
      </c>
      <c r="D99">
        <v>1982</v>
      </c>
      <c r="E99">
        <v>22</v>
      </c>
      <c r="F99">
        <v>8</v>
      </c>
      <c r="G99">
        <v>1988</v>
      </c>
      <c r="H99">
        <v>72</v>
      </c>
      <c r="I99" s="32">
        <f t="shared" si="18"/>
        <v>14.970562748477139</v>
      </c>
      <c r="J99" s="1">
        <v>6.0657534246575304</v>
      </c>
      <c r="K99" s="32">
        <f t="shared" si="19"/>
        <v>16.315349698406109</v>
      </c>
      <c r="L99" s="32">
        <f t="shared" si="20"/>
        <v>83.863008643726189</v>
      </c>
      <c r="M99" s="32">
        <f t="shared" si="21"/>
        <v>0.4276362480432821</v>
      </c>
      <c r="N99">
        <v>-1.003620582196163</v>
      </c>
      <c r="O99" s="32">
        <f t="shared" si="27"/>
        <v>15.659043033702325</v>
      </c>
      <c r="P99" s="32">
        <f t="shared" si="22"/>
        <v>77.960450216537652</v>
      </c>
      <c r="Q99">
        <v>14</v>
      </c>
      <c r="R99">
        <v>86</v>
      </c>
      <c r="S99" s="1">
        <f t="shared" si="23"/>
        <v>14.971762814519451</v>
      </c>
      <c r="T99" s="1">
        <f t="shared" si="28"/>
        <v>15.659043033702325</v>
      </c>
      <c r="U99" s="1">
        <f t="shared" si="24"/>
        <v>16.43207225899441</v>
      </c>
      <c r="V99" s="1">
        <f t="shared" si="25"/>
        <v>4.8316130726655198</v>
      </c>
      <c r="W99" s="1">
        <f t="shared" si="29"/>
        <v>0.59757418315568067</v>
      </c>
      <c r="X99" s="1">
        <f t="shared" si="30"/>
        <v>-0.77302922529208473</v>
      </c>
      <c r="Y99" s="39">
        <f t="shared" si="26"/>
        <v>84.922611027341105</v>
      </c>
      <c r="AB99">
        <v>94</v>
      </c>
      <c r="AC99" s="7"/>
      <c r="AF99" s="7"/>
      <c r="AG99" s="10"/>
      <c r="AH99" s="1"/>
      <c r="AI99" s="10"/>
      <c r="AJ99" s="32"/>
      <c r="AL99" s="7"/>
    </row>
    <row r="100" spans="1:38" x14ac:dyDescent="0.3">
      <c r="A100">
        <v>76805</v>
      </c>
      <c r="B100">
        <v>30</v>
      </c>
      <c r="C100">
        <v>7</v>
      </c>
      <c r="D100">
        <v>1982</v>
      </c>
      <c r="E100">
        <v>7</v>
      </c>
      <c r="F100">
        <v>5</v>
      </c>
      <c r="G100">
        <v>1983</v>
      </c>
      <c r="H100">
        <v>86</v>
      </c>
      <c r="I100" s="32">
        <f t="shared" si="18"/>
        <v>16.547236990991408</v>
      </c>
      <c r="J100" s="1">
        <v>0.76986301369862997</v>
      </c>
      <c r="K100" s="32">
        <f t="shared" si="19"/>
        <v>16.680925521617173</v>
      </c>
      <c r="L100" s="32">
        <f t="shared" si="20"/>
        <v>87.244244586051963</v>
      </c>
      <c r="M100" s="32">
        <f t="shared" si="21"/>
        <v>7.0097903703802644E-2</v>
      </c>
      <c r="N100">
        <v>-0.78064658737275749</v>
      </c>
      <c r="O100" s="32">
        <f t="shared" si="27"/>
        <v>16.474241463175691</v>
      </c>
      <c r="P100" s="32">
        <f t="shared" si="22"/>
        <v>85.324399409929967</v>
      </c>
      <c r="Q100">
        <v>5</v>
      </c>
      <c r="R100">
        <v>91</v>
      </c>
      <c r="S100" s="1">
        <f t="shared" si="23"/>
        <v>16.54863085074988</v>
      </c>
      <c r="T100" s="1">
        <f t="shared" si="28"/>
        <v>16.474241463175691</v>
      </c>
      <c r="U100" s="1">
        <f t="shared" si="24"/>
        <v>16.701438687968945</v>
      </c>
      <c r="V100" s="1">
        <f t="shared" si="25"/>
        <v>0.77821645787090177</v>
      </c>
      <c r="W100" s="1">
        <f t="shared" si="29"/>
        <v>5.1618578953756641E-2</v>
      </c>
      <c r="X100" s="1">
        <f t="shared" si="30"/>
        <v>-0.22719722479325455</v>
      </c>
      <c r="Y100" s="39">
        <f t="shared" si="26"/>
        <v>87.422739703699364</v>
      </c>
      <c r="AB100">
        <v>95</v>
      </c>
      <c r="AC100" s="7"/>
      <c r="AF100" s="7"/>
      <c r="AG100" s="10"/>
      <c r="AH100" s="1"/>
      <c r="AI100" s="10"/>
      <c r="AJ100" s="32"/>
      <c r="AL100" s="7"/>
    </row>
    <row r="101" spans="1:38" x14ac:dyDescent="0.3">
      <c r="A101">
        <v>22703</v>
      </c>
      <c r="B101">
        <v>27</v>
      </c>
      <c r="C101">
        <v>7</v>
      </c>
      <c r="D101">
        <v>1982</v>
      </c>
      <c r="E101">
        <v>29</v>
      </c>
      <c r="F101">
        <v>5</v>
      </c>
      <c r="G101">
        <v>1984</v>
      </c>
      <c r="H101">
        <v>72</v>
      </c>
      <c r="I101" s="32">
        <f t="shared" si="18"/>
        <v>14.970562748477139</v>
      </c>
      <c r="J101" s="1">
        <v>1.84109589041096</v>
      </c>
      <c r="K101" s="32">
        <f t="shared" si="19"/>
        <v>15.423785051775992</v>
      </c>
      <c r="L101" s="32">
        <f t="shared" si="20"/>
        <v>75.897071382623139</v>
      </c>
      <c r="M101" s="32">
        <f t="shared" si="21"/>
        <v>0.15886829575228487</v>
      </c>
      <c r="N101">
        <v>-1.4491979527520016</v>
      </c>
      <c r="O101" s="32">
        <f t="shared" si="27"/>
        <v>14.846159588031815</v>
      </c>
      <c r="P101" s="32">
        <f t="shared" si="22"/>
        <v>70.948273216359084</v>
      </c>
      <c r="Q101">
        <v>7</v>
      </c>
      <c r="R101">
        <v>79</v>
      </c>
      <c r="S101" s="1">
        <f t="shared" si="23"/>
        <v>14.971762814519451</v>
      </c>
      <c r="T101" s="1">
        <f t="shared" si="28"/>
        <v>14.846159588031815</v>
      </c>
      <c r="U101" s="1">
        <f t="shared" si="24"/>
        <v>15.460304754935384</v>
      </c>
      <c r="V101" s="1">
        <f t="shared" si="25"/>
        <v>1.7704926536827144</v>
      </c>
      <c r="W101" s="1">
        <f t="shared" si="29"/>
        <v>0.3771742860310125</v>
      </c>
      <c r="X101" s="1">
        <f t="shared" si="30"/>
        <v>-0.61414516690356891</v>
      </c>
      <c r="Y101" s="39">
        <f t="shared" si="26"/>
        <v>76.204567404728721</v>
      </c>
      <c r="AB101">
        <v>96</v>
      </c>
      <c r="AC101" s="7"/>
      <c r="AF101" s="7"/>
      <c r="AG101" s="10"/>
      <c r="AH101" s="1"/>
      <c r="AI101" s="10"/>
      <c r="AJ101" s="32"/>
      <c r="AL101" s="7"/>
    </row>
    <row r="102" spans="1:38" x14ac:dyDescent="0.3">
      <c r="A102">
        <v>22907</v>
      </c>
      <c r="B102">
        <v>28</v>
      </c>
      <c r="C102">
        <v>7</v>
      </c>
      <c r="D102">
        <v>1982</v>
      </c>
      <c r="E102">
        <v>6</v>
      </c>
      <c r="F102">
        <v>10</v>
      </c>
      <c r="G102">
        <v>1983</v>
      </c>
      <c r="H102">
        <v>58</v>
      </c>
      <c r="I102" s="32">
        <f t="shared" si="18"/>
        <v>13.231546211727817</v>
      </c>
      <c r="J102" s="1">
        <v>1.1917808219178101</v>
      </c>
      <c r="K102" s="32">
        <f t="shared" si="19"/>
        <v>13.632911475342523</v>
      </c>
      <c r="L102" s="32">
        <f t="shared" si="20"/>
        <v>61.096980298973982</v>
      </c>
      <c r="M102" s="32">
        <f t="shared" si="21"/>
        <v>0.10622989416085797</v>
      </c>
      <c r="N102">
        <v>1.0747953638201579E-2</v>
      </c>
      <c r="O102" s="32">
        <f t="shared" si="27"/>
        <v>13.636414548110205</v>
      </c>
      <c r="P102" s="32">
        <f t="shared" si="22"/>
        <v>61.12436498008811</v>
      </c>
      <c r="Q102">
        <v>7</v>
      </c>
      <c r="R102">
        <v>65</v>
      </c>
      <c r="S102" s="1">
        <f t="shared" si="23"/>
        <v>13.232542140125398</v>
      </c>
      <c r="T102" s="1">
        <f t="shared" si="28"/>
        <v>13.636414548110205</v>
      </c>
      <c r="U102" s="1">
        <f t="shared" si="24"/>
        <v>13.649489347104351</v>
      </c>
      <c r="V102" s="1">
        <f t="shared" si="25"/>
        <v>1.181146694906914</v>
      </c>
      <c r="W102" s="1">
        <f t="shared" si="29"/>
        <v>1.7095036873734413E-4</v>
      </c>
      <c r="X102" s="1">
        <f t="shared" si="30"/>
        <v>-1.3074798994146875E-2</v>
      </c>
      <c r="Y102" s="39">
        <f t="shared" si="26"/>
        <v>61.218461277588226</v>
      </c>
      <c r="AB102">
        <v>97</v>
      </c>
      <c r="AC102" s="7"/>
      <c r="AF102" s="7"/>
      <c r="AG102" s="10"/>
      <c r="AH102" s="1"/>
      <c r="AI102" s="10"/>
      <c r="AJ102" s="32"/>
      <c r="AL102" s="7"/>
    </row>
    <row r="103" spans="1:38" x14ac:dyDescent="0.3">
      <c r="A103">
        <v>79076</v>
      </c>
      <c r="B103">
        <v>6</v>
      </c>
      <c r="C103">
        <v>8</v>
      </c>
      <c r="D103">
        <v>1982</v>
      </c>
      <c r="E103">
        <v>2</v>
      </c>
      <c r="F103">
        <v>8</v>
      </c>
      <c r="G103">
        <v>1986</v>
      </c>
      <c r="H103">
        <v>88</v>
      </c>
      <c r="I103" s="32">
        <f t="shared" si="18"/>
        <v>16.761663039293719</v>
      </c>
      <c r="J103" s="1">
        <v>3.9917808219178101</v>
      </c>
      <c r="K103" s="32">
        <f t="shared" si="19"/>
        <v>17.36124206978749</v>
      </c>
      <c r="L103" s="32">
        <f t="shared" si="20"/>
        <v>93.71442362122724</v>
      </c>
      <c r="M103" s="32">
        <f t="shared" si="21"/>
        <v>0.31017226308336499</v>
      </c>
      <c r="N103">
        <v>-0.25293616090493742</v>
      </c>
      <c r="O103" s="32">
        <f t="shared" si="27"/>
        <v>17.220374052527379</v>
      </c>
      <c r="P103" s="32">
        <f t="shared" si="22"/>
        <v>92.355694679766941</v>
      </c>
      <c r="Q103">
        <v>3</v>
      </c>
      <c r="R103">
        <v>91</v>
      </c>
      <c r="S103" s="1">
        <f t="shared" si="23"/>
        <v>16.763083852596107</v>
      </c>
      <c r="T103" s="1">
        <f t="shared" si="28"/>
        <v>17.220374052527379</v>
      </c>
      <c r="U103" s="1">
        <f t="shared" si="24"/>
        <v>17.460939242948974</v>
      </c>
      <c r="V103" s="1">
        <f t="shared" si="25"/>
        <v>3.4818619479650739</v>
      </c>
      <c r="W103" s="1">
        <f t="shared" si="29"/>
        <v>5.7871610842578303E-2</v>
      </c>
      <c r="X103" s="1">
        <f t="shared" si="30"/>
        <v>-0.24056519042159508</v>
      </c>
      <c r="Y103" s="39">
        <f t="shared" si="26"/>
        <v>94.667351770830322</v>
      </c>
      <c r="AB103">
        <v>98</v>
      </c>
      <c r="AC103" s="7"/>
      <c r="AF103" s="7"/>
      <c r="AG103" s="10"/>
      <c r="AH103" s="1"/>
      <c r="AI103" s="10"/>
      <c r="AJ103" s="32"/>
      <c r="AL103" s="7"/>
    </row>
    <row r="104" spans="1:38" x14ac:dyDescent="0.3">
      <c r="A104">
        <v>78748</v>
      </c>
      <c r="B104">
        <v>24</v>
      </c>
      <c r="C104">
        <v>7</v>
      </c>
      <c r="D104">
        <v>1982</v>
      </c>
      <c r="E104">
        <v>30</v>
      </c>
      <c r="F104">
        <v>4</v>
      </c>
      <c r="G104">
        <v>1984</v>
      </c>
      <c r="H104">
        <v>81</v>
      </c>
      <c r="I104" s="32">
        <f t="shared" si="18"/>
        <v>16</v>
      </c>
      <c r="J104" s="1">
        <v>1.76986301369863</v>
      </c>
      <c r="K104" s="32">
        <f t="shared" si="19"/>
        <v>16.347133300215635</v>
      </c>
      <c r="L104" s="32">
        <f t="shared" si="20"/>
        <v>84.154325083970363</v>
      </c>
      <c r="M104" s="32">
        <f t="shared" si="21"/>
        <v>0.15326335809268193</v>
      </c>
      <c r="N104">
        <v>-1.3167186807550024</v>
      </c>
      <c r="O104" s="32">
        <f t="shared" si="27"/>
        <v>15.83165288984218</v>
      </c>
      <c r="P104" s="32">
        <f t="shared" si="22"/>
        <v>79.491961195954261</v>
      </c>
      <c r="Q104">
        <v>7</v>
      </c>
      <c r="R104">
        <v>88</v>
      </c>
      <c r="S104" s="1">
        <f t="shared" si="23"/>
        <v>16.001325708024599</v>
      </c>
      <c r="T104" s="1">
        <f t="shared" si="28"/>
        <v>15.83165288984218</v>
      </c>
      <c r="U104" s="1">
        <f t="shared" si="24"/>
        <v>16.388632121906486</v>
      </c>
      <c r="V104" s="1">
        <f t="shared" si="25"/>
        <v>1.7076019544335892</v>
      </c>
      <c r="W104" s="1">
        <f t="shared" si="29"/>
        <v>0.31022586495094367</v>
      </c>
      <c r="X104" s="1">
        <f t="shared" si="30"/>
        <v>-0.55697923206430566</v>
      </c>
      <c r="Y104" s="39">
        <f t="shared" si="26"/>
        <v>84.522816771178981</v>
      </c>
      <c r="AB104">
        <v>99</v>
      </c>
      <c r="AC104" s="7"/>
      <c r="AF104" s="7"/>
      <c r="AG104" s="10"/>
      <c r="AH104" s="1"/>
      <c r="AI104" s="10"/>
      <c r="AJ104" s="32"/>
      <c r="AL104" s="7"/>
    </row>
    <row r="105" spans="1:38" x14ac:dyDescent="0.3">
      <c r="A105">
        <v>79542</v>
      </c>
      <c r="B105">
        <v>5</v>
      </c>
      <c r="C105">
        <v>9</v>
      </c>
      <c r="D105">
        <v>1982</v>
      </c>
      <c r="E105">
        <v>18</v>
      </c>
      <c r="F105">
        <v>2</v>
      </c>
      <c r="G105">
        <v>1983</v>
      </c>
      <c r="H105">
        <v>92</v>
      </c>
      <c r="I105" s="32">
        <f t="shared" si="18"/>
        <v>17.183326093250876</v>
      </c>
      <c r="J105" s="1">
        <v>0.454794520547945</v>
      </c>
      <c r="K105" s="32">
        <f t="shared" si="19"/>
        <v>17.248272726632873</v>
      </c>
      <c r="L105" s="32">
        <f t="shared" si="20"/>
        <v>92.624000739709729</v>
      </c>
      <c r="M105" s="32">
        <f t="shared" si="21"/>
        <v>4.2077692263767619E-2</v>
      </c>
      <c r="N105">
        <v>8.4593239080277272E-2</v>
      </c>
      <c r="O105" s="32">
        <f t="shared" si="27"/>
        <v>17.265625208968554</v>
      </c>
      <c r="P105" s="32">
        <f t="shared" si="22"/>
        <v>92.791078673111159</v>
      </c>
      <c r="Q105">
        <v>0</v>
      </c>
      <c r="R105">
        <v>92</v>
      </c>
      <c r="S105" s="1">
        <f t="shared" si="23"/>
        <v>17.18480031092902</v>
      </c>
      <c r="T105" s="1">
        <f t="shared" si="28"/>
        <v>17.265625208968554</v>
      </c>
      <c r="U105" s="1">
        <f t="shared" si="24"/>
        <v>17.262133691368234</v>
      </c>
      <c r="V105" s="1">
        <f t="shared" si="25"/>
        <v>0.46660239502293704</v>
      </c>
      <c r="W105" s="1">
        <f t="shared" si="29"/>
        <v>1.2190695153346377E-5</v>
      </c>
      <c r="X105" s="1">
        <f t="shared" si="30"/>
        <v>3.491517600320293E-3</v>
      </c>
      <c r="Y105" s="39">
        <f t="shared" si="26"/>
        <v>92.74315598047238</v>
      </c>
      <c r="AB105">
        <v>100</v>
      </c>
      <c r="AC105" s="7"/>
      <c r="AF105" s="7"/>
      <c r="AG105" s="10"/>
      <c r="AH105" s="1"/>
      <c r="AI105" s="10"/>
      <c r="AJ105" s="32"/>
      <c r="AL105" s="7"/>
    </row>
    <row r="106" spans="1:38" x14ac:dyDescent="0.3">
      <c r="A106">
        <v>79149</v>
      </c>
      <c r="B106">
        <v>10</v>
      </c>
      <c r="C106">
        <v>8</v>
      </c>
      <c r="D106">
        <v>1982</v>
      </c>
      <c r="E106">
        <v>10</v>
      </c>
      <c r="F106">
        <v>5</v>
      </c>
      <c r="G106">
        <v>1986</v>
      </c>
      <c r="H106">
        <v>67</v>
      </c>
      <c r="I106" s="32">
        <f t="shared" si="18"/>
        <v>14.370705543744901</v>
      </c>
      <c r="J106" s="1">
        <v>3.75068493150685</v>
      </c>
      <c r="K106" s="32">
        <f t="shared" si="19"/>
        <v>15.355892882529641</v>
      </c>
      <c r="L106" s="32">
        <f t="shared" si="20"/>
        <v>75.306754437460768</v>
      </c>
      <c r="M106" s="32">
        <f t="shared" si="21"/>
        <v>0.29482414482900948</v>
      </c>
      <c r="N106">
        <v>-1.0172584552492481</v>
      </c>
      <c r="O106" s="32">
        <f t="shared" si="27"/>
        <v>14.803544823710256</v>
      </c>
      <c r="P106" s="32">
        <f t="shared" si="22"/>
        <v>70.589779660609921</v>
      </c>
      <c r="Q106">
        <v>24</v>
      </c>
      <c r="R106">
        <v>91</v>
      </c>
      <c r="S106" s="1">
        <f t="shared" si="23"/>
        <v>14.371834005854058</v>
      </c>
      <c r="T106" s="1">
        <f t="shared" si="28"/>
        <v>14.803544823710256</v>
      </c>
      <c r="U106" s="1">
        <f t="shared" si="24"/>
        <v>15.421882687345297</v>
      </c>
      <c r="V106" s="1">
        <f t="shared" si="25"/>
        <v>3.3069718204326972</v>
      </c>
      <c r="W106" s="1">
        <f t="shared" si="29"/>
        <v>0.38234171360474678</v>
      </c>
      <c r="X106" s="1">
        <f t="shared" si="30"/>
        <v>-0.61833786363504117</v>
      </c>
      <c r="Y106" s="39">
        <f t="shared" si="26"/>
        <v>75.869570950201336</v>
      </c>
      <c r="AB106">
        <v>101</v>
      </c>
      <c r="AC106" s="7"/>
      <c r="AF106" s="7"/>
      <c r="AG106" s="10"/>
      <c r="AH106" s="1"/>
      <c r="AI106" s="10"/>
      <c r="AJ106" s="32"/>
      <c r="AL106" s="7"/>
    </row>
    <row r="107" spans="1:38" x14ac:dyDescent="0.3">
      <c r="A107">
        <v>79175</v>
      </c>
      <c r="B107">
        <v>12</v>
      </c>
      <c r="C107">
        <v>8</v>
      </c>
      <c r="D107">
        <v>1982</v>
      </c>
      <c r="E107">
        <v>10</v>
      </c>
      <c r="F107">
        <v>6</v>
      </c>
      <c r="G107">
        <v>1987</v>
      </c>
      <c r="H107">
        <v>86</v>
      </c>
      <c r="I107" s="32">
        <f t="shared" si="18"/>
        <v>16.547236990991408</v>
      </c>
      <c r="J107" s="1">
        <v>4.8301369863013699</v>
      </c>
      <c r="K107" s="32">
        <f t="shared" si="19"/>
        <v>17.304938176095554</v>
      </c>
      <c r="L107" s="32">
        <f t="shared" si="20"/>
        <v>93.170159495717883</v>
      </c>
      <c r="M107" s="32">
        <f t="shared" si="21"/>
        <v>0.3606814480891658</v>
      </c>
      <c r="N107">
        <v>-9.5500354291289113E-2</v>
      </c>
      <c r="O107" s="32">
        <f t="shared" si="27"/>
        <v>17.247583757049043</v>
      </c>
      <c r="P107" s="32">
        <f t="shared" si="22"/>
        <v>92.617370121154536</v>
      </c>
      <c r="Q107">
        <v>5</v>
      </c>
      <c r="R107">
        <v>91</v>
      </c>
      <c r="S107" s="1">
        <f t="shared" si="23"/>
        <v>16.54863085074988</v>
      </c>
      <c r="T107" s="1">
        <f t="shared" si="28"/>
        <v>17.247583757049043</v>
      </c>
      <c r="U107" s="1">
        <f t="shared" si="24"/>
        <v>17.420975400725226</v>
      </c>
      <c r="V107" s="1">
        <f t="shared" si="25"/>
        <v>4.0597088304487068</v>
      </c>
      <c r="W107" s="1">
        <f t="shared" si="29"/>
        <v>3.0064662096728444E-2</v>
      </c>
      <c r="X107" s="1">
        <f t="shared" si="30"/>
        <v>-0.17339164367618309</v>
      </c>
      <c r="Y107" s="39">
        <f t="shared" si="26"/>
        <v>94.278963928386304</v>
      </c>
      <c r="AB107">
        <v>102</v>
      </c>
      <c r="AC107" s="7"/>
      <c r="AF107" s="7"/>
      <c r="AG107" s="10"/>
      <c r="AH107" s="1"/>
      <c r="AI107" s="10"/>
      <c r="AJ107" s="32"/>
      <c r="AL107" s="7"/>
    </row>
    <row r="108" spans="1:38" x14ac:dyDescent="0.3">
      <c r="A108">
        <v>79389</v>
      </c>
      <c r="B108">
        <v>31</v>
      </c>
      <c r="C108">
        <v>8</v>
      </c>
      <c r="D108">
        <v>1982</v>
      </c>
      <c r="E108">
        <v>28</v>
      </c>
      <c r="F108">
        <v>5</v>
      </c>
      <c r="G108">
        <v>1984</v>
      </c>
      <c r="H108">
        <v>86</v>
      </c>
      <c r="I108" s="32">
        <f t="shared" si="18"/>
        <v>16.547236990991408</v>
      </c>
      <c r="J108" s="1">
        <v>1.7424657534246599</v>
      </c>
      <c r="K108" s="32">
        <f t="shared" si="19"/>
        <v>16.842445063444082</v>
      </c>
      <c r="L108" s="32">
        <f t="shared" si="20"/>
        <v>88.759433992227059</v>
      </c>
      <c r="M108" s="32">
        <f t="shared" si="21"/>
        <v>0.15109668325829681</v>
      </c>
      <c r="N108">
        <v>0.15270870790118352</v>
      </c>
      <c r="O108" s="32">
        <f t="shared" si="27"/>
        <v>16.901804704771283</v>
      </c>
      <c r="P108" s="32">
        <f t="shared" si="22"/>
        <v>89.319555274328451</v>
      </c>
      <c r="Q108">
        <v>2</v>
      </c>
      <c r="R108">
        <v>88</v>
      </c>
      <c r="S108" s="1">
        <f t="shared" si="23"/>
        <v>16.54863085074988</v>
      </c>
      <c r="T108" s="1">
        <f t="shared" si="28"/>
        <v>16.901804704771283</v>
      </c>
      <c r="U108" s="1">
        <f t="shared" si="24"/>
        <v>16.886657972763267</v>
      </c>
      <c r="V108" s="1">
        <f t="shared" si="25"/>
        <v>1.6832995277582912</v>
      </c>
      <c r="W108" s="1">
        <f t="shared" si="29"/>
        <v>2.294234905226724E-4</v>
      </c>
      <c r="X108" s="1">
        <f t="shared" si="30"/>
        <v>1.5146732008016528E-2</v>
      </c>
      <c r="Y108" s="39">
        <f t="shared" si="26"/>
        <v>89.162898392498221</v>
      </c>
      <c r="AB108">
        <v>103</v>
      </c>
      <c r="AC108" s="7"/>
      <c r="AF108" s="7"/>
      <c r="AG108" s="10"/>
      <c r="AH108" s="1"/>
      <c r="AI108" s="10"/>
      <c r="AJ108" s="32"/>
      <c r="AL108" s="7"/>
    </row>
    <row r="109" spans="1:38" x14ac:dyDescent="0.3">
      <c r="A109">
        <v>79489</v>
      </c>
      <c r="B109">
        <v>4</v>
      </c>
      <c r="C109">
        <v>9</v>
      </c>
      <c r="D109">
        <v>1982</v>
      </c>
      <c r="E109">
        <v>26</v>
      </c>
      <c r="F109">
        <v>4</v>
      </c>
      <c r="G109">
        <v>1985</v>
      </c>
      <c r="H109">
        <v>73</v>
      </c>
      <c r="I109" s="32">
        <f t="shared" si="18"/>
        <v>15.088007490635061</v>
      </c>
      <c r="J109" s="1">
        <v>2.6438356164383601</v>
      </c>
      <c r="K109" s="32">
        <f t="shared" si="19"/>
        <v>15.710935571203525</v>
      </c>
      <c r="L109" s="32">
        <f t="shared" si="20"/>
        <v>78.419309701830585</v>
      </c>
      <c r="M109" s="32">
        <f t="shared" si="21"/>
        <v>0.21927954877486908</v>
      </c>
      <c r="N109">
        <v>-1.2303303265071008</v>
      </c>
      <c r="O109" s="32">
        <f t="shared" si="27"/>
        <v>15.134805168835289</v>
      </c>
      <c r="P109" s="32">
        <f t="shared" si="22"/>
        <v>73.400387043486134</v>
      </c>
      <c r="Q109">
        <v>20</v>
      </c>
      <c r="R109">
        <v>93</v>
      </c>
      <c r="S109" s="1">
        <f t="shared" si="23"/>
        <v>15.089221716937686</v>
      </c>
      <c r="T109" s="1">
        <f t="shared" si="28"/>
        <v>15.134805168835289</v>
      </c>
      <c r="U109" s="1">
        <f t="shared" si="24"/>
        <v>15.763862924224817</v>
      </c>
      <c r="V109" s="1">
        <f t="shared" si="25"/>
        <v>2.4505301496210374</v>
      </c>
      <c r="W109" s="1">
        <f t="shared" si="29"/>
        <v>0.39571365961571153</v>
      </c>
      <c r="X109" s="1">
        <f t="shared" si="30"/>
        <v>-0.62905775538952824</v>
      </c>
      <c r="Y109" s="39">
        <f t="shared" si="26"/>
        <v>78.877192130783442</v>
      </c>
      <c r="AB109">
        <v>104</v>
      </c>
      <c r="AC109" s="7"/>
      <c r="AF109" s="7"/>
      <c r="AG109" s="10"/>
      <c r="AH109" s="1"/>
      <c r="AI109" s="10"/>
      <c r="AJ109" s="32"/>
      <c r="AL109" s="7"/>
    </row>
    <row r="110" spans="1:38" x14ac:dyDescent="0.3">
      <c r="A110">
        <v>79581</v>
      </c>
      <c r="B110">
        <v>5</v>
      </c>
      <c r="C110">
        <v>9</v>
      </c>
      <c r="D110">
        <v>1982</v>
      </c>
      <c r="E110">
        <v>22</v>
      </c>
      <c r="F110">
        <v>4</v>
      </c>
      <c r="G110">
        <v>1985</v>
      </c>
      <c r="H110">
        <v>78</v>
      </c>
      <c r="I110" s="32">
        <f t="shared" si="18"/>
        <v>15.663521732655695</v>
      </c>
      <c r="J110" s="1">
        <v>2.6301369863013702</v>
      </c>
      <c r="K110" s="32">
        <f t="shared" si="19"/>
        <v>16.21080282739884</v>
      </c>
      <c r="L110" s="32">
        <f t="shared" si="20"/>
        <v>82.9083349045994</v>
      </c>
      <c r="M110" s="32">
        <f t="shared" si="21"/>
        <v>0.21828981005037768</v>
      </c>
      <c r="N110">
        <v>0.54151541917235591</v>
      </c>
      <c r="O110" s="32">
        <f t="shared" si="27"/>
        <v>16.463806927208605</v>
      </c>
      <c r="P110" s="32">
        <f t="shared" si="22"/>
        <v>85.228041561309112</v>
      </c>
      <c r="Q110">
        <v>4</v>
      </c>
      <c r="R110">
        <v>82</v>
      </c>
      <c r="S110" s="1">
        <f t="shared" si="23"/>
        <v>15.664805999633327</v>
      </c>
      <c r="T110" s="1">
        <f t="shared" si="28"/>
        <v>16.463806927208605</v>
      </c>
      <c r="U110" s="1">
        <f t="shared" si="24"/>
        <v>16.268485461415718</v>
      </c>
      <c r="V110" s="1">
        <f t="shared" si="25"/>
        <v>2.439355560121601</v>
      </c>
      <c r="W110" s="1">
        <f t="shared" si="29"/>
        <v>3.8150474999481841E-2</v>
      </c>
      <c r="X110" s="1">
        <f t="shared" si="30"/>
        <v>0.19532146579288678</v>
      </c>
      <c r="Y110" s="39">
        <f t="shared" si="26"/>
        <v>83.421978566885684</v>
      </c>
      <c r="AB110">
        <v>105</v>
      </c>
      <c r="AC110" s="7"/>
      <c r="AF110" s="7"/>
      <c r="AG110" s="10"/>
      <c r="AH110" s="1"/>
      <c r="AI110" s="10"/>
      <c r="AJ110" s="32"/>
      <c r="AL110" s="7"/>
    </row>
    <row r="111" spans="1:38" x14ac:dyDescent="0.3">
      <c r="A111">
        <v>76813</v>
      </c>
      <c r="B111">
        <v>30</v>
      </c>
      <c r="C111">
        <v>7</v>
      </c>
      <c r="D111">
        <v>1982</v>
      </c>
      <c r="E111">
        <v>24</v>
      </c>
      <c r="F111">
        <v>6</v>
      </c>
      <c r="G111">
        <v>1985</v>
      </c>
      <c r="H111">
        <v>68</v>
      </c>
      <c r="I111" s="32">
        <f t="shared" si="18"/>
        <v>14.492422502470642</v>
      </c>
      <c r="J111" s="1">
        <v>2.9041095890410999</v>
      </c>
      <c r="K111" s="32">
        <f t="shared" si="19"/>
        <v>15.254657917199156</v>
      </c>
      <c r="L111" s="32">
        <f t="shared" si="20"/>
        <v>74.430804959890864</v>
      </c>
      <c r="M111" s="32">
        <f t="shared" si="21"/>
        <v>0.23782271565852819</v>
      </c>
      <c r="N111">
        <v>-0.36385813473316375</v>
      </c>
      <c r="O111" s="32">
        <f t="shared" si="27"/>
        <v>15.077214964433436</v>
      </c>
      <c r="P111" s="32">
        <f t="shared" si="22"/>
        <v>72.907817735367331</v>
      </c>
      <c r="Q111">
        <v>10</v>
      </c>
      <c r="R111">
        <v>78</v>
      </c>
      <c r="S111" s="1">
        <f t="shared" si="23"/>
        <v>14.49356539510066</v>
      </c>
      <c r="T111" s="1">
        <f t="shared" si="28"/>
        <v>15.077214964433436</v>
      </c>
      <c r="U111" s="1">
        <f t="shared" si="24"/>
        <v>15.306994765487675</v>
      </c>
      <c r="V111" s="1">
        <f t="shared" si="25"/>
        <v>2.660104025869348</v>
      </c>
      <c r="W111" s="1">
        <f t="shared" si="29"/>
        <v>5.2798756972525507E-2</v>
      </c>
      <c r="X111" s="1">
        <f t="shared" si="30"/>
        <v>-0.22977980105423867</v>
      </c>
      <c r="Y111" s="39">
        <f t="shared" si="26"/>
        <v>74.872281809774165</v>
      </c>
      <c r="AB111">
        <v>106</v>
      </c>
      <c r="AC111" s="7"/>
      <c r="AF111" s="7"/>
      <c r="AG111" s="10"/>
      <c r="AH111" s="1"/>
      <c r="AI111" s="10"/>
      <c r="AJ111" s="32"/>
      <c r="AL111" s="7"/>
    </row>
    <row r="112" spans="1:38" x14ac:dyDescent="0.3">
      <c r="A112">
        <v>22700</v>
      </c>
      <c r="B112">
        <v>27</v>
      </c>
      <c r="C112">
        <v>7</v>
      </c>
      <c r="D112">
        <v>1982</v>
      </c>
      <c r="E112">
        <v>28</v>
      </c>
      <c r="F112">
        <v>5</v>
      </c>
      <c r="G112">
        <v>1984</v>
      </c>
      <c r="H112">
        <v>80</v>
      </c>
      <c r="I112" s="32">
        <f t="shared" si="18"/>
        <v>15.888543819998318</v>
      </c>
      <c r="J112" s="1">
        <v>1.83835616438356</v>
      </c>
      <c r="K112" s="32">
        <f t="shared" si="19"/>
        <v>16.258517498975088</v>
      </c>
      <c r="L112" s="32">
        <f t="shared" si="20"/>
        <v>83.343365315094871</v>
      </c>
      <c r="M112" s="32">
        <f t="shared" si="21"/>
        <v>0.15865347774023775</v>
      </c>
      <c r="N112">
        <v>-1.4943861970095895</v>
      </c>
      <c r="O112" s="32">
        <f t="shared" si="27"/>
        <v>15.663283614907415</v>
      </c>
      <c r="P112" s="32">
        <f t="shared" si="22"/>
        <v>77.997897015164185</v>
      </c>
      <c r="Q112">
        <v>6</v>
      </c>
      <c r="R112">
        <v>86</v>
      </c>
      <c r="S112" s="1">
        <f t="shared" si="23"/>
        <v>15.889855761403318</v>
      </c>
      <c r="T112" s="1">
        <f t="shared" si="28"/>
        <v>15.663283614907415</v>
      </c>
      <c r="U112" s="1">
        <f t="shared" si="24"/>
        <v>16.300837871481161</v>
      </c>
      <c r="V112" s="1">
        <f t="shared" si="25"/>
        <v>1.7680816522283369</v>
      </c>
      <c r="W112" s="1">
        <f t="shared" si="29"/>
        <v>0.40647543007530079</v>
      </c>
      <c r="X112" s="1">
        <f t="shared" si="30"/>
        <v>-0.63755425657374509</v>
      </c>
      <c r="Y112" s="39">
        <f t="shared" si="26"/>
        <v>83.717696151684692</v>
      </c>
      <c r="AB112">
        <v>107</v>
      </c>
      <c r="AC112" s="7"/>
      <c r="AF112" s="7"/>
      <c r="AG112" s="10"/>
      <c r="AH112" s="1"/>
      <c r="AI112" s="10"/>
      <c r="AJ112" s="32"/>
      <c r="AL112" s="7"/>
    </row>
    <row r="113" spans="1:38" x14ac:dyDescent="0.3">
      <c r="A113">
        <v>79337</v>
      </c>
      <c r="B113">
        <v>27</v>
      </c>
      <c r="C113">
        <v>8</v>
      </c>
      <c r="D113">
        <v>1982</v>
      </c>
      <c r="E113">
        <v>27</v>
      </c>
      <c r="F113">
        <v>5</v>
      </c>
      <c r="G113">
        <v>1984</v>
      </c>
      <c r="H113">
        <v>88</v>
      </c>
      <c r="I113" s="32">
        <f t="shared" si="18"/>
        <v>16.761663039293719</v>
      </c>
      <c r="J113" s="1">
        <v>1.75068493150685</v>
      </c>
      <c r="K113" s="32">
        <f t="shared" si="19"/>
        <v>17.039786137043553</v>
      </c>
      <c r="L113" s="32">
        <f t="shared" si="20"/>
        <v>90.628364036088968</v>
      </c>
      <c r="M113" s="32">
        <f t="shared" si="21"/>
        <v>0.15174732524030279</v>
      </c>
      <c r="N113">
        <v>-8.3902023106929846E-2</v>
      </c>
      <c r="O113" s="32">
        <f t="shared" si="27"/>
        <v>17.007102306106763</v>
      </c>
      <c r="P113" s="32">
        <f t="shared" si="22"/>
        <v>90.317484518702258</v>
      </c>
      <c r="Q113">
        <v>6</v>
      </c>
      <c r="R113">
        <v>94</v>
      </c>
      <c r="S113" s="1">
        <f t="shared" si="23"/>
        <v>16.763083852596107</v>
      </c>
      <c r="T113" s="1">
        <f t="shared" si="28"/>
        <v>17.007102306106763</v>
      </c>
      <c r="U113" s="1">
        <f t="shared" si="24"/>
        <v>17.08550671628339</v>
      </c>
      <c r="V113" s="1">
        <f t="shared" si="25"/>
        <v>1.6905969070670721</v>
      </c>
      <c r="W113" s="1">
        <f t="shared" si="29"/>
        <v>6.1472515351448801E-3</v>
      </c>
      <c r="X113" s="1">
        <f t="shared" si="30"/>
        <v>-7.8404410176627692E-2</v>
      </c>
      <c r="Y113" s="39">
        <f t="shared" si="26"/>
        <v>91.050194536618406</v>
      </c>
      <c r="AB113">
        <v>108</v>
      </c>
      <c r="AC113" s="7"/>
      <c r="AF113" s="7"/>
      <c r="AG113" s="10"/>
      <c r="AH113" s="1"/>
      <c r="AI113" s="10"/>
      <c r="AJ113" s="32"/>
      <c r="AL113" s="7"/>
    </row>
    <row r="114" spans="1:38" x14ac:dyDescent="0.3">
      <c r="A114">
        <v>77144</v>
      </c>
      <c r="B114">
        <v>2</v>
      </c>
      <c r="C114">
        <v>8</v>
      </c>
      <c r="D114">
        <v>1982</v>
      </c>
      <c r="E114">
        <v>24</v>
      </c>
      <c r="F114">
        <v>4</v>
      </c>
      <c r="G114">
        <v>1985</v>
      </c>
      <c r="H114">
        <v>60</v>
      </c>
      <c r="I114" s="32">
        <f t="shared" si="18"/>
        <v>13.491933384829668</v>
      </c>
      <c r="J114" s="1">
        <v>2.7287671232876698</v>
      </c>
      <c r="K114" s="32">
        <f t="shared" si="19"/>
        <v>14.341974556228596</v>
      </c>
      <c r="L114" s="32">
        <f t="shared" si="20"/>
        <v>66.765033099105707</v>
      </c>
      <c r="M114" s="32">
        <f t="shared" si="21"/>
        <v>0.22538498172793989</v>
      </c>
      <c r="N114">
        <v>0.28378735805745237</v>
      </c>
      <c r="O114" s="32">
        <f t="shared" si="27"/>
        <v>14.476701833120842</v>
      </c>
      <c r="P114" s="32">
        <f t="shared" si="22"/>
        <v>67.87042582439193</v>
      </c>
      <c r="Q114">
        <v>38</v>
      </c>
      <c r="R114">
        <v>98</v>
      </c>
      <c r="S114" s="1">
        <f t="shared" si="23"/>
        <v>13.492959197163596</v>
      </c>
      <c r="T114" s="1">
        <f t="shared" si="28"/>
        <v>14.476701833120842</v>
      </c>
      <c r="U114" s="1">
        <f t="shared" si="24"/>
        <v>14.382186978946116</v>
      </c>
      <c r="V114" s="1">
        <f t="shared" si="25"/>
        <v>2.5194885445260309</v>
      </c>
      <c r="W114" s="1">
        <f t="shared" si="29"/>
        <v>8.9330576596696881E-3</v>
      </c>
      <c r="X114" s="1">
        <f t="shared" si="30"/>
        <v>9.4514854174725826E-2</v>
      </c>
      <c r="Y114" s="39">
        <f t="shared" si="26"/>
        <v>67.084759497107001</v>
      </c>
      <c r="AB114">
        <v>109</v>
      </c>
      <c r="AC114" s="7"/>
      <c r="AF114" s="7"/>
      <c r="AG114" s="10"/>
      <c r="AH114" s="1"/>
      <c r="AI114" s="10"/>
      <c r="AJ114" s="32"/>
      <c r="AL114" s="7"/>
    </row>
    <row r="115" spans="1:38" x14ac:dyDescent="0.3">
      <c r="A115">
        <v>79505</v>
      </c>
      <c r="B115">
        <v>5</v>
      </c>
      <c r="C115">
        <v>9</v>
      </c>
      <c r="D115">
        <v>1982</v>
      </c>
      <c r="E115">
        <v>23</v>
      </c>
      <c r="F115">
        <v>8</v>
      </c>
      <c r="G115">
        <v>1987</v>
      </c>
      <c r="H115">
        <v>77</v>
      </c>
      <c r="I115" s="32">
        <f t="shared" si="18"/>
        <v>15.549928774784245</v>
      </c>
      <c r="J115" s="1">
        <v>4.9671232876712299</v>
      </c>
      <c r="K115" s="32">
        <f t="shared" si="19"/>
        <v>16.550808055367092</v>
      </c>
      <c r="L115" s="32">
        <f t="shared" si="20"/>
        <v>86.033119876768154</v>
      </c>
      <c r="M115" s="32">
        <f t="shared" si="21"/>
        <v>0.36852949443596639</v>
      </c>
      <c r="N115">
        <v>1.1438328328949865</v>
      </c>
      <c r="O115" s="32">
        <f t="shared" si="27"/>
        <v>17.245190422784891</v>
      </c>
      <c r="P115" s="32">
        <f t="shared" si="22"/>
        <v>92.594338602312817</v>
      </c>
      <c r="Q115">
        <v>16</v>
      </c>
      <c r="R115">
        <v>93</v>
      </c>
      <c r="S115" s="1">
        <f t="shared" si="23"/>
        <v>15.551199132657898</v>
      </c>
      <c r="T115" s="1">
        <f t="shared" si="28"/>
        <v>17.245190422784891</v>
      </c>
      <c r="U115" s="1">
        <f t="shared" si="24"/>
        <v>16.655350871411841</v>
      </c>
      <c r="V115" s="1">
        <f t="shared" si="25"/>
        <v>4.1498250523065385</v>
      </c>
      <c r="W115" s="1">
        <f t="shared" si="29"/>
        <v>0.34791069636396077</v>
      </c>
      <c r="X115" s="1">
        <f t="shared" si="30"/>
        <v>0.58983955137304989</v>
      </c>
      <c r="Y115" s="39">
        <f t="shared" si="26"/>
        <v>86.992403106117266</v>
      </c>
      <c r="AB115">
        <v>110</v>
      </c>
      <c r="AC115" s="7"/>
      <c r="AF115" s="7"/>
      <c r="AG115" s="10"/>
      <c r="AH115" s="1"/>
      <c r="AI115" s="10"/>
      <c r="AJ115" s="32"/>
      <c r="AL115" s="7"/>
    </row>
    <row r="116" spans="1:38" x14ac:dyDescent="0.3">
      <c r="A116">
        <v>79528</v>
      </c>
      <c r="B116">
        <v>5</v>
      </c>
      <c r="C116">
        <v>9</v>
      </c>
      <c r="D116">
        <v>1982</v>
      </c>
      <c r="E116">
        <v>12</v>
      </c>
      <c r="F116">
        <v>6</v>
      </c>
      <c r="G116">
        <v>1985</v>
      </c>
      <c r="H116">
        <v>76</v>
      </c>
      <c r="I116" s="32">
        <f t="shared" si="18"/>
        <v>15.435595774162696</v>
      </c>
      <c r="J116" s="1">
        <v>2.7698630136986302</v>
      </c>
      <c r="K116" s="32">
        <f t="shared" si="19"/>
        <v>16.04012445228242</v>
      </c>
      <c r="L116" s="32">
        <f t="shared" si="20"/>
        <v>81.361522563459516</v>
      </c>
      <c r="M116" s="32">
        <f t="shared" si="21"/>
        <v>0.22832018067864554</v>
      </c>
      <c r="N116">
        <v>-0.45786009650328197</v>
      </c>
      <c r="O116" s="32">
        <f t="shared" si="27"/>
        <v>15.821345798726746</v>
      </c>
      <c r="P116" s="32">
        <f t="shared" si="22"/>
        <v>79.400091519448864</v>
      </c>
      <c r="Q116">
        <v>16</v>
      </c>
      <c r="R116">
        <v>92</v>
      </c>
      <c r="S116" s="1">
        <f t="shared" si="23"/>
        <v>15.436852174114659</v>
      </c>
      <c r="T116" s="1">
        <f t="shared" si="28"/>
        <v>15.821345798726746</v>
      </c>
      <c r="U116" s="1">
        <f t="shared" si="24"/>
        <v>16.098674563040493</v>
      </c>
      <c r="V116" s="1">
        <f t="shared" si="25"/>
        <v>2.5526560356453825</v>
      </c>
      <c r="W116" s="1">
        <f t="shared" si="29"/>
        <v>7.6911243515789943E-2</v>
      </c>
      <c r="X116" s="1">
        <f t="shared" si="30"/>
        <v>-0.2773287643137472</v>
      </c>
      <c r="Y116" s="39">
        <f t="shared" si="26"/>
        <v>81.878399818361103</v>
      </c>
      <c r="AB116">
        <v>111</v>
      </c>
      <c r="AC116" s="7"/>
      <c r="AF116" s="7"/>
      <c r="AG116" s="10"/>
      <c r="AH116" s="1"/>
      <c r="AI116" s="10"/>
      <c r="AJ116" s="32"/>
      <c r="AL116" s="1"/>
    </row>
    <row r="117" spans="1:38" x14ac:dyDescent="0.3">
      <c r="A117">
        <v>20551</v>
      </c>
      <c r="B117">
        <v>18</v>
      </c>
      <c r="C117">
        <v>1</v>
      </c>
      <c r="D117">
        <v>1982</v>
      </c>
      <c r="E117">
        <v>14</v>
      </c>
      <c r="F117">
        <v>5</v>
      </c>
      <c r="G117">
        <v>1982</v>
      </c>
      <c r="H117">
        <v>91</v>
      </c>
      <c r="I117" s="32">
        <f t="shared" si="18"/>
        <v>17.078784028338912</v>
      </c>
      <c r="J117" s="1">
        <v>0.317808219178082</v>
      </c>
      <c r="K117" s="32">
        <f t="shared" si="19"/>
        <v>17.126017991048656</v>
      </c>
      <c r="L117" s="32">
        <f t="shared" si="20"/>
        <v>91.451141048479215</v>
      </c>
      <c r="M117" s="32">
        <f t="shared" si="21"/>
        <v>2.9609646362153682E-2</v>
      </c>
      <c r="N117">
        <v>0.78563516581198201</v>
      </c>
      <c r="O117" s="32">
        <f t="shared" si="27"/>
        <v>17.261205798635622</v>
      </c>
      <c r="P117" s="32">
        <f t="shared" si="22"/>
        <v>92.748512204348629</v>
      </c>
      <c r="Q117">
        <v>2</v>
      </c>
      <c r="R117">
        <v>93</v>
      </c>
      <c r="S117" s="1">
        <f t="shared" si="23"/>
        <v>17.080244956481966</v>
      </c>
      <c r="T117" s="1">
        <f t="shared" si="28"/>
        <v>17.261205798635622</v>
      </c>
      <c r="U117" s="1">
        <f t="shared" si="24"/>
        <v>17.136029454787415</v>
      </c>
      <c r="V117" s="1">
        <f t="shared" si="25"/>
        <v>0.32817771223025982</v>
      </c>
      <c r="W117" s="1">
        <f t="shared" si="29"/>
        <v>1.5669117059204433E-2</v>
      </c>
      <c r="X117" s="1">
        <f t="shared" si="30"/>
        <v>0.12517634384820653</v>
      </c>
      <c r="Y117" s="39">
        <f t="shared" si="26"/>
        <v>91.532860376649481</v>
      </c>
      <c r="AB117">
        <v>112</v>
      </c>
      <c r="AC117" s="7"/>
      <c r="AF117" s="7"/>
      <c r="AG117" s="10"/>
      <c r="AH117" s="1"/>
      <c r="AI117" s="10"/>
      <c r="AJ117" s="32"/>
      <c r="AL117" s="1"/>
    </row>
    <row r="118" spans="1:38" x14ac:dyDescent="0.3">
      <c r="A118">
        <v>78696</v>
      </c>
      <c r="B118">
        <v>24</v>
      </c>
      <c r="C118">
        <v>7</v>
      </c>
      <c r="D118">
        <v>1982</v>
      </c>
      <c r="E118">
        <v>2</v>
      </c>
      <c r="F118">
        <v>5</v>
      </c>
      <c r="G118">
        <v>1990</v>
      </c>
      <c r="H118">
        <v>77</v>
      </c>
      <c r="I118" s="32">
        <f t="shared" si="18"/>
        <v>15.549928774784245</v>
      </c>
      <c r="J118" s="1">
        <v>7.7780821917808201</v>
      </c>
      <c r="K118" s="32">
        <f t="shared" si="19"/>
        <v>17.013934477584808</v>
      </c>
      <c r="L118" s="32">
        <f t="shared" si="20"/>
        <v>90.382426079472069</v>
      </c>
      <c r="M118" s="32">
        <f t="shared" si="21"/>
        <v>0.50745099181348496</v>
      </c>
      <c r="N118">
        <v>1.4138231563265435</v>
      </c>
      <c r="O118" s="32">
        <f t="shared" si="27"/>
        <v>18.021079807613631</v>
      </c>
      <c r="P118" s="32">
        <f t="shared" si="22"/>
        <v>100.21090916570857</v>
      </c>
      <c r="Q118">
        <v>15</v>
      </c>
      <c r="R118">
        <v>92</v>
      </c>
      <c r="S118" s="1">
        <f t="shared" si="23"/>
        <v>15.551199132657898</v>
      </c>
      <c r="T118" s="1">
        <f t="shared" si="28"/>
        <v>18.021079807613631</v>
      </c>
      <c r="U118" s="1">
        <f t="shared" si="24"/>
        <v>17.173865961966076</v>
      </c>
      <c r="V118" s="1">
        <f t="shared" si="25"/>
        <v>5.7618746303447343</v>
      </c>
      <c r="W118" s="1">
        <f t="shared" si="29"/>
        <v>0.71777130025692004</v>
      </c>
      <c r="X118" s="1">
        <f t="shared" si="30"/>
        <v>0.84721384564755553</v>
      </c>
      <c r="Y118" s="39">
        <f t="shared" si="26"/>
        <v>91.895164636555322</v>
      </c>
      <c r="AB118">
        <v>113</v>
      </c>
      <c r="AC118" s="7"/>
      <c r="AF118" s="7"/>
      <c r="AG118" s="10"/>
      <c r="AH118" s="1"/>
      <c r="AI118" s="10"/>
      <c r="AJ118" s="32"/>
      <c r="AL118" s="1"/>
    </row>
    <row r="119" spans="1:38" x14ac:dyDescent="0.3">
      <c r="A119">
        <v>22638</v>
      </c>
      <c r="B119">
        <v>26</v>
      </c>
      <c r="C119">
        <v>7</v>
      </c>
      <c r="D119">
        <v>1982</v>
      </c>
      <c r="E119">
        <v>25</v>
      </c>
      <c r="F119">
        <v>5</v>
      </c>
      <c r="G119">
        <v>1984</v>
      </c>
      <c r="H119">
        <v>52</v>
      </c>
      <c r="I119" s="32">
        <f t="shared" si="18"/>
        <v>12.422205101855956</v>
      </c>
      <c r="J119" s="1">
        <v>1.8328767123287699</v>
      </c>
      <c r="K119" s="32">
        <f t="shared" si="19"/>
        <v>13.102162463229707</v>
      </c>
      <c r="L119" s="32">
        <f t="shared" si="20"/>
        <v>57.018827766446094</v>
      </c>
      <c r="M119" s="32">
        <f t="shared" si="21"/>
        <v>0.15822366054401177</v>
      </c>
      <c r="N119">
        <v>0.27225723897572607</v>
      </c>
      <c r="O119" s="32">
        <f t="shared" si="27"/>
        <v>13.210459144964183</v>
      </c>
      <c r="P119" s="32">
        <f t="shared" si="22"/>
        <v>57.839516850156137</v>
      </c>
      <c r="Q119">
        <v>16</v>
      </c>
      <c r="R119">
        <v>68</v>
      </c>
      <c r="S119" s="1">
        <f t="shared" si="23"/>
        <v>12.423109764162469</v>
      </c>
      <c r="T119" s="1">
        <f t="shared" si="28"/>
        <v>13.210459144964183</v>
      </c>
      <c r="U119" s="1">
        <f t="shared" si="24"/>
        <v>13.122332877168958</v>
      </c>
      <c r="V119" s="1">
        <f t="shared" si="25"/>
        <v>1.7632577639102511</v>
      </c>
      <c r="W119" s="1">
        <f t="shared" si="29"/>
        <v>7.7662390755157164E-3</v>
      </c>
      <c r="X119" s="1">
        <f t="shared" si="30"/>
        <v>8.8126267795225033E-2</v>
      </c>
      <c r="Y119" s="39">
        <f t="shared" si="26"/>
        <v>57.16380283048013</v>
      </c>
      <c r="AB119">
        <v>114</v>
      </c>
      <c r="AC119" s="7"/>
      <c r="AF119" s="7"/>
      <c r="AG119" s="10"/>
      <c r="AH119" s="1"/>
      <c r="AI119" s="10"/>
      <c r="AJ119" s="32"/>
      <c r="AL119" s="1"/>
    </row>
    <row r="120" spans="1:38" x14ac:dyDescent="0.3">
      <c r="A120">
        <v>78827</v>
      </c>
      <c r="B120">
        <v>26</v>
      </c>
      <c r="C120">
        <v>7</v>
      </c>
      <c r="D120">
        <v>1982</v>
      </c>
      <c r="E120">
        <v>29</v>
      </c>
      <c r="F120">
        <v>4</v>
      </c>
      <c r="G120">
        <v>1984</v>
      </c>
      <c r="H120">
        <v>100</v>
      </c>
      <c r="I120" s="32">
        <f t="shared" si="18"/>
        <v>18</v>
      </c>
      <c r="J120" s="1">
        <v>1.7616438356164399</v>
      </c>
      <c r="K120" s="32">
        <f t="shared" si="19"/>
        <v>18.172796484072606</v>
      </c>
      <c r="L120" s="32">
        <f t="shared" si="20"/>
        <v>101.73542949695302</v>
      </c>
      <c r="M120" s="32">
        <f t="shared" si="21"/>
        <v>0.15261399493444028</v>
      </c>
      <c r="N120">
        <v>0.81941607277258299</v>
      </c>
      <c r="O120" s="32">
        <f t="shared" si="27"/>
        <v>18.492908265900617</v>
      </c>
      <c r="P120" s="32">
        <f t="shared" si="22"/>
        <v>104.98982229865446</v>
      </c>
      <c r="Q120">
        <v>8</v>
      </c>
      <c r="R120">
        <v>108</v>
      </c>
      <c r="S120" s="1">
        <f t="shared" si="23"/>
        <v>18.001579124992976</v>
      </c>
      <c r="T120" s="1">
        <f t="shared" si="28"/>
        <v>18.492908265900617</v>
      </c>
      <c r="U120" s="1">
        <f t="shared" si="24"/>
        <v>18.22639615506916</v>
      </c>
      <c r="V120" s="1">
        <f t="shared" si="25"/>
        <v>1.7003178754263899</v>
      </c>
      <c r="W120" s="1">
        <f t="shared" si="29"/>
        <v>7.1028705219838575E-2</v>
      </c>
      <c r="X120" s="1">
        <f t="shared" si="30"/>
        <v>0.26651211083145654</v>
      </c>
      <c r="Y120" s="39">
        <f t="shared" si="26"/>
        <v>102.26051060852826</v>
      </c>
      <c r="AB120">
        <v>115</v>
      </c>
      <c r="AC120" s="7"/>
      <c r="AF120" s="7"/>
      <c r="AG120" s="10"/>
      <c r="AH120" s="1"/>
      <c r="AI120" s="10"/>
      <c r="AJ120" s="32"/>
      <c r="AL120" s="1"/>
    </row>
    <row r="121" spans="1:38" x14ac:dyDescent="0.3">
      <c r="A121">
        <v>79288</v>
      </c>
      <c r="B121">
        <v>18</v>
      </c>
      <c r="C121">
        <v>8</v>
      </c>
      <c r="D121">
        <v>1982</v>
      </c>
      <c r="E121">
        <v>3</v>
      </c>
      <c r="F121">
        <v>8</v>
      </c>
      <c r="G121">
        <v>1986</v>
      </c>
      <c r="H121">
        <v>98</v>
      </c>
      <c r="I121" s="32">
        <f t="shared" si="18"/>
        <v>17.798989873223331</v>
      </c>
      <c r="J121" s="1">
        <v>3.9616438356164401</v>
      </c>
      <c r="K121" s="32">
        <f t="shared" si="19"/>
        <v>18.203732968608389</v>
      </c>
      <c r="L121" s="32">
        <f t="shared" si="20"/>
        <v>102.04770646670838</v>
      </c>
      <c r="M121" s="32">
        <f t="shared" si="21"/>
        <v>0.30827444382553287</v>
      </c>
      <c r="N121">
        <v>-0.29144075597287156</v>
      </c>
      <c r="O121" s="32">
        <f t="shared" si="27"/>
        <v>18.041917868516411</v>
      </c>
      <c r="P121" s="32">
        <f t="shared" si="22"/>
        <v>100.41961796208935</v>
      </c>
      <c r="Q121">
        <v>19</v>
      </c>
      <c r="R121">
        <v>117</v>
      </c>
      <c r="S121" s="1">
        <f t="shared" si="23"/>
        <v>17.800542999902085</v>
      </c>
      <c r="T121" s="1">
        <f t="shared" si="28"/>
        <v>18.041917868516411</v>
      </c>
      <c r="U121" s="1">
        <f t="shared" si="24"/>
        <v>18.315442968932555</v>
      </c>
      <c r="V121" s="1">
        <f t="shared" si="25"/>
        <v>3.4602193976328404</v>
      </c>
      <c r="W121" s="1">
        <f t="shared" si="29"/>
        <v>7.4815980557661699E-2</v>
      </c>
      <c r="X121" s="1">
        <f t="shared" si="30"/>
        <v>-0.27352510041614408</v>
      </c>
      <c r="Y121" s="39">
        <f t="shared" si="26"/>
        <v>103.16285149933913</v>
      </c>
      <c r="AB121">
        <v>116</v>
      </c>
      <c r="AC121" s="7"/>
      <c r="AF121" s="7"/>
      <c r="AG121" s="10"/>
      <c r="AH121" s="1"/>
      <c r="AI121" s="10"/>
      <c r="AJ121" s="32"/>
      <c r="AL121" s="1"/>
    </row>
    <row r="122" spans="1:38" x14ac:dyDescent="0.3">
      <c r="A122">
        <v>79115</v>
      </c>
      <c r="B122">
        <v>9</v>
      </c>
      <c r="C122">
        <v>8</v>
      </c>
      <c r="D122">
        <v>1982</v>
      </c>
      <c r="E122">
        <v>28</v>
      </c>
      <c r="F122">
        <v>4</v>
      </c>
      <c r="G122">
        <v>1984</v>
      </c>
      <c r="H122">
        <v>64</v>
      </c>
      <c r="I122" s="32">
        <f t="shared" si="18"/>
        <v>14</v>
      </c>
      <c r="J122" s="1">
        <v>1.7205479452054799</v>
      </c>
      <c r="K122" s="32">
        <f t="shared" si="19"/>
        <v>14.506822339190865</v>
      </c>
      <c r="L122" s="32">
        <f t="shared" si="20"/>
        <v>68.118795934402641</v>
      </c>
      <c r="M122" s="32">
        <f t="shared" si="21"/>
        <v>0.14935895350737208</v>
      </c>
      <c r="N122">
        <v>-2.5818735593929887</v>
      </c>
      <c r="O122" s="32">
        <f t="shared" si="27"/>
        <v>13.509006023418983</v>
      </c>
      <c r="P122" s="32">
        <f t="shared" si="22"/>
        <v>60.132316958611575</v>
      </c>
      <c r="Q122">
        <v>17</v>
      </c>
      <c r="R122">
        <v>81</v>
      </c>
      <c r="S122" s="1">
        <f t="shared" si="23"/>
        <v>14.001084827483453</v>
      </c>
      <c r="T122" s="1">
        <f t="shared" si="28"/>
        <v>13.509006023418983</v>
      </c>
      <c r="U122" s="1">
        <f t="shared" si="24"/>
        <v>14.53520024174585</v>
      </c>
      <c r="V122" s="1">
        <f t="shared" si="25"/>
        <v>1.663811933843564</v>
      </c>
      <c r="W122" s="1">
        <f t="shared" si="29"/>
        <v>1.0530745737274878</v>
      </c>
      <c r="X122" s="1">
        <f t="shared" si="30"/>
        <v>-1.0261942183268662</v>
      </c>
      <c r="Y122" s="39">
        <f t="shared" si="26"/>
        <v>68.343722207463387</v>
      </c>
      <c r="AB122">
        <v>117</v>
      </c>
      <c r="AC122" s="7"/>
      <c r="AF122" s="7"/>
      <c r="AG122" s="10"/>
      <c r="AH122" s="1"/>
      <c r="AI122" s="10"/>
      <c r="AJ122" s="32"/>
      <c r="AL122" s="1"/>
    </row>
    <row r="123" spans="1:38" x14ac:dyDescent="0.3">
      <c r="A123">
        <v>77040</v>
      </c>
      <c r="B123">
        <v>1</v>
      </c>
      <c r="C123">
        <v>8</v>
      </c>
      <c r="D123">
        <v>1982</v>
      </c>
      <c r="E123">
        <v>9</v>
      </c>
      <c r="F123">
        <v>6</v>
      </c>
      <c r="G123">
        <v>1985</v>
      </c>
      <c r="H123">
        <v>77</v>
      </c>
      <c r="I123" s="32">
        <f t="shared" si="18"/>
        <v>15.549928774784245</v>
      </c>
      <c r="J123" s="1">
        <v>2.8575342465753399</v>
      </c>
      <c r="K123" s="32">
        <f t="shared" si="19"/>
        <v>16.156637031487023</v>
      </c>
      <c r="L123" s="32">
        <f t="shared" si="20"/>
        <v>82.415867073291466</v>
      </c>
      <c r="M123" s="32">
        <f t="shared" si="21"/>
        <v>0.23454073286128943</v>
      </c>
      <c r="N123">
        <v>1.4131978787190747</v>
      </c>
      <c r="O123" s="32">
        <f t="shared" si="27"/>
        <v>16.841040364371462</v>
      </c>
      <c r="P123" s="32">
        <f t="shared" si="22"/>
        <v>88.746200502968676</v>
      </c>
      <c r="Q123">
        <v>3</v>
      </c>
      <c r="R123">
        <v>80</v>
      </c>
      <c r="S123" s="1">
        <f t="shared" si="23"/>
        <v>15.551199132657898</v>
      </c>
      <c r="T123" s="1">
        <f t="shared" si="28"/>
        <v>16.841040364371462</v>
      </c>
      <c r="U123" s="1">
        <f t="shared" si="24"/>
        <v>16.218048135058879</v>
      </c>
      <c r="V123" s="1">
        <f t="shared" si="25"/>
        <v>2.6229814902936228</v>
      </c>
      <c r="W123" s="1">
        <f t="shared" si="29"/>
        <v>0.38811931778386216</v>
      </c>
      <c r="X123" s="1">
        <f t="shared" si="30"/>
        <v>0.62299222931258313</v>
      </c>
      <c r="Y123" s="39">
        <f t="shared" si="26"/>
        <v>82.961999196572094</v>
      </c>
      <c r="AB123">
        <v>118</v>
      </c>
      <c r="AC123" s="7"/>
      <c r="AF123" s="7"/>
      <c r="AG123" s="10"/>
      <c r="AH123" s="1"/>
      <c r="AI123" s="10"/>
      <c r="AJ123" s="32"/>
      <c r="AL123" s="1"/>
    </row>
    <row r="124" spans="1:38" x14ac:dyDescent="0.3">
      <c r="A124">
        <v>78855</v>
      </c>
      <c r="B124">
        <v>27</v>
      </c>
      <c r="C124">
        <v>7</v>
      </c>
      <c r="D124">
        <v>1982</v>
      </c>
      <c r="E124">
        <v>2</v>
      </c>
      <c r="F124">
        <v>5</v>
      </c>
      <c r="G124">
        <v>1984</v>
      </c>
      <c r="H124">
        <v>87</v>
      </c>
      <c r="I124" s="32">
        <f t="shared" si="18"/>
        <v>16.654758106177631</v>
      </c>
      <c r="J124" s="1">
        <v>1.7671232876712299</v>
      </c>
      <c r="K124" s="32">
        <f t="shared" si="19"/>
        <v>16.944639982560599</v>
      </c>
      <c r="L124" s="32">
        <f t="shared" si="20"/>
        <v>89.724846017208407</v>
      </c>
      <c r="M124" s="32">
        <f t="shared" si="21"/>
        <v>0.15304696454023575</v>
      </c>
      <c r="N124">
        <v>-7.0474470703629777E-2</v>
      </c>
      <c r="O124" s="32">
        <f t="shared" si="27"/>
        <v>16.917069511714274</v>
      </c>
      <c r="P124" s="32">
        <f t="shared" si="22"/>
        <v>89.46387972775743</v>
      </c>
      <c r="Q124">
        <v>18</v>
      </c>
      <c r="R124">
        <v>105</v>
      </c>
      <c r="S124" s="1">
        <f t="shared" si="23"/>
        <v>16.656165464090588</v>
      </c>
      <c r="T124" s="1">
        <f t="shared" si="28"/>
        <v>16.917069511714274</v>
      </c>
      <c r="U124" s="1">
        <f t="shared" si="24"/>
        <v>16.990109248940641</v>
      </c>
      <c r="V124" s="1">
        <f t="shared" si="25"/>
        <v>1.7051745608405309</v>
      </c>
      <c r="W124" s="1">
        <f t="shared" si="29"/>
        <v>5.3348032140966969E-3</v>
      </c>
      <c r="X124" s="1">
        <f t="shared" si="30"/>
        <v>-7.3039737226366697E-2</v>
      </c>
      <c r="Y124" s="39">
        <f t="shared" si="26"/>
        <v>90.142299790933677</v>
      </c>
      <c r="AB124">
        <v>119</v>
      </c>
      <c r="AC124" s="7"/>
      <c r="AF124" s="7"/>
      <c r="AG124" s="10"/>
      <c r="AH124" s="1"/>
      <c r="AI124" s="10"/>
      <c r="AJ124" s="32"/>
      <c r="AL124" s="1"/>
    </row>
    <row r="125" spans="1:38" x14ac:dyDescent="0.3">
      <c r="A125">
        <v>79005</v>
      </c>
      <c r="B125">
        <v>31</v>
      </c>
      <c r="C125">
        <v>7</v>
      </c>
      <c r="D125">
        <v>1982</v>
      </c>
      <c r="E125">
        <v>4</v>
      </c>
      <c r="F125">
        <v>5</v>
      </c>
      <c r="G125">
        <v>1983</v>
      </c>
      <c r="H125">
        <v>87</v>
      </c>
      <c r="I125" s="32">
        <f t="shared" si="18"/>
        <v>16.654758106177631</v>
      </c>
      <c r="J125" s="1">
        <v>0.75890410958904098</v>
      </c>
      <c r="K125" s="32">
        <f t="shared" si="19"/>
        <v>16.78247537439492</v>
      </c>
      <c r="L125" s="32">
        <f t="shared" si="20"/>
        <v>88.195345297437896</v>
      </c>
      <c r="M125" s="32">
        <f t="shared" si="21"/>
        <v>6.9138414234779177E-2</v>
      </c>
      <c r="N125">
        <v>0.11989186532446183</v>
      </c>
      <c r="O125" s="32">
        <f t="shared" si="27"/>
        <v>16.81399996275109</v>
      </c>
      <c r="P125" s="32">
        <f t="shared" si="22"/>
        <v>88.491648649599512</v>
      </c>
      <c r="Q125">
        <v>1</v>
      </c>
      <c r="R125">
        <v>88</v>
      </c>
      <c r="S125" s="1">
        <f t="shared" si="23"/>
        <v>16.656165464090588</v>
      </c>
      <c r="T125" s="1">
        <f t="shared" si="28"/>
        <v>16.81399996275109</v>
      </c>
      <c r="U125" s="1">
        <f t="shared" si="24"/>
        <v>16.803024918271362</v>
      </c>
      <c r="V125" s="1">
        <f t="shared" si="25"/>
        <v>0.76753374953563525</v>
      </c>
      <c r="W125" s="1">
        <f t="shared" si="29"/>
        <v>1.2045160133201955E-4</v>
      </c>
      <c r="X125" s="1">
        <f t="shared" si="30"/>
        <v>1.0975044479728524E-2</v>
      </c>
      <c r="Y125" s="39">
        <f t="shared" si="26"/>
        <v>88.375031894307838</v>
      </c>
      <c r="AB125">
        <v>120</v>
      </c>
      <c r="AC125" s="7"/>
      <c r="AF125" s="7"/>
      <c r="AG125" s="10"/>
      <c r="AH125" s="1"/>
      <c r="AI125" s="10"/>
      <c r="AJ125" s="32"/>
      <c r="AL125" s="1"/>
    </row>
    <row r="126" spans="1:38" x14ac:dyDescent="0.3">
      <c r="A126">
        <v>20654</v>
      </c>
      <c r="B126">
        <v>23</v>
      </c>
      <c r="C126">
        <v>1</v>
      </c>
      <c r="D126">
        <v>1982</v>
      </c>
      <c r="E126">
        <v>16</v>
      </c>
      <c r="F126">
        <v>6</v>
      </c>
      <c r="G126">
        <v>1982</v>
      </c>
      <c r="H126">
        <v>106</v>
      </c>
      <c r="I126" s="32">
        <f t="shared" si="18"/>
        <v>18.591260281974002</v>
      </c>
      <c r="J126" s="1">
        <v>0.39452054794520502</v>
      </c>
      <c r="K126" s="32">
        <f t="shared" si="19"/>
        <v>18.619481395291842</v>
      </c>
      <c r="L126" s="32">
        <f t="shared" si="20"/>
        <v>106.2907532526966</v>
      </c>
      <c r="M126" s="32">
        <f t="shared" si="21"/>
        <v>3.6613332143987619E-2</v>
      </c>
      <c r="N126">
        <v>0.69701400207122788</v>
      </c>
      <c r="O126" s="32">
        <f t="shared" si="27"/>
        <v>18.752852310165441</v>
      </c>
      <c r="P126" s="32">
        <f t="shared" si="22"/>
        <v>107.67021975188477</v>
      </c>
      <c r="Q126">
        <v>-1</v>
      </c>
      <c r="R126">
        <v>105</v>
      </c>
      <c r="S126" s="1">
        <f t="shared" si="23"/>
        <v>18.592916534671392</v>
      </c>
      <c r="T126" s="1">
        <f t="shared" si="28"/>
        <v>18.752852310165441</v>
      </c>
      <c r="U126" s="1">
        <f t="shared" si="24"/>
        <v>18.633921287240486</v>
      </c>
      <c r="V126" s="1">
        <f t="shared" si="25"/>
        <v>0.40591769780450826</v>
      </c>
      <c r="W126" s="1">
        <f t="shared" si="29"/>
        <v>1.4144588213976E-2</v>
      </c>
      <c r="X126" s="1">
        <f t="shared" si="30"/>
        <v>0.11893102292495428</v>
      </c>
      <c r="Y126" s="39">
        <f t="shared" si="26"/>
        <v>106.42253457214591</v>
      </c>
      <c r="AB126">
        <v>121</v>
      </c>
      <c r="AC126" s="7"/>
      <c r="AF126" s="7"/>
      <c r="AG126" s="10"/>
      <c r="AH126" s="1"/>
      <c r="AI126" s="10"/>
      <c r="AJ126" s="32"/>
      <c r="AL126" s="1"/>
    </row>
    <row r="127" spans="1:38" x14ac:dyDescent="0.3">
      <c r="A127">
        <v>79192</v>
      </c>
      <c r="B127">
        <v>13</v>
      </c>
      <c r="C127">
        <v>8</v>
      </c>
      <c r="D127">
        <v>1982</v>
      </c>
      <c r="E127">
        <v>11</v>
      </c>
      <c r="F127">
        <v>6</v>
      </c>
      <c r="G127">
        <v>1986</v>
      </c>
      <c r="H127">
        <v>103</v>
      </c>
      <c r="I127" s="32">
        <f t="shared" si="18"/>
        <v>18.297783130184438</v>
      </c>
      <c r="J127" s="1">
        <v>3.8301369863013699</v>
      </c>
      <c r="K127" s="32">
        <f t="shared" si="19"/>
        <v>18.60140089183599</v>
      </c>
      <c r="L127" s="32">
        <f t="shared" si="20"/>
        <v>106.10442967653518</v>
      </c>
      <c r="M127" s="32">
        <f t="shared" si="21"/>
        <v>0.29992404220406188</v>
      </c>
      <c r="N127">
        <v>-0.10872668099182192</v>
      </c>
      <c r="O127" s="32">
        <f t="shared" si="27"/>
        <v>18.541856375602872</v>
      </c>
      <c r="P127" s="32">
        <f t="shared" si="22"/>
        <v>105.4919658389741</v>
      </c>
      <c r="Q127">
        <v>11</v>
      </c>
      <c r="R127">
        <v>114</v>
      </c>
      <c r="S127" s="1">
        <f t="shared" si="23"/>
        <v>18.299400978670285</v>
      </c>
      <c r="T127" s="1">
        <f t="shared" si="28"/>
        <v>18.541856375602872</v>
      </c>
      <c r="U127" s="1">
        <f t="shared" si="24"/>
        <v>18.715641127912377</v>
      </c>
      <c r="V127" s="1">
        <f t="shared" si="25"/>
        <v>3.3650497334396272</v>
      </c>
      <c r="W127" s="1">
        <f t="shared" si="29"/>
        <v>3.0201140135275951E-2</v>
      </c>
      <c r="X127" s="1">
        <f t="shared" si="30"/>
        <v>-0.17378475230950485</v>
      </c>
      <c r="Y127" s="39">
        <f t="shared" si="26"/>
        <v>107.267125319798</v>
      </c>
      <c r="AB127">
        <v>122</v>
      </c>
      <c r="AC127" s="7"/>
      <c r="AF127" s="7"/>
      <c r="AG127" s="10"/>
      <c r="AH127" s="1"/>
      <c r="AI127" s="10"/>
      <c r="AJ127" s="32"/>
      <c r="AL127" s="1"/>
    </row>
    <row r="128" spans="1:38" x14ac:dyDescent="0.3">
      <c r="A128">
        <v>78854</v>
      </c>
      <c r="B128">
        <v>27</v>
      </c>
      <c r="C128">
        <v>7</v>
      </c>
      <c r="D128">
        <v>1982</v>
      </c>
      <c r="E128">
        <v>4</v>
      </c>
      <c r="F128">
        <v>5</v>
      </c>
      <c r="G128">
        <v>1984</v>
      </c>
      <c r="H128">
        <v>76</v>
      </c>
      <c r="I128" s="32">
        <f t="shared" si="18"/>
        <v>15.435595774162696</v>
      </c>
      <c r="J128" s="1">
        <v>1.77260273972603</v>
      </c>
      <c r="K128" s="32">
        <f t="shared" si="19"/>
        <v>15.832295676637701</v>
      </c>
      <c r="L128" s="32">
        <f t="shared" si="20"/>
        <v>79.497692274757895</v>
      </c>
      <c r="M128" s="32">
        <f t="shared" si="21"/>
        <v>0.15347969083428695</v>
      </c>
      <c r="N128">
        <v>1.749158400343731</v>
      </c>
      <c r="O128" s="32">
        <f t="shared" si="27"/>
        <v>16.51755443965752</v>
      </c>
      <c r="P128" s="32">
        <f t="shared" si="22"/>
        <v>85.724955606419982</v>
      </c>
      <c r="Q128">
        <v>4</v>
      </c>
      <c r="R128">
        <v>80</v>
      </c>
      <c r="S128" s="1">
        <f t="shared" si="23"/>
        <v>15.436852174114659</v>
      </c>
      <c r="T128" s="1">
        <f t="shared" si="28"/>
        <v>16.51755443965752</v>
      </c>
      <c r="U128" s="1">
        <f t="shared" si="24"/>
        <v>15.870371774170483</v>
      </c>
      <c r="V128" s="1">
        <f t="shared" si="25"/>
        <v>1.7100287155038034</v>
      </c>
      <c r="W128" s="1">
        <f t="shared" si="29"/>
        <v>0.41884540250690599</v>
      </c>
      <c r="X128" s="1">
        <f t="shared" si="30"/>
        <v>0.64718266548703696</v>
      </c>
      <c r="Y128" s="39">
        <f t="shared" si="26"/>
        <v>79.825846289982209</v>
      </c>
      <c r="AB128">
        <v>123</v>
      </c>
      <c r="AC128" s="7"/>
      <c r="AF128" s="7"/>
      <c r="AG128" s="10"/>
      <c r="AH128" s="1"/>
      <c r="AI128" s="10"/>
      <c r="AJ128" s="32"/>
      <c r="AL128" s="1"/>
    </row>
    <row r="129" spans="1:38" x14ac:dyDescent="0.3">
      <c r="A129">
        <v>22658</v>
      </c>
      <c r="B129">
        <v>26</v>
      </c>
      <c r="C129">
        <v>7</v>
      </c>
      <c r="D129">
        <v>1982</v>
      </c>
      <c r="E129">
        <v>11</v>
      </c>
      <c r="F129">
        <v>9</v>
      </c>
      <c r="G129">
        <v>1982</v>
      </c>
      <c r="H129">
        <v>83</v>
      </c>
      <c r="I129" s="32">
        <f t="shared" si="18"/>
        <v>16.220867158288598</v>
      </c>
      <c r="J129" s="1">
        <v>0.12876712328767101</v>
      </c>
      <c r="K129" s="32">
        <f t="shared" si="19"/>
        <v>16.245745664519941</v>
      </c>
      <c r="L129" s="32">
        <f t="shared" si="20"/>
        <v>83.226808713587047</v>
      </c>
      <c r="M129" s="32">
        <f t="shared" si="21"/>
        <v>1.2113458797144191E-2</v>
      </c>
      <c r="N129">
        <v>-0.28426484277588315</v>
      </c>
      <c r="O129" s="32">
        <f t="shared" si="27"/>
        <v>16.214459146361996</v>
      </c>
      <c r="P129" s="32">
        <f t="shared" si="22"/>
        <v>82.941630498622544</v>
      </c>
      <c r="Q129">
        <v>1</v>
      </c>
      <c r="R129">
        <v>84</v>
      </c>
      <c r="S129" s="1">
        <f t="shared" si="23"/>
        <v>16.222220261490186</v>
      </c>
      <c r="T129" s="1">
        <f t="shared" si="28"/>
        <v>16.214459146361996</v>
      </c>
      <c r="U129" s="1">
        <f t="shared" si="24"/>
        <v>16.250163049757109</v>
      </c>
      <c r="V129" s="1">
        <f t="shared" si="25"/>
        <v>0.134165206735817</v>
      </c>
      <c r="W129" s="1">
        <f t="shared" si="29"/>
        <v>1.274768717647576E-3</v>
      </c>
      <c r="X129" s="1">
        <f t="shared" si="30"/>
        <v>-3.5703903395113201E-2</v>
      </c>
      <c r="Y129" s="39">
        <f t="shared" si="26"/>
        <v>83.25473439794392</v>
      </c>
      <c r="AB129">
        <v>124</v>
      </c>
      <c r="AC129" s="7"/>
      <c r="AF129" s="7"/>
      <c r="AG129" s="10"/>
      <c r="AH129" s="1"/>
      <c r="AI129" s="10"/>
      <c r="AJ129" s="32"/>
      <c r="AL129" s="1"/>
    </row>
    <row r="130" spans="1:38" x14ac:dyDescent="0.3">
      <c r="A130">
        <v>79445</v>
      </c>
      <c r="B130">
        <v>4</v>
      </c>
      <c r="C130">
        <v>9</v>
      </c>
      <c r="D130">
        <v>1982</v>
      </c>
      <c r="E130">
        <v>7</v>
      </c>
      <c r="F130">
        <v>5</v>
      </c>
      <c r="G130">
        <v>1986</v>
      </c>
      <c r="H130">
        <v>75</v>
      </c>
      <c r="I130" s="32">
        <f t="shared" si="18"/>
        <v>15.320508075688775</v>
      </c>
      <c r="J130" s="1">
        <v>3.6739726027397301</v>
      </c>
      <c r="K130" s="32">
        <f t="shared" si="19"/>
        <v>16.124249263195335</v>
      </c>
      <c r="L130" s="32">
        <f t="shared" si="20"/>
        <v>82.122102838609152</v>
      </c>
      <c r="M130" s="32">
        <f t="shared" si="21"/>
        <v>0.28986050605645514</v>
      </c>
      <c r="N130">
        <v>0.14945953807909973</v>
      </c>
      <c r="O130" s="32">
        <f t="shared" si="27"/>
        <v>16.204716327790056</v>
      </c>
      <c r="P130" s="32">
        <f t="shared" si="22"/>
        <v>82.852924143826471</v>
      </c>
      <c r="Q130">
        <v>16</v>
      </c>
      <c r="R130">
        <v>91</v>
      </c>
      <c r="S130" s="1">
        <f t="shared" si="23"/>
        <v>15.321750468212322</v>
      </c>
      <c r="T130" s="1">
        <f t="shared" si="28"/>
        <v>16.204716327790056</v>
      </c>
      <c r="U130" s="1">
        <f t="shared" si="24"/>
        <v>16.199850687972749</v>
      </c>
      <c r="V130" s="1">
        <f t="shared" si="25"/>
        <v>3.2504785588618921</v>
      </c>
      <c r="W130" s="1">
        <f t="shared" si="29"/>
        <v>2.3674450831765773E-5</v>
      </c>
      <c r="X130" s="1">
        <f t="shared" si="30"/>
        <v>4.8656398173072546E-3</v>
      </c>
      <c r="Y130" s="39">
        <f t="shared" si="26"/>
        <v>82.796353892076368</v>
      </c>
      <c r="AB130">
        <v>125</v>
      </c>
      <c r="AC130" s="7"/>
      <c r="AF130" s="7"/>
      <c r="AG130" s="10"/>
      <c r="AH130" s="1"/>
      <c r="AI130" s="10"/>
      <c r="AJ130" s="32"/>
      <c r="AL130" s="1"/>
    </row>
    <row r="131" spans="1:38" x14ac:dyDescent="0.3">
      <c r="A131">
        <v>78791</v>
      </c>
      <c r="B131">
        <v>25</v>
      </c>
      <c r="C131">
        <v>7</v>
      </c>
      <c r="D131">
        <v>1982</v>
      </c>
      <c r="E131">
        <v>4</v>
      </c>
      <c r="F131">
        <v>5</v>
      </c>
      <c r="G131">
        <v>1984</v>
      </c>
      <c r="H131">
        <v>68</v>
      </c>
      <c r="I131" s="32">
        <f t="shared" si="18"/>
        <v>14.492422502470642</v>
      </c>
      <c r="J131" s="1">
        <v>1.7780821917808201</v>
      </c>
      <c r="K131" s="32">
        <f t="shared" si="19"/>
        <v>14.972508371312427</v>
      </c>
      <c r="L131" s="32">
        <f t="shared" si="20"/>
        <v>72.016510103567626</v>
      </c>
      <c r="M131" s="32">
        <f t="shared" si="21"/>
        <v>0.15391217395332385</v>
      </c>
      <c r="N131">
        <v>-0.33102878660429269</v>
      </c>
      <c r="O131" s="32">
        <f t="shared" si="27"/>
        <v>14.842640342602127</v>
      </c>
      <c r="P131" s="32">
        <f t="shared" si="22"/>
        <v>70.91863342756217</v>
      </c>
      <c r="Q131">
        <v>0</v>
      </c>
      <c r="R131">
        <v>68</v>
      </c>
      <c r="S131" s="1">
        <f t="shared" si="23"/>
        <v>14.49356539510066</v>
      </c>
      <c r="T131" s="1">
        <f t="shared" si="28"/>
        <v>14.842640342602127</v>
      </c>
      <c r="U131" s="1">
        <f t="shared" si="24"/>
        <v>15.004861343455065</v>
      </c>
      <c r="V131" s="1">
        <f t="shared" si="25"/>
        <v>1.7148803407349271</v>
      </c>
      <c r="W131" s="1">
        <f t="shared" si="29"/>
        <v>2.6315653117728877E-2</v>
      </c>
      <c r="X131" s="1">
        <f t="shared" si="30"/>
        <v>-0.16222100085293789</v>
      </c>
      <c r="Y131" s="39">
        <f t="shared" si="26"/>
        <v>72.281090324543285</v>
      </c>
      <c r="AB131">
        <v>126</v>
      </c>
      <c r="AC131" s="7"/>
      <c r="AF131" s="7"/>
      <c r="AG131" s="10"/>
      <c r="AH131" s="1"/>
      <c r="AI131" s="10"/>
      <c r="AJ131" s="32"/>
      <c r="AL131" s="1"/>
    </row>
    <row r="132" spans="1:38" x14ac:dyDescent="0.3">
      <c r="A132">
        <v>78818</v>
      </c>
      <c r="B132">
        <v>26</v>
      </c>
      <c r="C132">
        <v>7</v>
      </c>
      <c r="D132">
        <v>1982</v>
      </c>
      <c r="E132">
        <v>10</v>
      </c>
      <c r="F132">
        <v>9</v>
      </c>
      <c r="G132">
        <v>1982</v>
      </c>
      <c r="H132">
        <v>75</v>
      </c>
      <c r="I132" s="32">
        <f t="shared" si="18"/>
        <v>15.320508075688775</v>
      </c>
      <c r="J132" s="1">
        <v>0.12602739726027401</v>
      </c>
      <c r="K132" s="32">
        <f t="shared" si="19"/>
        <v>15.350660435063753</v>
      </c>
      <c r="L132" s="32">
        <f t="shared" si="20"/>
        <v>75.261354383221658</v>
      </c>
      <c r="M132" s="32">
        <f t="shared" si="21"/>
        <v>1.1857388198819452E-2</v>
      </c>
      <c r="N132">
        <v>-0.29391571843007114</v>
      </c>
      <c r="O132" s="32">
        <f t="shared" si="27"/>
        <v>15.318655471896822</v>
      </c>
      <c r="P132" s="32">
        <f t="shared" si="22"/>
        <v>74.983956838565433</v>
      </c>
      <c r="Q132">
        <v>0</v>
      </c>
      <c r="R132">
        <v>75</v>
      </c>
      <c r="S132" s="1">
        <f t="shared" si="23"/>
        <v>15.321750468212322</v>
      </c>
      <c r="T132" s="1">
        <f t="shared" si="28"/>
        <v>15.318655471896822</v>
      </c>
      <c r="U132" s="1">
        <f t="shared" si="24"/>
        <v>15.354481827024804</v>
      </c>
      <c r="V132" s="1">
        <f t="shared" si="25"/>
        <v>0.13132770491243101</v>
      </c>
      <c r="W132" s="1">
        <f t="shared" si="29"/>
        <v>1.2835277217563014E-3</v>
      </c>
      <c r="X132" s="1">
        <f t="shared" si="30"/>
        <v>-3.5826355127982268E-2</v>
      </c>
      <c r="Y132" s="39">
        <f t="shared" si="26"/>
        <v>75.283695194288242</v>
      </c>
      <c r="AB132">
        <v>127</v>
      </c>
      <c r="AC132" s="7"/>
      <c r="AF132" s="7"/>
      <c r="AG132" s="10"/>
      <c r="AH132" s="1"/>
      <c r="AI132" s="10"/>
      <c r="AJ132" s="32"/>
      <c r="AL132" s="1"/>
    </row>
    <row r="133" spans="1:38" x14ac:dyDescent="0.3">
      <c r="A133">
        <v>22949</v>
      </c>
      <c r="B133">
        <v>29</v>
      </c>
      <c r="C133">
        <v>7</v>
      </c>
      <c r="D133">
        <v>1982</v>
      </c>
      <c r="E133">
        <v>25</v>
      </c>
      <c r="F133">
        <v>6</v>
      </c>
      <c r="G133">
        <v>1984</v>
      </c>
      <c r="H133">
        <v>68</v>
      </c>
      <c r="I133" s="32">
        <f t="shared" si="18"/>
        <v>14.492422502470642</v>
      </c>
      <c r="J133" s="1">
        <v>1.90958904109589</v>
      </c>
      <c r="K133" s="32">
        <f t="shared" si="19"/>
        <v>15.006306791146248</v>
      </c>
      <c r="L133" s="32">
        <f t="shared" si="20"/>
        <v>72.303617668646751</v>
      </c>
      <c r="M133" s="32">
        <f t="shared" si="21"/>
        <v>0.16421917046317475</v>
      </c>
      <c r="N133">
        <v>-0.71438307713833638</v>
      </c>
      <c r="O133" s="32">
        <f t="shared" si="27"/>
        <v>14.71681044605843</v>
      </c>
      <c r="P133" s="32">
        <f t="shared" si="22"/>
        <v>69.862937872362082</v>
      </c>
      <c r="Q133">
        <v>20</v>
      </c>
      <c r="R133">
        <v>88</v>
      </c>
      <c r="S133" s="1">
        <f t="shared" si="23"/>
        <v>14.49356539510066</v>
      </c>
      <c r="T133" s="1">
        <f t="shared" si="28"/>
        <v>14.71681044605843</v>
      </c>
      <c r="U133" s="1">
        <f t="shared" si="24"/>
        <v>15.040987207937082</v>
      </c>
      <c r="V133" s="1">
        <f t="shared" si="25"/>
        <v>1.8305639333303418</v>
      </c>
      <c r="W133" s="1">
        <f t="shared" si="29"/>
        <v>0.10509057294212835</v>
      </c>
      <c r="X133" s="1">
        <f t="shared" si="30"/>
        <v>-0.32417676187865219</v>
      </c>
      <c r="Y133" s="39">
        <f t="shared" si="26"/>
        <v>72.588515405806859</v>
      </c>
      <c r="AB133">
        <v>128</v>
      </c>
      <c r="AC133" s="7"/>
      <c r="AF133" s="7"/>
      <c r="AG133" s="10"/>
      <c r="AH133" s="1"/>
      <c r="AI133" s="10"/>
      <c r="AJ133" s="32"/>
      <c r="AL133" s="1"/>
    </row>
    <row r="134" spans="1:38" x14ac:dyDescent="0.3">
      <c r="A134">
        <v>79338</v>
      </c>
      <c r="B134">
        <v>27</v>
      </c>
      <c r="C134">
        <v>8</v>
      </c>
      <c r="D134">
        <v>1982</v>
      </c>
      <c r="E134">
        <v>13</v>
      </c>
      <c r="F134">
        <v>6</v>
      </c>
      <c r="G134">
        <v>1985</v>
      </c>
      <c r="H134">
        <v>65</v>
      </c>
      <c r="I134" s="32">
        <f t="shared" si="18"/>
        <v>14.124515496597098</v>
      </c>
      <c r="J134" s="1">
        <v>2.7972602739725998</v>
      </c>
      <c r="K134" s="32">
        <f t="shared" si="19"/>
        <v>14.909847297606223</v>
      </c>
      <c r="L134" s="32">
        <f t="shared" si="20"/>
        <v>71.485733907090122</v>
      </c>
      <c r="M134" s="32">
        <f t="shared" si="21"/>
        <v>0.23027011653468163</v>
      </c>
      <c r="N134">
        <v>0.7880339580879081</v>
      </c>
      <c r="O134" s="32">
        <f t="shared" si="27"/>
        <v>15.287996965186185</v>
      </c>
      <c r="P134" s="32">
        <f t="shared" si="22"/>
        <v>74.718709767071687</v>
      </c>
      <c r="Q134">
        <v>14</v>
      </c>
      <c r="R134">
        <v>79</v>
      </c>
      <c r="S134" s="1">
        <f t="shared" si="23"/>
        <v>14.125614927041669</v>
      </c>
      <c r="T134" s="1">
        <f t="shared" si="28"/>
        <v>15.287996965186185</v>
      </c>
      <c r="U134" s="1">
        <f t="shared" si="24"/>
        <v>14.956900688983813</v>
      </c>
      <c r="V134" s="1">
        <f t="shared" si="25"/>
        <v>2.5746957740423793</v>
      </c>
      <c r="W134" s="1">
        <f t="shared" si="29"/>
        <v>0.10962474411507721</v>
      </c>
      <c r="X134" s="1">
        <f t="shared" si="30"/>
        <v>0.3310962762023717</v>
      </c>
      <c r="Y134" s="39">
        <f t="shared" si="26"/>
        <v>71.873961065913988</v>
      </c>
      <c r="AB134">
        <v>129</v>
      </c>
      <c r="AC134" s="7"/>
      <c r="AF134" s="7"/>
      <c r="AG134" s="10"/>
      <c r="AH134" s="1"/>
      <c r="AI134" s="10"/>
      <c r="AJ134" s="32"/>
      <c r="AL134" s="1"/>
    </row>
    <row r="135" spans="1:38" x14ac:dyDescent="0.3">
      <c r="A135">
        <v>22962</v>
      </c>
      <c r="B135">
        <v>29</v>
      </c>
      <c r="C135">
        <v>7</v>
      </c>
      <c r="D135">
        <v>1982</v>
      </c>
      <c r="E135">
        <v>4</v>
      </c>
      <c r="F135">
        <v>6</v>
      </c>
      <c r="G135">
        <v>1991</v>
      </c>
      <c r="H135">
        <v>58</v>
      </c>
      <c r="I135" s="32">
        <f t="shared" si="18"/>
        <v>13.231546211727817</v>
      </c>
      <c r="J135" s="1">
        <v>8.8547945205479408</v>
      </c>
      <c r="K135" s="32">
        <f t="shared" si="19"/>
        <v>15.702295310390912</v>
      </c>
      <c r="L135" s="32">
        <f t="shared" si="20"/>
        <v>78.342814814072028</v>
      </c>
      <c r="M135" s="32">
        <f t="shared" si="21"/>
        <v>0.55091486211953755</v>
      </c>
      <c r="N135">
        <v>1.6118337953230366</v>
      </c>
      <c r="O135" s="32">
        <f t="shared" si="27"/>
        <v>16.898657011689295</v>
      </c>
      <c r="P135" s="32">
        <f t="shared" si="22"/>
        <v>89.289809211368237</v>
      </c>
      <c r="Q135">
        <v>42</v>
      </c>
      <c r="R135">
        <v>100</v>
      </c>
      <c r="S135" s="1">
        <f t="shared" si="23"/>
        <v>13.232542140125398</v>
      </c>
      <c r="T135" s="1">
        <f t="shared" si="28"/>
        <v>16.898657011689295</v>
      </c>
      <c r="U135" s="1">
        <f t="shared" si="24"/>
        <v>15.833105203651495</v>
      </c>
      <c r="V135" s="1">
        <f t="shared" si="25"/>
        <v>6.2738132037982313</v>
      </c>
      <c r="W135" s="1">
        <f t="shared" si="29"/>
        <v>1.1354006556126235</v>
      </c>
      <c r="X135" s="1">
        <f t="shared" si="30"/>
        <v>1.0655518080377995</v>
      </c>
      <c r="Y135" s="39">
        <f t="shared" si="26"/>
        <v>79.493275092295036</v>
      </c>
      <c r="AB135">
        <v>130</v>
      </c>
      <c r="AC135" s="7"/>
      <c r="AF135" s="7"/>
      <c r="AG135" s="10"/>
      <c r="AH135" s="1"/>
      <c r="AI135" s="10"/>
      <c r="AJ135" s="32"/>
      <c r="AL135" s="1"/>
    </row>
    <row r="136" spans="1:38" x14ac:dyDescent="0.3">
      <c r="A136">
        <v>79491</v>
      </c>
      <c r="B136">
        <v>5</v>
      </c>
      <c r="C136">
        <v>9</v>
      </c>
      <c r="D136">
        <v>1982</v>
      </c>
      <c r="E136">
        <v>29</v>
      </c>
      <c r="F136">
        <v>5</v>
      </c>
      <c r="G136">
        <v>1984</v>
      </c>
      <c r="H136">
        <v>91</v>
      </c>
      <c r="I136" s="32">
        <f t="shared" ref="I136:I199" si="31">(H136^gamma_T-1)/gamma_T</f>
        <v>17.078784028338912</v>
      </c>
      <c r="J136" s="1">
        <v>1.73150684931507</v>
      </c>
      <c r="K136" s="32">
        <f t="shared" ref="K136:K199" si="32">alpha_T*(1-rho_T^J136)/(1-rho_T)+I136*rho_T^J136</f>
        <v>17.327043220627466</v>
      </c>
      <c r="L136" s="32">
        <f t="shared" ref="L136:L199" si="33">(gamma_T*K136+1)^(1/gamma_T)</f>
        <v>93.383649913000525</v>
      </c>
      <c r="M136" s="32">
        <f t="shared" ref="M136:M199" si="34">sigma_eps_T^2*(1-rho_T^(2*J136))/(1-rho_T^2)</f>
        <v>0.15022830678762508</v>
      </c>
      <c r="N136">
        <v>-0.90150251708109863</v>
      </c>
      <c r="O136" s="32">
        <f t="shared" si="27"/>
        <v>16.977627186762888</v>
      </c>
      <c r="P136" s="32">
        <f t="shared" ref="P136:P199" si="35">(gamma_T*O136+1)^(1/gamma_T)</f>
        <v>90.037583409940467</v>
      </c>
      <c r="Q136">
        <v>3</v>
      </c>
      <c r="R136">
        <v>94</v>
      </c>
      <c r="S136" s="1">
        <f t="shared" ref="S136:S199" si="36">(H136^gamma-1)/gamma</f>
        <v>17.080244956481966</v>
      </c>
      <c r="T136" s="1">
        <f t="shared" si="28"/>
        <v>16.977627186762888</v>
      </c>
      <c r="U136" s="1">
        <f t="shared" ref="U136:U199" si="37">alpha*(1-rho^J136)/(1-rho)+(rho^J136)*S136</f>
        <v>17.374206650381254</v>
      </c>
      <c r="V136" s="1">
        <f t="shared" ref="V136:V199" si="38">(1-rho^(2*J136))/(1-rho^2)</f>
        <v>1.6735608094801835</v>
      </c>
      <c r="W136" s="1">
        <f t="shared" si="29"/>
        <v>0.15727527096383084</v>
      </c>
      <c r="X136" s="1">
        <f t="shared" si="30"/>
        <v>-0.39657946361836593</v>
      </c>
      <c r="Y136" s="39">
        <f t="shared" ref="Y136:Y199" si="39">(U136*gamma+1)^(1/gamma)</f>
        <v>93.825456492682122</v>
      </c>
      <c r="AB136">
        <v>131</v>
      </c>
      <c r="AC136" s="7"/>
      <c r="AF136" s="7"/>
      <c r="AG136" s="10"/>
      <c r="AH136" s="1"/>
      <c r="AI136" s="10"/>
      <c r="AJ136" s="32"/>
      <c r="AL136" s="1"/>
    </row>
    <row r="137" spans="1:38" x14ac:dyDescent="0.3">
      <c r="A137">
        <v>79043</v>
      </c>
      <c r="B137">
        <v>2</v>
      </c>
      <c r="C137">
        <v>8</v>
      </c>
      <c r="D137">
        <v>1982</v>
      </c>
      <c r="E137">
        <v>10</v>
      </c>
      <c r="F137">
        <v>5</v>
      </c>
      <c r="G137">
        <v>1988</v>
      </c>
      <c r="H137">
        <v>75</v>
      </c>
      <c r="I137" s="32">
        <f t="shared" si="31"/>
        <v>15.320508075688775</v>
      </c>
      <c r="J137" s="1">
        <v>5.77534246575342</v>
      </c>
      <c r="K137" s="32">
        <f t="shared" si="32"/>
        <v>16.520275236988134</v>
      </c>
      <c r="L137" s="32">
        <f t="shared" si="33"/>
        <v>85.750148713448965</v>
      </c>
      <c r="M137" s="32">
        <f t="shared" si="34"/>
        <v>0.41265387457256436</v>
      </c>
      <c r="N137">
        <v>-0.23520442482549697</v>
      </c>
      <c r="O137" s="32">
        <f t="shared" ref="O137:O200" si="40">K137+N137*SQRT(M137)</f>
        <v>16.369184287175997</v>
      </c>
      <c r="P137" s="32">
        <f t="shared" si="35"/>
        <v>84.356732844058385</v>
      </c>
      <c r="Q137">
        <v>16</v>
      </c>
      <c r="R137">
        <v>91</v>
      </c>
      <c r="S137" s="1">
        <f t="shared" si="36"/>
        <v>15.321750468212322</v>
      </c>
      <c r="T137" s="1">
        <f t="shared" ref="T137:T200" si="41">O137</f>
        <v>16.369184287175997</v>
      </c>
      <c r="U137" s="1">
        <f t="shared" si="37"/>
        <v>16.637264174753454</v>
      </c>
      <c r="V137" s="1">
        <f t="shared" si="38"/>
        <v>4.6582595262699131</v>
      </c>
      <c r="W137" s="1">
        <f t="shared" ref="W137:W200" si="42">(T137-U137)^2</f>
        <v>7.1866826123542005E-2</v>
      </c>
      <c r="X137" s="1">
        <f t="shared" ref="X137:X200" si="43">T137-U137</f>
        <v>-0.26807988757745704</v>
      </c>
      <c r="Y137" s="39">
        <f t="shared" si="39"/>
        <v>86.823811955407422</v>
      </c>
      <c r="AB137">
        <v>132</v>
      </c>
      <c r="AC137" s="7"/>
      <c r="AF137" s="7"/>
      <c r="AG137" s="10"/>
      <c r="AH137" s="1"/>
      <c r="AI137" s="10"/>
      <c r="AJ137" s="32"/>
      <c r="AL137" s="1"/>
    </row>
    <row r="138" spans="1:38" x14ac:dyDescent="0.3">
      <c r="A138">
        <v>22608</v>
      </c>
      <c r="B138">
        <v>25</v>
      </c>
      <c r="C138">
        <v>7</v>
      </c>
      <c r="D138">
        <v>1982</v>
      </c>
      <c r="E138">
        <v>11</v>
      </c>
      <c r="F138">
        <v>5</v>
      </c>
      <c r="G138">
        <v>1988</v>
      </c>
      <c r="H138">
        <v>74</v>
      </c>
      <c r="I138" s="32">
        <f t="shared" si="31"/>
        <v>15.204650534085253</v>
      </c>
      <c r="J138" s="1">
        <v>5.8</v>
      </c>
      <c r="K138" s="32">
        <f t="shared" si="32"/>
        <v>16.438629368736922</v>
      </c>
      <c r="L138" s="32">
        <f t="shared" si="33"/>
        <v>84.995763249411937</v>
      </c>
      <c r="M138" s="32">
        <f t="shared" si="34"/>
        <v>0.41394337457013236</v>
      </c>
      <c r="N138">
        <v>-1.1598717719607521</v>
      </c>
      <c r="O138" s="32">
        <f t="shared" si="40"/>
        <v>15.692386065245284</v>
      </c>
      <c r="P138" s="32">
        <f t="shared" si="35"/>
        <v>78.255131170421379</v>
      </c>
      <c r="Q138">
        <v>16</v>
      </c>
      <c r="R138">
        <v>90</v>
      </c>
      <c r="S138" s="1">
        <f t="shared" si="36"/>
        <v>15.205878868967202</v>
      </c>
      <c r="T138" s="1">
        <f t="shared" si="41"/>
        <v>15.692386065245284</v>
      </c>
      <c r="U138" s="1">
        <f t="shared" si="37"/>
        <v>16.554204247821104</v>
      </c>
      <c r="V138" s="1">
        <f t="shared" si="38"/>
        <v>4.6731649726507314</v>
      </c>
      <c r="W138" s="1">
        <f t="shared" si="42"/>
        <v>0.74273057981829049</v>
      </c>
      <c r="X138" s="1">
        <f t="shared" si="43"/>
        <v>-0.86181818257582066</v>
      </c>
      <c r="Y138" s="39">
        <f t="shared" si="39"/>
        <v>86.051686842114691</v>
      </c>
      <c r="AB138">
        <v>133</v>
      </c>
      <c r="AC138" s="7"/>
      <c r="AF138" s="7"/>
      <c r="AG138" s="10"/>
      <c r="AH138" s="1"/>
      <c r="AI138" s="10"/>
      <c r="AJ138" s="32"/>
      <c r="AL138" s="1"/>
    </row>
    <row r="139" spans="1:38" x14ac:dyDescent="0.3">
      <c r="A139">
        <v>22926</v>
      </c>
      <c r="B139">
        <v>28</v>
      </c>
      <c r="C139">
        <v>7</v>
      </c>
      <c r="D139">
        <v>1982</v>
      </c>
      <c r="E139">
        <v>8</v>
      </c>
      <c r="F139">
        <v>6</v>
      </c>
      <c r="G139">
        <v>1985</v>
      </c>
      <c r="H139">
        <v>60</v>
      </c>
      <c r="I139" s="32">
        <f t="shared" si="31"/>
        <v>13.491933384829668</v>
      </c>
      <c r="J139" s="1">
        <v>2.8657534246575298</v>
      </c>
      <c r="K139" s="32">
        <f t="shared" si="32"/>
        <v>14.381591205633141</v>
      </c>
      <c r="L139" s="32">
        <f t="shared" si="33"/>
        <v>67.089132607119282</v>
      </c>
      <c r="M139" s="32">
        <f t="shared" si="34"/>
        <v>0.23512104635686548</v>
      </c>
      <c r="N139">
        <v>0.65500216805958189</v>
      </c>
      <c r="O139" s="32">
        <f t="shared" si="40"/>
        <v>14.699197053651234</v>
      </c>
      <c r="P139" s="32">
        <f t="shared" si="35"/>
        <v>69.715795559168498</v>
      </c>
      <c r="Q139">
        <v>8</v>
      </c>
      <c r="R139">
        <v>68</v>
      </c>
      <c r="S139" s="1">
        <f t="shared" si="36"/>
        <v>13.492959197163596</v>
      </c>
      <c r="T139" s="1">
        <f t="shared" si="41"/>
        <v>14.699197053651234</v>
      </c>
      <c r="U139" s="1">
        <f t="shared" si="37"/>
        <v>14.423856895975403</v>
      </c>
      <c r="V139" s="1">
        <f t="shared" si="38"/>
        <v>2.6295444825905099</v>
      </c>
      <c r="W139" s="1">
        <f t="shared" si="42"/>
        <v>7.5812202428951703E-2</v>
      </c>
      <c r="X139" s="1">
        <f t="shared" si="43"/>
        <v>0.27534015767583142</v>
      </c>
      <c r="Y139" s="39">
        <f t="shared" si="39"/>
        <v>67.426451714664495</v>
      </c>
      <c r="AB139">
        <v>134</v>
      </c>
      <c r="AC139" s="7"/>
      <c r="AF139" s="7"/>
      <c r="AG139" s="10"/>
      <c r="AH139" s="1"/>
      <c r="AI139" s="10"/>
      <c r="AJ139" s="32"/>
      <c r="AL139" s="1"/>
    </row>
    <row r="140" spans="1:38" x14ac:dyDescent="0.3">
      <c r="A140">
        <v>78711</v>
      </c>
      <c r="B140">
        <v>24</v>
      </c>
      <c r="C140">
        <v>7</v>
      </c>
      <c r="D140">
        <v>1982</v>
      </c>
      <c r="E140">
        <v>9</v>
      </c>
      <c r="F140">
        <v>5</v>
      </c>
      <c r="G140">
        <v>1986</v>
      </c>
      <c r="H140">
        <v>62</v>
      </c>
      <c r="I140" s="32">
        <f t="shared" si="31"/>
        <v>13.748015748023622</v>
      </c>
      <c r="J140" s="1">
        <v>3.79452054794521</v>
      </c>
      <c r="K140" s="32">
        <f t="shared" si="32"/>
        <v>14.853764717991604</v>
      </c>
      <c r="L140" s="32">
        <f t="shared" si="33"/>
        <v>71.012346292354636</v>
      </c>
      <c r="M140" s="32">
        <f t="shared" si="34"/>
        <v>0.29764302095383433</v>
      </c>
      <c r="N140">
        <v>-0.5425772542366758</v>
      </c>
      <c r="O140" s="32">
        <f t="shared" si="40"/>
        <v>14.557752637491413</v>
      </c>
      <c r="P140" s="32">
        <f t="shared" si="35"/>
        <v>68.539793101088449</v>
      </c>
      <c r="Q140">
        <v>26</v>
      </c>
      <c r="R140">
        <v>88</v>
      </c>
      <c r="S140" s="1">
        <f t="shared" si="36"/>
        <v>13.749071190587207</v>
      </c>
      <c r="T140" s="1">
        <f t="shared" si="41"/>
        <v>14.557752637491413</v>
      </c>
      <c r="U140" s="1">
        <f t="shared" si="37"/>
        <v>14.913152007658482</v>
      </c>
      <c r="V140" s="1">
        <f t="shared" si="38"/>
        <v>3.3390690796709781</v>
      </c>
      <c r="W140" s="1">
        <f t="shared" si="42"/>
        <v>0.1263087123151492</v>
      </c>
      <c r="X140" s="1">
        <f t="shared" si="43"/>
        <v>-0.3553993701670688</v>
      </c>
      <c r="Y140" s="39">
        <f t="shared" si="39"/>
        <v>71.503589222838229</v>
      </c>
      <c r="AB140">
        <v>135</v>
      </c>
      <c r="AC140" s="7"/>
      <c r="AF140" s="7"/>
      <c r="AG140" s="10"/>
      <c r="AH140" s="1"/>
      <c r="AI140" s="10"/>
      <c r="AJ140" s="32"/>
      <c r="AL140" s="1"/>
    </row>
    <row r="141" spans="1:38" x14ac:dyDescent="0.3">
      <c r="A141">
        <v>78752</v>
      </c>
      <c r="B141">
        <v>24</v>
      </c>
      <c r="C141">
        <v>7</v>
      </c>
      <c r="D141">
        <v>1982</v>
      </c>
      <c r="E141">
        <v>16</v>
      </c>
      <c r="F141">
        <v>8</v>
      </c>
      <c r="G141">
        <v>1985</v>
      </c>
      <c r="H141">
        <v>85</v>
      </c>
      <c r="I141" s="32">
        <f t="shared" si="31"/>
        <v>16.439088914585774</v>
      </c>
      <c r="J141" s="1">
        <v>3.06575342465753</v>
      </c>
      <c r="K141" s="32">
        <f t="shared" si="32"/>
        <v>16.9572435180614</v>
      </c>
      <c r="L141" s="32">
        <f t="shared" si="33"/>
        <v>89.844270450770239</v>
      </c>
      <c r="M141" s="32">
        <f t="shared" si="34"/>
        <v>0.24909223986622872</v>
      </c>
      <c r="N141">
        <v>0.68381041273823939</v>
      </c>
      <c r="O141" s="32">
        <f t="shared" si="40"/>
        <v>17.2985274240942</v>
      </c>
      <c r="P141" s="32">
        <f t="shared" si="35"/>
        <v>93.10829018462897</v>
      </c>
      <c r="Q141">
        <v>22</v>
      </c>
      <c r="R141">
        <v>107</v>
      </c>
      <c r="S141" s="1">
        <f t="shared" si="36"/>
        <v>16.440469232880666</v>
      </c>
      <c r="T141" s="1">
        <f t="shared" si="41"/>
        <v>17.2985274240942</v>
      </c>
      <c r="U141" s="1">
        <f t="shared" si="37"/>
        <v>17.031802394861</v>
      </c>
      <c r="V141" s="1">
        <f t="shared" si="38"/>
        <v>2.7876726095521756</v>
      </c>
      <c r="W141" s="1">
        <f t="shared" si="42"/>
        <v>7.1142241219451369E-2</v>
      </c>
      <c r="X141" s="1">
        <f t="shared" si="43"/>
        <v>0.26672502923319996</v>
      </c>
      <c r="Y141" s="39">
        <f t="shared" si="39"/>
        <v>90.538532568873109</v>
      </c>
      <c r="AB141">
        <v>136</v>
      </c>
      <c r="AC141" s="7"/>
      <c r="AF141" s="7"/>
      <c r="AG141" s="10"/>
      <c r="AH141" s="1"/>
      <c r="AI141" s="10"/>
      <c r="AJ141" s="32"/>
      <c r="AL141" s="1"/>
    </row>
    <row r="142" spans="1:38" x14ac:dyDescent="0.3">
      <c r="A142">
        <v>76845</v>
      </c>
      <c r="B142">
        <v>30</v>
      </c>
      <c r="C142">
        <v>7</v>
      </c>
      <c r="D142">
        <v>1982</v>
      </c>
      <c r="E142">
        <v>4</v>
      </c>
      <c r="F142">
        <v>7</v>
      </c>
      <c r="G142">
        <v>1984</v>
      </c>
      <c r="H142">
        <v>70</v>
      </c>
      <c r="I142" s="32">
        <f t="shared" si="31"/>
        <v>14.733200530681511</v>
      </c>
      <c r="J142" s="1">
        <v>1.93150684931507</v>
      </c>
      <c r="K142" s="32">
        <f t="shared" si="32"/>
        <v>15.229984676796157</v>
      </c>
      <c r="L142" s="32">
        <f t="shared" si="33"/>
        <v>74.218092990657595</v>
      </c>
      <c r="M142" s="32">
        <f t="shared" si="34"/>
        <v>0.1659235249505992</v>
      </c>
      <c r="N142">
        <v>3.0718183552380651E-2</v>
      </c>
      <c r="O142" s="32">
        <f t="shared" si="40"/>
        <v>15.242497333050888</v>
      </c>
      <c r="P142" s="32">
        <f t="shared" si="35"/>
        <v>74.32592857006675</v>
      </c>
      <c r="Q142">
        <v>2</v>
      </c>
      <c r="R142">
        <v>72</v>
      </c>
      <c r="S142" s="1">
        <f t="shared" si="36"/>
        <v>14.734372118089272</v>
      </c>
      <c r="T142" s="1">
        <f t="shared" si="41"/>
        <v>15.242497333050888</v>
      </c>
      <c r="U142" s="1">
        <f t="shared" si="37"/>
        <v>15.266656877161358</v>
      </c>
      <c r="V142" s="1">
        <f t="shared" si="38"/>
        <v>1.8497042302767086</v>
      </c>
      <c r="W142" s="1">
        <f t="shared" si="42"/>
        <v>5.8368357162572688E-4</v>
      </c>
      <c r="X142" s="1">
        <f t="shared" si="43"/>
        <v>-2.4159544110469611E-2</v>
      </c>
      <c r="Y142" s="39">
        <f t="shared" si="39"/>
        <v>74.523692079741437</v>
      </c>
      <c r="AB142">
        <v>137</v>
      </c>
      <c r="AC142" s="7"/>
      <c r="AF142" s="7"/>
      <c r="AG142" s="10"/>
      <c r="AH142" s="1"/>
      <c r="AI142" s="10"/>
      <c r="AJ142" s="32"/>
      <c r="AL142" s="1"/>
    </row>
    <row r="143" spans="1:38" x14ac:dyDescent="0.3">
      <c r="A143">
        <v>20584</v>
      </c>
      <c r="B143">
        <v>18</v>
      </c>
      <c r="C143">
        <v>1</v>
      </c>
      <c r="D143">
        <v>1982</v>
      </c>
      <c r="E143">
        <v>11</v>
      </c>
      <c r="F143">
        <v>6</v>
      </c>
      <c r="G143">
        <v>1985</v>
      </c>
      <c r="H143">
        <v>92</v>
      </c>
      <c r="I143" s="32">
        <f t="shared" si="31"/>
        <v>17.183326093250876</v>
      </c>
      <c r="J143" s="1">
        <v>3.3972602739725999</v>
      </c>
      <c r="K143" s="32">
        <f t="shared" si="32"/>
        <v>17.633765077091812</v>
      </c>
      <c r="L143" s="32">
        <f t="shared" si="33"/>
        <v>96.371182775607522</v>
      </c>
      <c r="M143" s="32">
        <f t="shared" si="34"/>
        <v>0.27162784750228869</v>
      </c>
      <c r="N143">
        <v>1.4786837709834799</v>
      </c>
      <c r="O143" s="32">
        <f t="shared" si="40"/>
        <v>18.404424428146172</v>
      </c>
      <c r="P143" s="32">
        <f t="shared" si="35"/>
        <v>104.08513406098206</v>
      </c>
      <c r="Q143">
        <v>19</v>
      </c>
      <c r="R143">
        <v>111</v>
      </c>
      <c r="S143" s="1">
        <f t="shared" si="36"/>
        <v>17.18480031092902</v>
      </c>
      <c r="T143" s="1">
        <f t="shared" si="41"/>
        <v>18.404424428146172</v>
      </c>
      <c r="U143" s="1">
        <f t="shared" si="37"/>
        <v>17.724006814030147</v>
      </c>
      <c r="V143" s="1">
        <f t="shared" si="38"/>
        <v>3.0432394116864701</v>
      </c>
      <c r="W143" s="1">
        <f t="shared" si="42"/>
        <v>0.46296812959934264</v>
      </c>
      <c r="X143" s="1">
        <f t="shared" si="43"/>
        <v>0.68041761411602408</v>
      </c>
      <c r="Y143" s="39">
        <f t="shared" si="39"/>
        <v>97.243892169620466</v>
      </c>
      <c r="AB143">
        <v>138</v>
      </c>
      <c r="AC143" s="7"/>
      <c r="AF143" s="7"/>
      <c r="AG143" s="10"/>
      <c r="AH143" s="1"/>
      <c r="AI143" s="10"/>
      <c r="AJ143" s="32"/>
      <c r="AL143" s="1"/>
    </row>
    <row r="144" spans="1:38" x14ac:dyDescent="0.3">
      <c r="A144">
        <v>79201</v>
      </c>
      <c r="B144">
        <v>13</v>
      </c>
      <c r="C144">
        <v>8</v>
      </c>
      <c r="D144">
        <v>1982</v>
      </c>
      <c r="E144">
        <v>15</v>
      </c>
      <c r="F144">
        <v>8</v>
      </c>
      <c r="G144">
        <v>1986</v>
      </c>
      <c r="H144">
        <v>126</v>
      </c>
      <c r="I144" s="32">
        <f t="shared" si="31"/>
        <v>20.449944320643649</v>
      </c>
      <c r="J144" s="1">
        <v>4.0082191780821903</v>
      </c>
      <c r="K144" s="32">
        <f t="shared" si="32"/>
        <v>20.366327989008298</v>
      </c>
      <c r="L144" s="32">
        <f t="shared" si="33"/>
        <v>125.06315692797399</v>
      </c>
      <c r="M144" s="32">
        <f t="shared" si="34"/>
        <v>0.31120496685289978</v>
      </c>
      <c r="N144">
        <v>0.72877355705713853</v>
      </c>
      <c r="O144" s="32">
        <f t="shared" si="40"/>
        <v>20.772879768294814</v>
      </c>
      <c r="P144" s="32">
        <f t="shared" si="35"/>
        <v>129.65101323530283</v>
      </c>
      <c r="Q144">
        <v>8</v>
      </c>
      <c r="R144">
        <v>134</v>
      </c>
      <c r="S144" s="1">
        <f t="shared" si="36"/>
        <v>20.45184913537156</v>
      </c>
      <c r="T144" s="1">
        <f t="shared" si="41"/>
        <v>20.772879768294814</v>
      </c>
      <c r="U144" s="1">
        <f t="shared" si="37"/>
        <v>20.512063820068033</v>
      </c>
      <c r="V144" s="1">
        <f t="shared" si="38"/>
        <v>3.4936408511166785</v>
      </c>
      <c r="W144" s="1">
        <f t="shared" si="42"/>
        <v>6.8024958849435199E-2</v>
      </c>
      <c r="X144" s="1">
        <f t="shared" si="43"/>
        <v>0.26081594822678156</v>
      </c>
      <c r="Y144" s="39">
        <f t="shared" si="39"/>
        <v>126.67672231624398</v>
      </c>
      <c r="AB144">
        <v>139</v>
      </c>
      <c r="AC144" s="7"/>
      <c r="AF144" s="7"/>
      <c r="AG144" s="10"/>
      <c r="AH144" s="1"/>
      <c r="AI144" s="10"/>
      <c r="AJ144" s="32"/>
      <c r="AL144" s="1"/>
    </row>
    <row r="145" spans="1:38" x14ac:dyDescent="0.3">
      <c r="A145">
        <v>76780</v>
      </c>
      <c r="B145">
        <v>30</v>
      </c>
      <c r="C145">
        <v>7</v>
      </c>
      <c r="D145">
        <v>1982</v>
      </c>
      <c r="E145">
        <v>20</v>
      </c>
      <c r="F145">
        <v>4</v>
      </c>
      <c r="G145">
        <v>1985</v>
      </c>
      <c r="H145">
        <v>53</v>
      </c>
      <c r="I145" s="32">
        <f t="shared" si="31"/>
        <v>12.560219778561036</v>
      </c>
      <c r="J145" s="1">
        <v>2.7260273972602702</v>
      </c>
      <c r="K145" s="32">
        <f t="shared" si="32"/>
        <v>13.531046282802986</v>
      </c>
      <c r="L145" s="32">
        <f t="shared" si="33"/>
        <v>60.303349659642116</v>
      </c>
      <c r="M145" s="32">
        <f t="shared" si="34"/>
        <v>0.22518886146640016</v>
      </c>
      <c r="N145">
        <v>1.6143621905939654</v>
      </c>
      <c r="O145" s="32">
        <f t="shared" si="40"/>
        <v>14.297126822133723</v>
      </c>
      <c r="P145" s="32">
        <f t="shared" si="35"/>
        <v>66.399085664177605</v>
      </c>
      <c r="Q145">
        <v>14</v>
      </c>
      <c r="R145">
        <v>67</v>
      </c>
      <c r="S145" s="1">
        <f t="shared" si="36"/>
        <v>12.561139827233584</v>
      </c>
      <c r="T145" s="1">
        <f t="shared" si="41"/>
        <v>14.297126822133723</v>
      </c>
      <c r="U145" s="1">
        <f t="shared" si="37"/>
        <v>13.562841265401058</v>
      </c>
      <c r="V145" s="1">
        <f t="shared" si="38"/>
        <v>2.5172727650148099</v>
      </c>
      <c r="W145" s="1">
        <f t="shared" si="42"/>
        <v>0.53917527882619998</v>
      </c>
      <c r="X145" s="1">
        <f t="shared" si="43"/>
        <v>0.73428555673266516</v>
      </c>
      <c r="Y145" s="39">
        <f t="shared" si="39"/>
        <v>60.542462324183766</v>
      </c>
      <c r="AB145">
        <v>140</v>
      </c>
      <c r="AC145" s="7"/>
      <c r="AF145" s="7"/>
      <c r="AG145" s="10"/>
      <c r="AH145" s="1"/>
      <c r="AI145" s="10"/>
      <c r="AJ145" s="32"/>
      <c r="AL145" s="1"/>
    </row>
    <row r="146" spans="1:38" x14ac:dyDescent="0.3">
      <c r="A146">
        <v>78739</v>
      </c>
      <c r="B146">
        <v>24</v>
      </c>
      <c r="C146">
        <v>7</v>
      </c>
      <c r="D146">
        <v>1982</v>
      </c>
      <c r="E146">
        <v>30</v>
      </c>
      <c r="F146">
        <v>4</v>
      </c>
      <c r="G146">
        <v>1984</v>
      </c>
      <c r="H146">
        <v>83</v>
      </c>
      <c r="I146" s="32">
        <f t="shared" si="31"/>
        <v>16.220867158288598</v>
      </c>
      <c r="J146" s="1">
        <v>1.76986301369863</v>
      </c>
      <c r="K146" s="32">
        <f t="shared" si="32"/>
        <v>16.54883287211274</v>
      </c>
      <c r="L146" s="32">
        <f t="shared" si="33"/>
        <v>86.014800229392549</v>
      </c>
      <c r="M146" s="32">
        <f t="shared" si="34"/>
        <v>0.15326335809268193</v>
      </c>
      <c r="N146">
        <v>1.6608464648015797</v>
      </c>
      <c r="O146" s="32">
        <f t="shared" si="40"/>
        <v>17.199035401898612</v>
      </c>
      <c r="P146" s="32">
        <f t="shared" si="35"/>
        <v>92.150740090839051</v>
      </c>
      <c r="Q146">
        <v>4</v>
      </c>
      <c r="R146">
        <v>87</v>
      </c>
      <c r="S146" s="1">
        <f t="shared" si="36"/>
        <v>16.222220261490186</v>
      </c>
      <c r="T146" s="1">
        <f t="shared" si="41"/>
        <v>17.199035401898612</v>
      </c>
      <c r="U146" s="1">
        <f t="shared" si="37"/>
        <v>16.591693467390744</v>
      </c>
      <c r="V146" s="1">
        <f t="shared" si="38"/>
        <v>1.7076019544335892</v>
      </c>
      <c r="W146" s="1">
        <f t="shared" si="42"/>
        <v>0.36886422541175984</v>
      </c>
      <c r="X146" s="1">
        <f t="shared" si="43"/>
        <v>0.60734193450786833</v>
      </c>
      <c r="Y146" s="39">
        <f t="shared" si="39"/>
        <v>86.399759670584316</v>
      </c>
      <c r="AB146">
        <v>141</v>
      </c>
      <c r="AC146" s="7"/>
      <c r="AF146" s="7"/>
      <c r="AG146" s="10"/>
      <c r="AH146" s="1"/>
      <c r="AI146" s="10"/>
      <c r="AJ146" s="32"/>
      <c r="AL146" s="1"/>
    </row>
    <row r="147" spans="1:38" x14ac:dyDescent="0.3">
      <c r="A147">
        <v>20617</v>
      </c>
      <c r="B147">
        <v>19</v>
      </c>
      <c r="C147">
        <v>1</v>
      </c>
      <c r="D147">
        <v>1982</v>
      </c>
      <c r="E147">
        <v>11</v>
      </c>
      <c r="F147">
        <v>6</v>
      </c>
      <c r="G147">
        <v>1986</v>
      </c>
      <c r="H147">
        <v>70</v>
      </c>
      <c r="I147" s="32">
        <f t="shared" si="31"/>
        <v>14.733200530681511</v>
      </c>
      <c r="J147" s="1">
        <v>4.3945205479452101</v>
      </c>
      <c r="K147" s="32">
        <f t="shared" si="32"/>
        <v>15.796096785191322</v>
      </c>
      <c r="L147" s="32">
        <f t="shared" si="33"/>
        <v>79.175265196974237</v>
      </c>
      <c r="M147" s="32">
        <f t="shared" si="34"/>
        <v>0.33497886525814441</v>
      </c>
      <c r="N147">
        <v>1.8202081264462322</v>
      </c>
      <c r="O147" s="32">
        <f t="shared" si="40"/>
        <v>16.849585172013171</v>
      </c>
      <c r="P147" s="32">
        <f t="shared" si="35"/>
        <v>88.826715289244703</v>
      </c>
      <c r="Q147">
        <v>34</v>
      </c>
      <c r="R147">
        <v>104</v>
      </c>
      <c r="S147" s="1">
        <f t="shared" si="36"/>
        <v>14.734372118089272</v>
      </c>
      <c r="T147" s="1">
        <f t="shared" si="41"/>
        <v>16.849585172013171</v>
      </c>
      <c r="U147" s="1">
        <f t="shared" si="37"/>
        <v>15.878196024510025</v>
      </c>
      <c r="V147" s="1">
        <f t="shared" si="38"/>
        <v>3.7652086263321864</v>
      </c>
      <c r="W147" s="1">
        <f t="shared" si="42"/>
        <v>0.94359687588688868</v>
      </c>
      <c r="X147" s="1">
        <f t="shared" si="43"/>
        <v>0.97138914750314598</v>
      </c>
      <c r="Y147" s="39">
        <f t="shared" si="39"/>
        <v>79.895758981277439</v>
      </c>
      <c r="AB147">
        <v>142</v>
      </c>
      <c r="AC147" s="7"/>
      <c r="AF147" s="7"/>
      <c r="AG147" s="10"/>
      <c r="AH147" s="1"/>
      <c r="AI147" s="10"/>
      <c r="AJ147" s="32"/>
      <c r="AL147" s="1"/>
    </row>
    <row r="148" spans="1:38" x14ac:dyDescent="0.3">
      <c r="A148">
        <v>77137</v>
      </c>
      <c r="B148">
        <v>2</v>
      </c>
      <c r="C148">
        <v>8</v>
      </c>
      <c r="D148">
        <v>1982</v>
      </c>
      <c r="E148">
        <v>7</v>
      </c>
      <c r="F148">
        <v>5</v>
      </c>
      <c r="G148">
        <v>1986</v>
      </c>
      <c r="H148">
        <v>68</v>
      </c>
      <c r="I148" s="32">
        <f t="shared" si="31"/>
        <v>14.492422502470642</v>
      </c>
      <c r="J148" s="1">
        <v>3.7643835616438399</v>
      </c>
      <c r="K148" s="32">
        <f t="shared" si="32"/>
        <v>15.459499552740986</v>
      </c>
      <c r="L148" s="32">
        <f t="shared" si="33"/>
        <v>76.208531158040671</v>
      </c>
      <c r="M148" s="32">
        <f t="shared" si="34"/>
        <v>0.29570640571589063</v>
      </c>
      <c r="N148">
        <v>-0.37704921851400286</v>
      </c>
      <c r="O148" s="32">
        <f t="shared" si="40"/>
        <v>15.254464359801691</v>
      </c>
      <c r="P148" s="32">
        <f t="shared" si="35"/>
        <v>74.429135085916698</v>
      </c>
      <c r="Q148">
        <v>18</v>
      </c>
      <c r="R148">
        <v>86</v>
      </c>
      <c r="S148" s="1">
        <f t="shared" si="36"/>
        <v>14.49356539510066</v>
      </c>
      <c r="T148" s="1">
        <f t="shared" si="41"/>
        <v>15.254464359801691</v>
      </c>
      <c r="U148" s="1">
        <f t="shared" si="37"/>
        <v>15.527161029348365</v>
      </c>
      <c r="V148" s="1">
        <f t="shared" si="38"/>
        <v>3.3170165948522996</v>
      </c>
      <c r="W148" s="1">
        <f t="shared" si="42"/>
        <v>7.4363473581847875E-2</v>
      </c>
      <c r="X148" s="1">
        <f t="shared" si="43"/>
        <v>-0.27269666954667393</v>
      </c>
      <c r="Y148" s="39">
        <f t="shared" si="39"/>
        <v>76.789236700330477</v>
      </c>
      <c r="AB148">
        <v>143</v>
      </c>
      <c r="AC148" s="7"/>
      <c r="AF148" s="7"/>
      <c r="AG148" s="10"/>
      <c r="AH148" s="1"/>
      <c r="AI148" s="10"/>
      <c r="AJ148" s="32"/>
      <c r="AL148" s="1"/>
    </row>
    <row r="149" spans="1:38" x14ac:dyDescent="0.3">
      <c r="A149">
        <v>79496</v>
      </c>
      <c r="B149">
        <v>5</v>
      </c>
      <c r="C149">
        <v>9</v>
      </c>
      <c r="D149">
        <v>1982</v>
      </c>
      <c r="E149">
        <v>19</v>
      </c>
      <c r="F149">
        <v>6</v>
      </c>
      <c r="G149">
        <v>1987</v>
      </c>
      <c r="H149">
        <v>67</v>
      </c>
      <c r="I149" s="32">
        <f t="shared" si="31"/>
        <v>14.370705543744901</v>
      </c>
      <c r="J149" s="1">
        <v>4.7890410958904104</v>
      </c>
      <c r="K149" s="32">
        <f t="shared" si="32"/>
        <v>15.59676974281685</v>
      </c>
      <c r="L149" s="32">
        <f t="shared" si="33"/>
        <v>77.411576345428642</v>
      </c>
      <c r="M149" s="32">
        <f t="shared" si="34"/>
        <v>0.35830544724264307</v>
      </c>
      <c r="N149">
        <v>1.0666235539247282</v>
      </c>
      <c r="O149" s="32">
        <f t="shared" si="40"/>
        <v>16.23523589028602</v>
      </c>
      <c r="P149" s="32">
        <f t="shared" si="35"/>
        <v>83.130956993593841</v>
      </c>
      <c r="Q149">
        <v>12</v>
      </c>
      <c r="R149">
        <v>79</v>
      </c>
      <c r="S149" s="1">
        <f t="shared" si="36"/>
        <v>14.371834005854058</v>
      </c>
      <c r="T149" s="1">
        <f t="shared" si="41"/>
        <v>16.23523589028602</v>
      </c>
      <c r="U149" s="1">
        <f t="shared" si="37"/>
        <v>15.680974180875253</v>
      </c>
      <c r="V149" s="1">
        <f t="shared" si="38"/>
        <v>4.0324441855658781</v>
      </c>
      <c r="W149" s="1">
        <f t="shared" si="42"/>
        <v>0.3072060425189454</v>
      </c>
      <c r="X149" s="1">
        <f t="shared" si="43"/>
        <v>0.55426170941076691</v>
      </c>
      <c r="Y149" s="39">
        <f t="shared" si="39"/>
        <v>78.142841334809916</v>
      </c>
      <c r="AB149">
        <v>144</v>
      </c>
      <c r="AC149" s="7"/>
      <c r="AF149" s="7"/>
      <c r="AG149" s="10"/>
      <c r="AH149" s="1"/>
      <c r="AI149" s="10"/>
      <c r="AJ149" s="32"/>
      <c r="AL149" s="1"/>
    </row>
    <row r="150" spans="1:38" x14ac:dyDescent="0.3">
      <c r="A150">
        <v>79329</v>
      </c>
      <c r="B150">
        <v>25</v>
      </c>
      <c r="C150">
        <v>8</v>
      </c>
      <c r="D150">
        <v>1982</v>
      </c>
      <c r="E150">
        <v>8</v>
      </c>
      <c r="F150">
        <v>6</v>
      </c>
      <c r="G150">
        <v>1985</v>
      </c>
      <c r="H150">
        <v>89</v>
      </c>
      <c r="I150" s="32">
        <f t="shared" si="31"/>
        <v>16.867962264113206</v>
      </c>
      <c r="J150" s="1">
        <v>2.7890410958904099</v>
      </c>
      <c r="K150" s="32">
        <f t="shared" si="32"/>
        <v>17.285453999157749</v>
      </c>
      <c r="L150" s="32">
        <f t="shared" si="33"/>
        <v>92.9821839884074</v>
      </c>
      <c r="M150" s="32">
        <f t="shared" si="34"/>
        <v>0.22968571111964217</v>
      </c>
      <c r="N150">
        <v>2.1222695067990571</v>
      </c>
      <c r="O150" s="32">
        <f t="shared" si="40"/>
        <v>18.302563060079653</v>
      </c>
      <c r="P150" s="32">
        <f t="shared" si="35"/>
        <v>103.04851670212771</v>
      </c>
      <c r="Q150">
        <v>3</v>
      </c>
      <c r="R150">
        <v>92</v>
      </c>
      <c r="S150" s="1">
        <f t="shared" si="36"/>
        <v>16.869396490572026</v>
      </c>
      <c r="T150" s="1">
        <f t="shared" si="41"/>
        <v>18.302563060079653</v>
      </c>
      <c r="U150" s="1">
        <f t="shared" si="37"/>
        <v>17.357540116364465</v>
      </c>
      <c r="V150" s="1">
        <f t="shared" si="38"/>
        <v>2.5680898824609883</v>
      </c>
      <c r="W150" s="1">
        <f t="shared" si="42"/>
        <v>0.89306836414811863</v>
      </c>
      <c r="X150" s="1">
        <f t="shared" si="43"/>
        <v>0.94502294371518758</v>
      </c>
      <c r="Y150" s="39">
        <f t="shared" si="39"/>
        <v>93.66410859729794</v>
      </c>
      <c r="AB150">
        <v>145</v>
      </c>
      <c r="AC150" s="7"/>
      <c r="AF150" s="7"/>
      <c r="AG150" s="10"/>
      <c r="AH150" s="1"/>
      <c r="AI150" s="10"/>
      <c r="AJ150" s="32"/>
      <c r="AL150" s="1"/>
    </row>
    <row r="151" spans="1:38" x14ac:dyDescent="0.3">
      <c r="A151">
        <v>79451</v>
      </c>
      <c r="B151">
        <v>4</v>
      </c>
      <c r="C151">
        <v>9</v>
      </c>
      <c r="D151">
        <v>1982</v>
      </c>
      <c r="E151">
        <v>11</v>
      </c>
      <c r="F151">
        <v>9</v>
      </c>
      <c r="G151">
        <v>1982</v>
      </c>
      <c r="H151">
        <v>81</v>
      </c>
      <c r="I151" s="32">
        <f t="shared" si="31"/>
        <v>16</v>
      </c>
      <c r="J151" s="1">
        <v>1.9178082191780799E-2</v>
      </c>
      <c r="K151" s="32">
        <f t="shared" si="32"/>
        <v>16.003932893338074</v>
      </c>
      <c r="L151" s="32">
        <f t="shared" si="33"/>
        <v>81.035399906955178</v>
      </c>
      <c r="M151" s="32">
        <f t="shared" si="34"/>
        <v>1.8142891762259552E-3</v>
      </c>
      <c r="N151">
        <v>-0.57431861932855099</v>
      </c>
      <c r="O151" s="32">
        <f t="shared" si="40"/>
        <v>15.979470094103041</v>
      </c>
      <c r="P151" s="32">
        <f t="shared" si="35"/>
        <v>80.815336216186424</v>
      </c>
      <c r="Q151">
        <v>1</v>
      </c>
      <c r="R151">
        <v>82</v>
      </c>
      <c r="S151" s="1">
        <f t="shared" si="36"/>
        <v>16.001325708024599</v>
      </c>
      <c r="T151" s="1">
        <f t="shared" si="41"/>
        <v>15.979470094103041</v>
      </c>
      <c r="U151" s="1">
        <f t="shared" si="37"/>
        <v>16.005699647984699</v>
      </c>
      <c r="V151" s="1">
        <f t="shared" si="38"/>
        <v>2.0086352005255478E-2</v>
      </c>
      <c r="W151" s="1">
        <f t="shared" si="42"/>
        <v>6.8798949683078492E-4</v>
      </c>
      <c r="X151" s="1">
        <f t="shared" si="43"/>
        <v>-2.6229553881657708E-2</v>
      </c>
      <c r="Y151" s="39">
        <f t="shared" si="39"/>
        <v>81.039365372489712</v>
      </c>
      <c r="AB151">
        <v>146</v>
      </c>
      <c r="AC151" s="7"/>
      <c r="AF151" s="7"/>
      <c r="AG151" s="10"/>
      <c r="AH151" s="1"/>
      <c r="AI151" s="10"/>
      <c r="AJ151" s="32"/>
      <c r="AL151" s="1"/>
    </row>
    <row r="152" spans="1:38" x14ac:dyDescent="0.3">
      <c r="A152">
        <v>78928</v>
      </c>
      <c r="B152">
        <v>28</v>
      </c>
      <c r="C152">
        <v>7</v>
      </c>
      <c r="D152">
        <v>1982</v>
      </c>
      <c r="E152">
        <v>29</v>
      </c>
      <c r="F152">
        <v>4</v>
      </c>
      <c r="G152">
        <v>1989</v>
      </c>
      <c r="H152">
        <v>68</v>
      </c>
      <c r="I152" s="32">
        <f t="shared" si="31"/>
        <v>14.492422502470642</v>
      </c>
      <c r="J152" s="1">
        <v>6.7589041095890403</v>
      </c>
      <c r="K152" s="32">
        <f t="shared" si="32"/>
        <v>16.105994136851326</v>
      </c>
      <c r="L152" s="32">
        <f t="shared" si="33"/>
        <v>81.956755920923641</v>
      </c>
      <c r="M152" s="32">
        <f t="shared" si="34"/>
        <v>0.46164263558048085</v>
      </c>
      <c r="N152">
        <v>-1.4420220395550132</v>
      </c>
      <c r="O152" s="32">
        <f t="shared" si="40"/>
        <v>15.126222520361033</v>
      </c>
      <c r="P152" s="32">
        <f t="shared" si="35"/>
        <v>73.326874454230349</v>
      </c>
      <c r="Q152">
        <v>27</v>
      </c>
      <c r="R152">
        <v>95</v>
      </c>
      <c r="S152" s="1">
        <f t="shared" si="36"/>
        <v>14.49356539510066</v>
      </c>
      <c r="T152" s="1">
        <f t="shared" si="41"/>
        <v>15.126222520361033</v>
      </c>
      <c r="U152" s="1">
        <f t="shared" si="37"/>
        <v>16.226948665029695</v>
      </c>
      <c r="V152" s="1">
        <f t="shared" si="38"/>
        <v>5.2265212209711747</v>
      </c>
      <c r="W152" s="1">
        <f t="shared" si="42"/>
        <v>1.2115980455571378</v>
      </c>
      <c r="X152" s="1">
        <f t="shared" si="43"/>
        <v>-1.1007261446686627</v>
      </c>
      <c r="Y152" s="39">
        <f t="shared" si="39"/>
        <v>83.043078036895437</v>
      </c>
      <c r="AB152">
        <v>147</v>
      </c>
      <c r="AC152" s="7"/>
      <c r="AF152" s="7"/>
      <c r="AG152" s="10"/>
      <c r="AH152" s="1"/>
      <c r="AI152" s="10"/>
      <c r="AJ152" s="32"/>
      <c r="AL152" s="1"/>
    </row>
    <row r="153" spans="1:38" x14ac:dyDescent="0.3">
      <c r="A153">
        <v>22774</v>
      </c>
      <c r="B153">
        <v>28</v>
      </c>
      <c r="C153">
        <v>7</v>
      </c>
      <c r="D153">
        <v>1982</v>
      </c>
      <c r="E153">
        <v>9</v>
      </c>
      <c r="F153">
        <v>5</v>
      </c>
      <c r="G153">
        <v>1983</v>
      </c>
      <c r="H153">
        <v>73</v>
      </c>
      <c r="I153" s="32">
        <f t="shared" si="31"/>
        <v>15.088007490635061</v>
      </c>
      <c r="J153" s="1">
        <v>0.78082191780821897</v>
      </c>
      <c r="K153" s="32">
        <f t="shared" si="32"/>
        <v>15.280849817140615</v>
      </c>
      <c r="L153" s="32">
        <f t="shared" si="33"/>
        <v>74.656942600642182</v>
      </c>
      <c r="M153" s="32">
        <f t="shared" si="34"/>
        <v>7.1056315085784014E-2</v>
      </c>
      <c r="N153">
        <v>1.6217290976783261</v>
      </c>
      <c r="O153" s="32">
        <f t="shared" si="40"/>
        <v>15.713144257165464</v>
      </c>
      <c r="P153" s="32">
        <f t="shared" si="35"/>
        <v>78.438869868788458</v>
      </c>
      <c r="Q153">
        <v>8</v>
      </c>
      <c r="R153">
        <v>81</v>
      </c>
      <c r="S153" s="1">
        <f t="shared" si="36"/>
        <v>15.089221716937686</v>
      </c>
      <c r="T153" s="1">
        <f t="shared" si="41"/>
        <v>15.713144257165464</v>
      </c>
      <c r="U153" s="1">
        <f t="shared" si="37"/>
        <v>15.297368739233178</v>
      </c>
      <c r="V153" s="1">
        <f t="shared" si="38"/>
        <v>0.78888803588688972</v>
      </c>
      <c r="W153" s="1">
        <f t="shared" si="42"/>
        <v>0.17286928131186027</v>
      </c>
      <c r="X153" s="1">
        <f t="shared" si="43"/>
        <v>0.41577551793228551</v>
      </c>
      <c r="Y153" s="39">
        <f t="shared" si="39"/>
        <v>74.789022262839183</v>
      </c>
      <c r="AB153">
        <v>148</v>
      </c>
      <c r="AC153" s="7"/>
      <c r="AF153" s="7"/>
      <c r="AG153" s="10"/>
      <c r="AH153" s="1"/>
      <c r="AI153" s="10"/>
      <c r="AJ153" s="32"/>
      <c r="AL153" s="1"/>
    </row>
    <row r="154" spans="1:38" x14ac:dyDescent="0.3">
      <c r="A154">
        <v>78939</v>
      </c>
      <c r="B154">
        <v>30</v>
      </c>
      <c r="C154">
        <v>7</v>
      </c>
      <c r="D154">
        <v>1982</v>
      </c>
      <c r="E154">
        <v>2</v>
      </c>
      <c r="F154">
        <v>6</v>
      </c>
      <c r="G154">
        <v>1984</v>
      </c>
      <c r="H154">
        <v>56</v>
      </c>
      <c r="I154" s="32">
        <f t="shared" si="31"/>
        <v>12.966629547095765</v>
      </c>
      <c r="J154" s="1">
        <v>1.84383561643836</v>
      </c>
      <c r="K154" s="32">
        <f t="shared" si="32"/>
        <v>13.601333390537537</v>
      </c>
      <c r="L154" s="32">
        <f t="shared" si="33"/>
        <v>60.850400890675367</v>
      </c>
      <c r="M154" s="32">
        <f t="shared" si="34"/>
        <v>0.15908305339624854</v>
      </c>
      <c r="N154">
        <v>-1.1809652278316207</v>
      </c>
      <c r="O154" s="32">
        <f t="shared" si="40"/>
        <v>13.130302846896246</v>
      </c>
      <c r="P154" s="32">
        <f t="shared" si="35"/>
        <v>57.23151605969916</v>
      </c>
      <c r="Q154">
        <v>4</v>
      </c>
      <c r="R154">
        <v>60</v>
      </c>
      <c r="S154" s="1">
        <f t="shared" si="36"/>
        <v>12.967595328934028</v>
      </c>
      <c r="T154" s="1">
        <f t="shared" si="41"/>
        <v>13.130302846896246</v>
      </c>
      <c r="U154" s="1">
        <f t="shared" si="37"/>
        <v>13.625103356843407</v>
      </c>
      <c r="V154" s="1">
        <f t="shared" si="38"/>
        <v>1.7729030268856618</v>
      </c>
      <c r="W154" s="1">
        <f t="shared" si="42"/>
        <v>0.24482754464397108</v>
      </c>
      <c r="X154" s="1">
        <f t="shared" si="43"/>
        <v>-0.49480050994716152</v>
      </c>
      <c r="Y154" s="39">
        <f t="shared" si="39"/>
        <v>61.027830578682995</v>
      </c>
      <c r="AB154">
        <v>149</v>
      </c>
      <c r="AC154" s="7"/>
      <c r="AF154" s="7"/>
      <c r="AG154" s="10"/>
      <c r="AH154" s="1"/>
      <c r="AI154" s="10"/>
      <c r="AJ154" s="32"/>
      <c r="AL154" s="1"/>
    </row>
    <row r="155" spans="1:38" x14ac:dyDescent="0.3">
      <c r="A155">
        <v>76774</v>
      </c>
      <c r="B155">
        <v>30</v>
      </c>
      <c r="C155">
        <v>7</v>
      </c>
      <c r="D155">
        <v>1982</v>
      </c>
      <c r="E155">
        <v>14</v>
      </c>
      <c r="F155">
        <v>7</v>
      </c>
      <c r="G155">
        <v>1987</v>
      </c>
      <c r="H155">
        <v>60</v>
      </c>
      <c r="I155" s="32">
        <f t="shared" si="31"/>
        <v>13.491933384829668</v>
      </c>
      <c r="J155" s="1">
        <v>4.9589041095890396</v>
      </c>
      <c r="K155" s="32">
        <f t="shared" si="32"/>
        <v>14.953555697082644</v>
      </c>
      <c r="L155" s="32">
        <f t="shared" si="33"/>
        <v>71.85576269352083</v>
      </c>
      <c r="M155" s="32">
        <f t="shared" si="34"/>
        <v>0.36806171537096066</v>
      </c>
      <c r="N155">
        <v>-1.1208840078325011</v>
      </c>
      <c r="O155" s="32">
        <f t="shared" si="40"/>
        <v>14.273536777541176</v>
      </c>
      <c r="P155" s="32">
        <f t="shared" si="35"/>
        <v>66.206999812496292</v>
      </c>
      <c r="Q155">
        <v>36</v>
      </c>
      <c r="R155">
        <v>96</v>
      </c>
      <c r="S155" s="1">
        <f t="shared" si="36"/>
        <v>13.492959197163596</v>
      </c>
      <c r="T155" s="1">
        <f t="shared" si="41"/>
        <v>14.273536777541176</v>
      </c>
      <c r="U155" s="1">
        <f t="shared" si="37"/>
        <v>15.027933529590378</v>
      </c>
      <c r="V155" s="1">
        <f t="shared" si="38"/>
        <v>4.1444511299150806</v>
      </c>
      <c r="W155" s="1">
        <f t="shared" si="42"/>
        <v>0.56911445950238426</v>
      </c>
      <c r="X155" s="1">
        <f t="shared" si="43"/>
        <v>-0.75439675204920142</v>
      </c>
      <c r="Y155" s="39">
        <f t="shared" si="39"/>
        <v>72.477355508479263</v>
      </c>
      <c r="AB155">
        <v>150</v>
      </c>
      <c r="AC155" s="7"/>
      <c r="AF155" s="7"/>
      <c r="AG155" s="10"/>
      <c r="AH155" s="1"/>
      <c r="AI155" s="10"/>
      <c r="AJ155" s="32"/>
      <c r="AL155" s="1"/>
    </row>
    <row r="156" spans="1:38" x14ac:dyDescent="0.3">
      <c r="A156">
        <v>79380</v>
      </c>
      <c r="B156">
        <v>30</v>
      </c>
      <c r="C156">
        <v>8</v>
      </c>
      <c r="D156">
        <v>1982</v>
      </c>
      <c r="E156">
        <v>20</v>
      </c>
      <c r="F156">
        <v>6</v>
      </c>
      <c r="G156">
        <v>1983</v>
      </c>
      <c r="H156">
        <v>83</v>
      </c>
      <c r="I156" s="32">
        <f t="shared" si="31"/>
        <v>16.220867158288598</v>
      </c>
      <c r="J156" s="1">
        <v>0.80547945205479499</v>
      </c>
      <c r="K156" s="32">
        <f t="shared" si="32"/>
        <v>16.373823157955762</v>
      </c>
      <c r="L156" s="32">
        <f t="shared" si="33"/>
        <v>84.399344359957865</v>
      </c>
      <c r="M156" s="32">
        <f t="shared" si="34"/>
        <v>7.3208805211673944E-2</v>
      </c>
      <c r="N156">
        <v>-0.44642092689173296</v>
      </c>
      <c r="O156" s="32">
        <f t="shared" si="40"/>
        <v>16.253034486535444</v>
      </c>
      <c r="P156" s="32">
        <f t="shared" si="35"/>
        <v>83.293316991663062</v>
      </c>
      <c r="Q156">
        <v>3</v>
      </c>
      <c r="R156">
        <v>86</v>
      </c>
      <c r="S156" s="1">
        <f t="shared" si="36"/>
        <v>16.222220261490186</v>
      </c>
      <c r="T156" s="1">
        <f t="shared" si="41"/>
        <v>16.253034486535444</v>
      </c>
      <c r="U156" s="1">
        <f t="shared" si="37"/>
        <v>16.394231217638072</v>
      </c>
      <c r="V156" s="1">
        <f t="shared" si="38"/>
        <v>0.81285845124065059</v>
      </c>
      <c r="W156" s="1">
        <f t="shared" si="42"/>
        <v>1.9936516874067865E-2</v>
      </c>
      <c r="X156" s="1">
        <f t="shared" si="43"/>
        <v>-0.14119673110262809</v>
      </c>
      <c r="Y156" s="39">
        <f t="shared" si="39"/>
        <v>84.574294187941874</v>
      </c>
      <c r="AB156">
        <v>151</v>
      </c>
      <c r="AC156" s="7"/>
      <c r="AF156" s="7"/>
      <c r="AG156" s="10"/>
      <c r="AH156" s="1"/>
      <c r="AI156" s="10"/>
      <c r="AJ156" s="32"/>
      <c r="AL156" s="1"/>
    </row>
    <row r="157" spans="1:38" x14ac:dyDescent="0.3">
      <c r="A157">
        <v>79395</v>
      </c>
      <c r="B157">
        <v>31</v>
      </c>
      <c r="C157">
        <v>8</v>
      </c>
      <c r="D157">
        <v>1982</v>
      </c>
      <c r="E157">
        <v>9</v>
      </c>
      <c r="F157">
        <v>2</v>
      </c>
      <c r="G157">
        <v>1983</v>
      </c>
      <c r="H157">
        <v>83</v>
      </c>
      <c r="I157" s="32">
        <f t="shared" si="31"/>
        <v>16.220867158288598</v>
      </c>
      <c r="J157" s="1">
        <v>0.44383561643835601</v>
      </c>
      <c r="K157" s="32">
        <f t="shared" si="32"/>
        <v>16.305930169263007</v>
      </c>
      <c r="L157" s="32">
        <f t="shared" si="33"/>
        <v>83.776769840483382</v>
      </c>
      <c r="M157" s="32">
        <f t="shared" si="34"/>
        <v>4.1086683733681781E-2</v>
      </c>
      <c r="N157">
        <v>-1.2726832210319117</v>
      </c>
      <c r="O157" s="32">
        <f t="shared" si="40"/>
        <v>16.047959183635164</v>
      </c>
      <c r="P157" s="32">
        <f t="shared" si="35"/>
        <v>81.432207673540219</v>
      </c>
      <c r="Q157">
        <v>1</v>
      </c>
      <c r="R157">
        <v>84</v>
      </c>
      <c r="S157" s="1">
        <f t="shared" si="36"/>
        <v>16.222220261490186</v>
      </c>
      <c r="T157" s="1">
        <f t="shared" si="41"/>
        <v>16.047959183635164</v>
      </c>
      <c r="U157" s="1">
        <f t="shared" si="37"/>
        <v>16.317816389526794</v>
      </c>
      <c r="V157" s="1">
        <f t="shared" si="38"/>
        <v>0.45559467720866698</v>
      </c>
      <c r="W157" s="1">
        <f t="shared" si="42"/>
        <v>7.2822911571637089E-2</v>
      </c>
      <c r="X157" s="1">
        <f t="shared" si="43"/>
        <v>-0.26985720589162909</v>
      </c>
      <c r="Y157" s="39">
        <f t="shared" si="39"/>
        <v>83.87309782317449</v>
      </c>
      <c r="AB157">
        <v>152</v>
      </c>
      <c r="AC157" s="7"/>
      <c r="AF157" s="7"/>
      <c r="AG157" s="10"/>
      <c r="AH157" s="1"/>
      <c r="AI157" s="10"/>
      <c r="AJ157" s="32"/>
      <c r="AL157" s="1"/>
    </row>
    <row r="158" spans="1:38" x14ac:dyDescent="0.3">
      <c r="A158">
        <v>79277</v>
      </c>
      <c r="B158">
        <v>17</v>
      </c>
      <c r="C158">
        <v>8</v>
      </c>
      <c r="D158">
        <v>1982</v>
      </c>
      <c r="E158">
        <v>20</v>
      </c>
      <c r="F158">
        <v>8</v>
      </c>
      <c r="G158">
        <v>1985</v>
      </c>
      <c r="H158">
        <v>131</v>
      </c>
      <c r="I158" s="32">
        <f t="shared" si="31"/>
        <v>20.891046284519195</v>
      </c>
      <c r="J158" s="1">
        <v>3.0109589041095899</v>
      </c>
      <c r="K158" s="32">
        <f t="shared" si="32"/>
        <v>20.763531492517359</v>
      </c>
      <c r="L158" s="32">
        <f t="shared" si="33"/>
        <v>129.54459150270739</v>
      </c>
      <c r="M158" s="32">
        <f t="shared" si="34"/>
        <v>0.24529298049670178</v>
      </c>
      <c r="N158">
        <v>2.8396607376635075</v>
      </c>
      <c r="O158" s="32">
        <f t="shared" si="40"/>
        <v>22.169932007905249</v>
      </c>
      <c r="P158" s="32">
        <f t="shared" si="35"/>
        <v>146.04640331669066</v>
      </c>
      <c r="Q158">
        <v>10</v>
      </c>
      <c r="R158">
        <v>141</v>
      </c>
      <c r="S158" s="1">
        <f t="shared" si="36"/>
        <v>20.893011387852905</v>
      </c>
      <c r="T158" s="1">
        <f t="shared" si="41"/>
        <v>22.169932007905249</v>
      </c>
      <c r="U158" s="1">
        <f t="shared" si="37"/>
        <v>20.880437721110106</v>
      </c>
      <c r="V158" s="1">
        <f t="shared" si="38"/>
        <v>2.744648599678253</v>
      </c>
      <c r="W158" s="1">
        <f t="shared" si="42"/>
        <v>1.662795515677316</v>
      </c>
      <c r="X158" s="1">
        <f t="shared" si="43"/>
        <v>1.2894942867951436</v>
      </c>
      <c r="Y158" s="39">
        <f t="shared" si="39"/>
        <v>130.85614706289928</v>
      </c>
      <c r="AB158">
        <v>153</v>
      </c>
      <c r="AC158" s="7"/>
      <c r="AF158" s="7"/>
      <c r="AG158" s="10"/>
      <c r="AH158" s="1"/>
      <c r="AI158" s="10"/>
      <c r="AJ158" s="32"/>
      <c r="AL158" s="1"/>
    </row>
    <row r="159" spans="1:38" x14ac:dyDescent="0.3">
      <c r="A159">
        <v>79320</v>
      </c>
      <c r="B159">
        <v>24</v>
      </c>
      <c r="C159">
        <v>8</v>
      </c>
      <c r="D159">
        <v>1982</v>
      </c>
      <c r="E159">
        <v>24</v>
      </c>
      <c r="F159">
        <v>8</v>
      </c>
      <c r="G159">
        <v>1987</v>
      </c>
      <c r="H159">
        <v>83</v>
      </c>
      <c r="I159" s="32">
        <f t="shared" si="31"/>
        <v>16.220867158288598</v>
      </c>
      <c r="J159" s="1">
        <v>5.0027397260274</v>
      </c>
      <c r="K159" s="32">
        <f t="shared" si="32"/>
        <v>17.076189957454137</v>
      </c>
      <c r="L159" s="32">
        <f t="shared" si="33"/>
        <v>90.975255823218518</v>
      </c>
      <c r="M159" s="32">
        <f t="shared" si="34"/>
        <v>0.37055198548529311</v>
      </c>
      <c r="N159">
        <v>-0.73537421485525556</v>
      </c>
      <c r="O159" s="32">
        <f t="shared" si="40"/>
        <v>16.628545749009103</v>
      </c>
      <c r="P159" s="32">
        <f t="shared" si="35"/>
        <v>86.755679180731278</v>
      </c>
      <c r="Q159">
        <v>11</v>
      </c>
      <c r="R159">
        <v>94</v>
      </c>
      <c r="S159" s="1">
        <f t="shared" si="36"/>
        <v>16.222220261490186</v>
      </c>
      <c r="T159" s="1">
        <f t="shared" si="41"/>
        <v>16.628545749009103</v>
      </c>
      <c r="U159" s="1">
        <f t="shared" si="37"/>
        <v>17.191297342477718</v>
      </c>
      <c r="V159" s="1">
        <f t="shared" si="38"/>
        <v>4.1730635596694103</v>
      </c>
      <c r="W159" s="1">
        <f t="shared" si="42"/>
        <v>0.31668935595146547</v>
      </c>
      <c r="X159" s="1">
        <f t="shared" si="43"/>
        <v>-0.56275159346861514</v>
      </c>
      <c r="Y159" s="39">
        <f t="shared" si="39"/>
        <v>92.062319956557829</v>
      </c>
      <c r="AB159">
        <v>154</v>
      </c>
      <c r="AC159" s="7"/>
      <c r="AF159" s="7"/>
      <c r="AG159" s="10"/>
      <c r="AH159" s="1"/>
      <c r="AI159" s="10"/>
      <c r="AJ159" s="32"/>
      <c r="AL159" s="1"/>
    </row>
    <row r="160" spans="1:38" x14ac:dyDescent="0.3">
      <c r="A160">
        <v>20606</v>
      </c>
      <c r="B160">
        <v>19</v>
      </c>
      <c r="C160">
        <v>1</v>
      </c>
      <c r="D160">
        <v>1982</v>
      </c>
      <c r="E160">
        <v>28</v>
      </c>
      <c r="F160">
        <v>4</v>
      </c>
      <c r="G160">
        <v>1984</v>
      </c>
      <c r="H160">
        <v>88</v>
      </c>
      <c r="I160" s="32">
        <f t="shared" si="31"/>
        <v>16.761663039293719</v>
      </c>
      <c r="J160" s="1">
        <v>2.2739726027397298</v>
      </c>
      <c r="K160" s="32">
        <f t="shared" si="32"/>
        <v>17.118184815069437</v>
      </c>
      <c r="L160" s="32">
        <f t="shared" si="33"/>
        <v>91.376247655787907</v>
      </c>
      <c r="M160" s="32">
        <f t="shared" si="34"/>
        <v>0.19206228883989238</v>
      </c>
      <c r="N160">
        <v>9.7421661848784424E-2</v>
      </c>
      <c r="O160" s="32">
        <f t="shared" si="40"/>
        <v>17.160879772383417</v>
      </c>
      <c r="P160" s="32">
        <f t="shared" si="35"/>
        <v>91.784828412932995</v>
      </c>
      <c r="Q160">
        <v>19</v>
      </c>
      <c r="R160">
        <v>107</v>
      </c>
      <c r="S160" s="1">
        <f t="shared" si="36"/>
        <v>16.763083852596107</v>
      </c>
      <c r="T160" s="1">
        <f t="shared" si="41"/>
        <v>17.160879772383417</v>
      </c>
      <c r="U160" s="1">
        <f t="shared" si="37"/>
        <v>17.176783190702942</v>
      </c>
      <c r="V160" s="1">
        <f t="shared" si="38"/>
        <v>2.1436459472135905</v>
      </c>
      <c r="W160" s="1">
        <f t="shared" si="42"/>
        <v>2.5291871424578988E-4</v>
      </c>
      <c r="X160" s="1">
        <f t="shared" si="43"/>
        <v>-1.5903418319524576E-2</v>
      </c>
      <c r="Y160" s="39">
        <f t="shared" si="39"/>
        <v>91.923128333640932</v>
      </c>
      <c r="AB160">
        <v>155</v>
      </c>
      <c r="AC160" s="7"/>
      <c r="AF160" s="7"/>
      <c r="AG160" s="10"/>
      <c r="AH160" s="1"/>
      <c r="AI160" s="10"/>
      <c r="AJ160" s="32"/>
      <c r="AL160" s="1"/>
    </row>
    <row r="161" spans="1:38" x14ac:dyDescent="0.3">
      <c r="A161">
        <v>22953</v>
      </c>
      <c r="B161">
        <v>29</v>
      </c>
      <c r="C161">
        <v>7</v>
      </c>
      <c r="D161">
        <v>1982</v>
      </c>
      <c r="E161">
        <v>27</v>
      </c>
      <c r="F161">
        <v>1</v>
      </c>
      <c r="G161">
        <v>1983</v>
      </c>
      <c r="H161">
        <v>77</v>
      </c>
      <c r="I161" s="32">
        <f t="shared" si="31"/>
        <v>15.549928774784245</v>
      </c>
      <c r="J161" s="1">
        <v>0.49863013698630099</v>
      </c>
      <c r="K161" s="32">
        <f t="shared" si="32"/>
        <v>15.662302318111697</v>
      </c>
      <c r="L161" s="32">
        <f t="shared" si="33"/>
        <v>77.989230794093473</v>
      </c>
      <c r="M161" s="32">
        <f t="shared" si="34"/>
        <v>4.6030603868319482E-2</v>
      </c>
      <c r="N161">
        <v>0.75080038186570164</v>
      </c>
      <c r="O161" s="32">
        <f t="shared" si="40"/>
        <v>15.823384617743134</v>
      </c>
      <c r="P161" s="32">
        <f t="shared" si="35"/>
        <v>79.418259808000641</v>
      </c>
      <c r="Q161">
        <v>1</v>
      </c>
      <c r="R161">
        <v>78</v>
      </c>
      <c r="S161" s="1">
        <f t="shared" si="36"/>
        <v>15.551199132657898</v>
      </c>
      <c r="T161" s="1">
        <f t="shared" si="41"/>
        <v>15.823384617743134</v>
      </c>
      <c r="U161" s="1">
        <f t="shared" si="37"/>
        <v>15.67418436560223</v>
      </c>
      <c r="V161" s="1">
        <f t="shared" si="38"/>
        <v>0.51051869624458701</v>
      </c>
      <c r="W161" s="1">
        <f t="shared" si="42"/>
        <v>2.2260715238909375E-2</v>
      </c>
      <c r="X161" s="1">
        <f t="shared" si="43"/>
        <v>0.14920025214090415</v>
      </c>
      <c r="Y161" s="39">
        <f t="shared" si="39"/>
        <v>78.082839311613455</v>
      </c>
      <c r="AB161">
        <v>156</v>
      </c>
      <c r="AC161" s="7"/>
      <c r="AF161" s="7"/>
      <c r="AG161" s="10"/>
      <c r="AH161" s="1"/>
      <c r="AI161" s="10"/>
      <c r="AJ161" s="32"/>
      <c r="AL161" s="1"/>
    </row>
    <row r="162" spans="1:38" x14ac:dyDescent="0.3">
      <c r="A162">
        <v>76699</v>
      </c>
      <c r="B162">
        <v>30</v>
      </c>
      <c r="C162">
        <v>7</v>
      </c>
      <c r="D162">
        <v>1982</v>
      </c>
      <c r="E162">
        <v>13</v>
      </c>
      <c r="F162">
        <v>5</v>
      </c>
      <c r="G162">
        <v>1988</v>
      </c>
      <c r="H162">
        <v>71</v>
      </c>
      <c r="I162" s="32">
        <f t="shared" si="31"/>
        <v>14.852299546352718</v>
      </c>
      <c r="J162" s="1">
        <v>5.7917808219178104</v>
      </c>
      <c r="K162" s="32">
        <f t="shared" si="32"/>
        <v>16.175336144977162</v>
      </c>
      <c r="L162" s="32">
        <f t="shared" si="33"/>
        <v>82.58571099572832</v>
      </c>
      <c r="M162" s="32">
        <f t="shared" si="34"/>
        <v>0.41351390361240525</v>
      </c>
      <c r="N162">
        <v>0.12960640560777392</v>
      </c>
      <c r="O162" s="32">
        <f t="shared" si="40"/>
        <v>16.258679604680172</v>
      </c>
      <c r="P162" s="32">
        <f t="shared" si="35"/>
        <v>83.34484522659092</v>
      </c>
      <c r="Q162">
        <v>9</v>
      </c>
      <c r="R162">
        <v>80</v>
      </c>
      <c r="S162" s="1">
        <f t="shared" si="36"/>
        <v>14.853485399691037</v>
      </c>
      <c r="T162" s="1">
        <f t="shared" si="41"/>
        <v>16.258679604680172</v>
      </c>
      <c r="U162" s="1">
        <f t="shared" si="37"/>
        <v>16.28500103084631</v>
      </c>
      <c r="V162" s="1">
        <f t="shared" si="38"/>
        <v>4.6682003745392695</v>
      </c>
      <c r="W162" s="1">
        <f t="shared" si="42"/>
        <v>6.9281747541946441E-4</v>
      </c>
      <c r="X162" s="1">
        <f t="shared" si="43"/>
        <v>-2.6321426166138195E-2</v>
      </c>
      <c r="Y162" s="39">
        <f t="shared" si="39"/>
        <v>83.572873954913689</v>
      </c>
      <c r="AB162">
        <v>157</v>
      </c>
      <c r="AC162" s="7"/>
      <c r="AF162" s="7"/>
      <c r="AG162" s="10"/>
      <c r="AH162" s="1"/>
      <c r="AI162" s="10"/>
      <c r="AJ162" s="32"/>
      <c r="AL162" s="1"/>
    </row>
    <row r="163" spans="1:38" x14ac:dyDescent="0.3">
      <c r="A163">
        <v>22934</v>
      </c>
      <c r="B163">
        <v>28</v>
      </c>
      <c r="C163">
        <v>7</v>
      </c>
      <c r="D163">
        <v>1982</v>
      </c>
      <c r="E163">
        <v>10</v>
      </c>
      <c r="F163">
        <v>7</v>
      </c>
      <c r="G163">
        <v>1984</v>
      </c>
      <c r="H163">
        <v>65</v>
      </c>
      <c r="I163" s="32">
        <f t="shared" si="31"/>
        <v>14.124515496597098</v>
      </c>
      <c r="J163" s="1">
        <v>1.95342465753425</v>
      </c>
      <c r="K163" s="32">
        <f t="shared" si="32"/>
        <v>14.684692106539547</v>
      </c>
      <c r="L163" s="32">
        <f t="shared" si="33"/>
        <v>69.594737672505772</v>
      </c>
      <c r="M163" s="32">
        <f t="shared" si="34"/>
        <v>0.16762405154773879</v>
      </c>
      <c r="N163">
        <v>-0.25041003937076312</v>
      </c>
      <c r="O163" s="32">
        <f t="shared" si="40"/>
        <v>14.582169437655738</v>
      </c>
      <c r="P163" s="32">
        <f t="shared" si="35"/>
        <v>68.742085814780992</v>
      </c>
      <c r="Q163">
        <v>8</v>
      </c>
      <c r="R163">
        <v>73</v>
      </c>
      <c r="S163" s="1">
        <f t="shared" si="36"/>
        <v>14.125614927041669</v>
      </c>
      <c r="T163" s="1">
        <f t="shared" si="41"/>
        <v>14.582169437655738</v>
      </c>
      <c r="U163" s="1">
        <f t="shared" si="37"/>
        <v>14.717674046332528</v>
      </c>
      <c r="V163" s="1">
        <f t="shared" si="38"/>
        <v>1.8688046634305959</v>
      </c>
      <c r="W163" s="1">
        <f t="shared" si="42"/>
        <v>1.8361498972649971E-2</v>
      </c>
      <c r="X163" s="1">
        <f t="shared" si="43"/>
        <v>-0.13550460867678993</v>
      </c>
      <c r="Y163" s="39">
        <f t="shared" si="39"/>
        <v>69.860380298589035</v>
      </c>
      <c r="AB163">
        <v>158</v>
      </c>
      <c r="AC163" s="7"/>
      <c r="AF163" s="7"/>
      <c r="AG163" s="10"/>
      <c r="AH163" s="1"/>
      <c r="AI163" s="10"/>
      <c r="AJ163" s="32"/>
      <c r="AL163" s="1"/>
    </row>
    <row r="164" spans="1:38" x14ac:dyDescent="0.3">
      <c r="A164">
        <v>20673</v>
      </c>
      <c r="B164">
        <v>23</v>
      </c>
      <c r="C164">
        <v>1</v>
      </c>
      <c r="D164">
        <v>1982</v>
      </c>
      <c r="E164">
        <v>28</v>
      </c>
      <c r="F164">
        <v>5</v>
      </c>
      <c r="G164">
        <v>1984</v>
      </c>
      <c r="H164">
        <v>95</v>
      </c>
      <c r="I164" s="32">
        <f t="shared" si="31"/>
        <v>17.493588689617926</v>
      </c>
      <c r="J164" s="1">
        <v>2.34520547945205</v>
      </c>
      <c r="K164" s="32">
        <f t="shared" si="32"/>
        <v>17.777664526066182</v>
      </c>
      <c r="L164" s="32">
        <f t="shared" si="33"/>
        <v>97.789003526404173</v>
      </c>
      <c r="M164" s="32">
        <f t="shared" si="34"/>
        <v>0.19738473526007114</v>
      </c>
      <c r="N164">
        <v>1.3467979442793876</v>
      </c>
      <c r="O164" s="32">
        <f t="shared" si="40"/>
        <v>18.376019942305582</v>
      </c>
      <c r="P164" s="32">
        <f t="shared" si="35"/>
        <v>103.7955471723087</v>
      </c>
      <c r="Q164">
        <v>20</v>
      </c>
      <c r="R164">
        <v>115</v>
      </c>
      <c r="S164" s="1">
        <f t="shared" si="36"/>
        <v>17.495102536494187</v>
      </c>
      <c r="T164" s="1">
        <f t="shared" si="41"/>
        <v>18.376019942305582</v>
      </c>
      <c r="U164" s="1">
        <f t="shared" si="37"/>
        <v>17.843790774957021</v>
      </c>
      <c r="V164" s="1">
        <f t="shared" si="38"/>
        <v>2.2035920504067126</v>
      </c>
      <c r="W164" s="1">
        <f t="shared" si="42"/>
        <v>0.28326788657654239</v>
      </c>
      <c r="X164" s="1">
        <f t="shared" si="43"/>
        <v>0.53222916734856085</v>
      </c>
      <c r="Y164" s="39">
        <f t="shared" si="39"/>
        <v>98.428543330974421</v>
      </c>
      <c r="AB164">
        <v>159</v>
      </c>
      <c r="AC164" s="7"/>
      <c r="AF164" s="7"/>
      <c r="AG164" s="10"/>
      <c r="AH164" s="1"/>
      <c r="AI164" s="10"/>
      <c r="AJ164" s="32"/>
      <c r="AL164" s="1"/>
    </row>
    <row r="165" spans="1:38" x14ac:dyDescent="0.3">
      <c r="A165">
        <v>79545</v>
      </c>
      <c r="B165">
        <v>5</v>
      </c>
      <c r="C165">
        <v>9</v>
      </c>
      <c r="D165">
        <v>1982</v>
      </c>
      <c r="E165">
        <v>14</v>
      </c>
      <c r="F165">
        <v>7</v>
      </c>
      <c r="G165">
        <v>1987</v>
      </c>
      <c r="H165">
        <v>71</v>
      </c>
      <c r="I165" s="32">
        <f t="shared" si="31"/>
        <v>14.852299546352718</v>
      </c>
      <c r="J165" s="1">
        <v>4.8575342465753399</v>
      </c>
      <c r="K165" s="32">
        <f t="shared" si="32"/>
        <v>15.987593576265388</v>
      </c>
      <c r="L165" s="32">
        <f t="shared" si="33"/>
        <v>80.88838066622597</v>
      </c>
      <c r="M165" s="32">
        <f t="shared" si="34"/>
        <v>0.36225989279510074</v>
      </c>
      <c r="N165">
        <v>1.1704287317115813</v>
      </c>
      <c r="O165" s="32">
        <f t="shared" si="40"/>
        <v>16.69205156977926</v>
      </c>
      <c r="P165" s="32">
        <f t="shared" si="35"/>
        <v>87.348197971821818</v>
      </c>
      <c r="Q165">
        <v>14</v>
      </c>
      <c r="R165">
        <v>85</v>
      </c>
      <c r="S165" s="1">
        <f t="shared" si="36"/>
        <v>14.853485399691037</v>
      </c>
      <c r="T165" s="1">
        <f t="shared" si="41"/>
        <v>16.69205156977926</v>
      </c>
      <c r="U165" s="1">
        <f t="shared" si="37"/>
        <v>16.079912631197523</v>
      </c>
      <c r="V165" s="1">
        <f t="shared" si="38"/>
        <v>4.0778261381022247</v>
      </c>
      <c r="W165" s="1">
        <f t="shared" si="42"/>
        <v>0.37471408012797514</v>
      </c>
      <c r="X165" s="1">
        <f t="shared" si="43"/>
        <v>0.61213893858173662</v>
      </c>
      <c r="Y165" s="39">
        <f t="shared" si="39"/>
        <v>81.708738342275112</v>
      </c>
      <c r="AB165">
        <v>160</v>
      </c>
      <c r="AC165" s="7"/>
      <c r="AF165" s="7"/>
      <c r="AG165" s="10"/>
      <c r="AH165" s="1"/>
      <c r="AI165" s="10"/>
      <c r="AJ165" s="32"/>
      <c r="AL165" s="1"/>
    </row>
    <row r="166" spans="1:38" x14ac:dyDescent="0.3">
      <c r="A166">
        <v>22642</v>
      </c>
      <c r="B166">
        <v>26</v>
      </c>
      <c r="C166">
        <v>7</v>
      </c>
      <c r="D166">
        <v>1982</v>
      </c>
      <c r="E166">
        <v>29</v>
      </c>
      <c r="F166">
        <v>7</v>
      </c>
      <c r="G166">
        <v>1984</v>
      </c>
      <c r="H166">
        <v>75</v>
      </c>
      <c r="I166" s="32">
        <f t="shared" si="31"/>
        <v>15.320508075688775</v>
      </c>
      <c r="J166" s="1">
        <v>2.0109589041095899</v>
      </c>
      <c r="K166" s="32">
        <f t="shared" si="32"/>
        <v>15.779131832498958</v>
      </c>
      <c r="L166" s="32">
        <f t="shared" si="33"/>
        <v>79.024382179344443</v>
      </c>
      <c r="M166" s="32">
        <f t="shared" si="34"/>
        <v>0.17206978448388011</v>
      </c>
      <c r="N166">
        <v>1.7736965673975646</v>
      </c>
      <c r="O166" s="32">
        <f t="shared" si="40"/>
        <v>16.51488414015579</v>
      </c>
      <c r="P166" s="32">
        <f t="shared" si="35"/>
        <v>85.7002336808481</v>
      </c>
      <c r="Q166">
        <v>17</v>
      </c>
      <c r="R166">
        <v>92</v>
      </c>
      <c r="S166" s="1">
        <f t="shared" si="36"/>
        <v>15.321750468212322</v>
      </c>
      <c r="T166" s="1">
        <f t="shared" si="41"/>
        <v>16.51488414015579</v>
      </c>
      <c r="U166" s="1">
        <f t="shared" si="37"/>
        <v>15.821324495931206</v>
      </c>
      <c r="V166" s="1">
        <f t="shared" si="38"/>
        <v>1.9187542444789329</v>
      </c>
      <c r="W166" s="1">
        <f t="shared" si="42"/>
        <v>0.48102498009693084</v>
      </c>
      <c r="X166" s="1">
        <f t="shared" si="43"/>
        <v>0.69355964422458349</v>
      </c>
      <c r="Y166" s="39">
        <f t="shared" si="39"/>
        <v>79.388287099409339</v>
      </c>
      <c r="AB166">
        <v>161</v>
      </c>
      <c r="AC166" s="7"/>
      <c r="AF166" s="7"/>
      <c r="AG166" s="10"/>
      <c r="AH166" s="1"/>
      <c r="AI166" s="10"/>
      <c r="AJ166" s="32"/>
      <c r="AL166" s="1"/>
    </row>
    <row r="167" spans="1:38" x14ac:dyDescent="0.3">
      <c r="A167">
        <v>78901</v>
      </c>
      <c r="B167">
        <v>27</v>
      </c>
      <c r="C167">
        <v>7</v>
      </c>
      <c r="D167">
        <v>1982</v>
      </c>
      <c r="E167">
        <v>21</v>
      </c>
      <c r="F167">
        <v>5</v>
      </c>
      <c r="G167">
        <v>1984</v>
      </c>
      <c r="H167">
        <v>72</v>
      </c>
      <c r="I167" s="32">
        <f t="shared" si="31"/>
        <v>14.970562748477139</v>
      </c>
      <c r="J167" s="1">
        <v>1.81917808219178</v>
      </c>
      <c r="K167" s="32">
        <f t="shared" si="32"/>
        <v>15.418637410449437</v>
      </c>
      <c r="L167" s="32">
        <f t="shared" si="33"/>
        <v>75.852232309177154</v>
      </c>
      <c r="M167" s="32">
        <f t="shared" si="34"/>
        <v>0.15714805992354464</v>
      </c>
      <c r="N167">
        <v>0.88418119048583321</v>
      </c>
      <c r="O167" s="32">
        <f t="shared" si="40"/>
        <v>15.769143674352526</v>
      </c>
      <c r="P167" s="32">
        <f t="shared" si="35"/>
        <v>78.935616729945608</v>
      </c>
      <c r="Q167">
        <v>3</v>
      </c>
      <c r="R167">
        <v>75</v>
      </c>
      <c r="S167" s="1">
        <f t="shared" si="36"/>
        <v>14.971762814519451</v>
      </c>
      <c r="T167" s="1">
        <f t="shared" si="41"/>
        <v>15.769143674352526</v>
      </c>
      <c r="U167" s="1">
        <f t="shared" si="37"/>
        <v>15.454736800768583</v>
      </c>
      <c r="V167" s="1">
        <f t="shared" si="38"/>
        <v>1.7511870372472116</v>
      </c>
      <c r="W167" s="1">
        <f t="shared" si="42"/>
        <v>9.8851682156829462E-2</v>
      </c>
      <c r="X167" s="1">
        <f t="shared" si="43"/>
        <v>0.31440687358394293</v>
      </c>
      <c r="Y167" s="39">
        <f t="shared" si="39"/>
        <v>76.155975498208136</v>
      </c>
      <c r="AB167">
        <v>162</v>
      </c>
      <c r="AC167" s="7"/>
      <c r="AF167" s="7"/>
      <c r="AG167" s="10"/>
      <c r="AH167" s="1"/>
      <c r="AI167" s="10"/>
      <c r="AJ167" s="32"/>
      <c r="AL167" s="1"/>
    </row>
    <row r="168" spans="1:38" x14ac:dyDescent="0.3">
      <c r="A168">
        <v>77121</v>
      </c>
      <c r="B168">
        <v>2</v>
      </c>
      <c r="C168">
        <v>8</v>
      </c>
      <c r="D168">
        <v>1982</v>
      </c>
      <c r="E168">
        <v>7</v>
      </c>
      <c r="F168">
        <v>5</v>
      </c>
      <c r="G168">
        <v>1986</v>
      </c>
      <c r="H168">
        <v>64</v>
      </c>
      <c r="I168" s="32">
        <f t="shared" si="31"/>
        <v>14</v>
      </c>
      <c r="J168" s="1">
        <v>3.7643835616438399</v>
      </c>
      <c r="K168" s="32">
        <f t="shared" si="32"/>
        <v>15.05354165315422</v>
      </c>
      <c r="L168" s="32">
        <f t="shared" si="33"/>
        <v>72.705820728966486</v>
      </c>
      <c r="M168" s="32">
        <f t="shared" si="34"/>
        <v>0.29570640571589063</v>
      </c>
      <c r="N168">
        <v>-0.56128556025214493</v>
      </c>
      <c r="O168" s="32">
        <f t="shared" si="40"/>
        <v>14.74832077617191</v>
      </c>
      <c r="P168" s="32">
        <f t="shared" si="35"/>
        <v>70.126562205387899</v>
      </c>
      <c r="Q168">
        <v>21</v>
      </c>
      <c r="R168">
        <v>85</v>
      </c>
      <c r="S168" s="1">
        <f t="shared" si="36"/>
        <v>14.001084827483453</v>
      </c>
      <c r="T168" s="1">
        <f t="shared" si="41"/>
        <v>14.74832077617191</v>
      </c>
      <c r="U168" s="1">
        <f t="shared" si="37"/>
        <v>15.115411468135965</v>
      </c>
      <c r="V168" s="1">
        <f t="shared" si="38"/>
        <v>3.3170165948522996</v>
      </c>
      <c r="W168" s="1">
        <f t="shared" si="42"/>
        <v>0.13475557612664876</v>
      </c>
      <c r="X168" s="1">
        <f t="shared" si="43"/>
        <v>-0.36709069196405508</v>
      </c>
      <c r="Y168" s="39">
        <f t="shared" si="39"/>
        <v>73.223909737611805</v>
      </c>
      <c r="AB168">
        <v>163</v>
      </c>
      <c r="AC168" s="7"/>
      <c r="AF168" s="7"/>
      <c r="AG168" s="10"/>
      <c r="AH168" s="1"/>
      <c r="AI168" s="10"/>
      <c r="AJ168" s="32"/>
      <c r="AL168" s="1"/>
    </row>
    <row r="169" spans="1:38" x14ac:dyDescent="0.3">
      <c r="A169">
        <v>22991</v>
      </c>
      <c r="B169">
        <v>30</v>
      </c>
      <c r="C169">
        <v>7</v>
      </c>
      <c r="D169">
        <v>1982</v>
      </c>
      <c r="E169">
        <v>10</v>
      </c>
      <c r="F169">
        <v>5</v>
      </c>
      <c r="G169">
        <v>1988</v>
      </c>
      <c r="H169">
        <v>74</v>
      </c>
      <c r="I169" s="32">
        <f t="shared" si="31"/>
        <v>15.204650534085253</v>
      </c>
      <c r="J169" s="1">
        <v>5.7835616438356201</v>
      </c>
      <c r="K169" s="32">
        <f t="shared" si="32"/>
        <v>16.435625235027182</v>
      </c>
      <c r="L169" s="32">
        <f t="shared" si="33"/>
        <v>84.968069451592754</v>
      </c>
      <c r="M169" s="32">
        <f t="shared" si="34"/>
        <v>0.41308407038174577</v>
      </c>
      <c r="N169">
        <v>-0.44997250370215625</v>
      </c>
      <c r="O169" s="32">
        <f t="shared" si="40"/>
        <v>16.146420632521888</v>
      </c>
      <c r="P169" s="32">
        <f t="shared" si="35"/>
        <v>82.323145443104025</v>
      </c>
      <c r="Q169">
        <v>11</v>
      </c>
      <c r="R169">
        <v>85</v>
      </c>
      <c r="S169" s="1">
        <f t="shared" si="36"/>
        <v>15.205878868967202</v>
      </c>
      <c r="T169" s="1">
        <f t="shared" si="41"/>
        <v>16.146420632521888</v>
      </c>
      <c r="U169" s="1">
        <f t="shared" si="37"/>
        <v>16.550884407260483</v>
      </c>
      <c r="V169" s="1">
        <f t="shared" si="38"/>
        <v>4.6632318934246815</v>
      </c>
      <c r="W169" s="1">
        <f t="shared" si="42"/>
        <v>0.1635909450757928</v>
      </c>
      <c r="X169" s="1">
        <f t="shared" si="43"/>
        <v>-0.40446377473859485</v>
      </c>
      <c r="Y169" s="39">
        <f t="shared" si="39"/>
        <v>86.020897272704786</v>
      </c>
      <c r="AB169">
        <v>164</v>
      </c>
      <c r="AC169" s="7"/>
      <c r="AF169" s="7"/>
      <c r="AG169" s="10"/>
      <c r="AH169" s="1"/>
      <c r="AI169" s="10"/>
      <c r="AJ169" s="32"/>
      <c r="AL169" s="1"/>
    </row>
    <row r="170" spans="1:38" x14ac:dyDescent="0.3">
      <c r="A170">
        <v>78884</v>
      </c>
      <c r="B170">
        <v>27</v>
      </c>
      <c r="C170">
        <v>7</v>
      </c>
      <c r="D170">
        <v>1982</v>
      </c>
      <c r="E170">
        <v>6</v>
      </c>
      <c r="F170">
        <v>7</v>
      </c>
      <c r="G170">
        <v>1984</v>
      </c>
      <c r="H170">
        <v>73</v>
      </c>
      <c r="I170" s="32">
        <f t="shared" si="31"/>
        <v>15.088007490635061</v>
      </c>
      <c r="J170" s="1">
        <v>1.9452054794520499</v>
      </c>
      <c r="K170" s="32">
        <f t="shared" si="32"/>
        <v>15.554449676671217</v>
      </c>
      <c r="L170" s="32">
        <f t="shared" si="33"/>
        <v>77.03967586269556</v>
      </c>
      <c r="M170" s="32">
        <f t="shared" si="34"/>
        <v>0.16698680210855862</v>
      </c>
      <c r="N170">
        <v>0.4958303634339245</v>
      </c>
      <c r="O170" s="32">
        <f t="shared" si="40"/>
        <v>15.757065888909274</v>
      </c>
      <c r="P170" s="32">
        <f t="shared" si="35"/>
        <v>78.828347245766324</v>
      </c>
      <c r="Q170">
        <v>4</v>
      </c>
      <c r="R170">
        <v>77</v>
      </c>
      <c r="S170" s="1">
        <f t="shared" si="36"/>
        <v>15.089221716937686</v>
      </c>
      <c r="T170" s="1">
        <f t="shared" si="41"/>
        <v>15.757065888909274</v>
      </c>
      <c r="U170" s="1">
        <f t="shared" si="37"/>
        <v>15.593752925632964</v>
      </c>
      <c r="V170" s="1">
        <f t="shared" si="38"/>
        <v>1.8616466672621483</v>
      </c>
      <c r="W170" s="1">
        <f t="shared" si="42"/>
        <v>2.667112397408929E-2</v>
      </c>
      <c r="X170" s="1">
        <f t="shared" si="43"/>
        <v>0.16331296327630973</v>
      </c>
      <c r="Y170" s="39">
        <f t="shared" si="39"/>
        <v>77.37381493884952</v>
      </c>
      <c r="AB170">
        <v>165</v>
      </c>
      <c r="AC170" s="7"/>
      <c r="AF170" s="7"/>
      <c r="AG170" s="10"/>
      <c r="AH170" s="1"/>
      <c r="AI170" s="10"/>
      <c r="AJ170" s="32"/>
      <c r="AL170" s="1"/>
    </row>
    <row r="171" spans="1:38" x14ac:dyDescent="0.3">
      <c r="A171">
        <v>20622</v>
      </c>
      <c r="B171">
        <v>19</v>
      </c>
      <c r="C171">
        <v>1</v>
      </c>
      <c r="D171">
        <v>1982</v>
      </c>
      <c r="E171">
        <v>25</v>
      </c>
      <c r="F171">
        <v>4</v>
      </c>
      <c r="G171">
        <v>1984</v>
      </c>
      <c r="H171">
        <v>133</v>
      </c>
      <c r="I171" s="32">
        <f t="shared" si="31"/>
        <v>21.065125189341593</v>
      </c>
      <c r="J171" s="1">
        <v>2.2657534246575302</v>
      </c>
      <c r="K171" s="32">
        <f t="shared" si="32"/>
        <v>20.948260887796184</v>
      </c>
      <c r="L171" s="32">
        <f t="shared" si="33"/>
        <v>131.65566944358903</v>
      </c>
      <c r="M171" s="32">
        <f t="shared" si="34"/>
        <v>0.19144565386072149</v>
      </c>
      <c r="N171">
        <v>-2.0263723854441196</v>
      </c>
      <c r="O171" s="32">
        <f t="shared" si="40"/>
        <v>20.061631720265815</v>
      </c>
      <c r="P171" s="32">
        <f t="shared" si="35"/>
        <v>121.67889854015969</v>
      </c>
      <c r="Q171">
        <v>7</v>
      </c>
      <c r="R171">
        <v>140</v>
      </c>
      <c r="S171" s="1">
        <f t="shared" si="36"/>
        <v>21.067114217509218</v>
      </c>
      <c r="T171" s="1">
        <f t="shared" si="41"/>
        <v>20.061631720265815</v>
      </c>
      <c r="U171" s="1">
        <f t="shared" si="37"/>
        <v>21.039700679665668</v>
      </c>
      <c r="V171" s="1">
        <f t="shared" si="38"/>
        <v>2.1367029149839225</v>
      </c>
      <c r="W171" s="1">
        <f t="shared" si="42"/>
        <v>0.95661888934151007</v>
      </c>
      <c r="X171" s="1">
        <f t="shared" si="43"/>
        <v>-0.97806895939985239</v>
      </c>
      <c r="Y171" s="39">
        <f t="shared" si="39"/>
        <v>132.68408298385373</v>
      </c>
      <c r="AB171">
        <v>166</v>
      </c>
      <c r="AC171" s="7"/>
      <c r="AF171" s="7"/>
      <c r="AG171" s="10"/>
      <c r="AH171" s="1"/>
      <c r="AI171" s="10"/>
      <c r="AJ171" s="32"/>
      <c r="AL171" s="1"/>
    </row>
    <row r="172" spans="1:38" x14ac:dyDescent="0.3">
      <c r="A172">
        <v>76929</v>
      </c>
      <c r="B172">
        <v>31</v>
      </c>
      <c r="C172">
        <v>7</v>
      </c>
      <c r="D172">
        <v>1982</v>
      </c>
      <c r="E172">
        <v>22</v>
      </c>
      <c r="F172">
        <v>4</v>
      </c>
      <c r="G172">
        <v>1984</v>
      </c>
      <c r="H172">
        <v>73</v>
      </c>
      <c r="I172" s="32">
        <f t="shared" si="31"/>
        <v>15.088007490635061</v>
      </c>
      <c r="J172" s="1">
        <v>1.72876712328767</v>
      </c>
      <c r="K172" s="32">
        <f t="shared" si="32"/>
        <v>15.504820929246939</v>
      </c>
      <c r="L172" s="32">
        <f t="shared" si="33"/>
        <v>76.604688941250416</v>
      </c>
      <c r="M172" s="32">
        <f t="shared" si="34"/>
        <v>0.15001106008635992</v>
      </c>
      <c r="N172">
        <v>0.42958049562002998</v>
      </c>
      <c r="O172" s="32">
        <f t="shared" si="40"/>
        <v>15.67120287344251</v>
      </c>
      <c r="P172" s="32">
        <f t="shared" si="35"/>
        <v>78.06785274859071</v>
      </c>
      <c r="Q172">
        <v>3</v>
      </c>
      <c r="R172">
        <v>76</v>
      </c>
      <c r="S172" s="1">
        <f t="shared" si="36"/>
        <v>15.089221716937686</v>
      </c>
      <c r="T172" s="1">
        <f t="shared" si="41"/>
        <v>15.67120287344251</v>
      </c>
      <c r="U172" s="1">
        <f t="shared" si="37"/>
        <v>15.539895030346212</v>
      </c>
      <c r="V172" s="1">
        <f t="shared" si="38"/>
        <v>1.6711245432370272</v>
      </c>
      <c r="W172" s="1">
        <f t="shared" si="42"/>
        <v>1.7241749658602059E-2</v>
      </c>
      <c r="X172" s="1">
        <f t="shared" si="43"/>
        <v>0.13130784309629817</v>
      </c>
      <c r="Y172" s="39">
        <f t="shared" si="39"/>
        <v>76.90085096722801</v>
      </c>
      <c r="AB172">
        <v>167</v>
      </c>
      <c r="AC172" s="7"/>
      <c r="AF172" s="7"/>
      <c r="AG172" s="10"/>
      <c r="AH172" s="1"/>
      <c r="AI172" s="10"/>
      <c r="AJ172" s="32"/>
      <c r="AL172" s="1"/>
    </row>
    <row r="173" spans="1:38" x14ac:dyDescent="0.3">
      <c r="A173">
        <v>22587</v>
      </c>
      <c r="B173">
        <v>25</v>
      </c>
      <c r="C173">
        <v>7</v>
      </c>
      <c r="D173">
        <v>1982</v>
      </c>
      <c r="E173">
        <v>1</v>
      </c>
      <c r="F173">
        <v>5</v>
      </c>
      <c r="G173">
        <v>1989</v>
      </c>
      <c r="H173">
        <v>71</v>
      </c>
      <c r="I173" s="32">
        <f t="shared" si="31"/>
        <v>14.852299546352718</v>
      </c>
      <c r="J173" s="1">
        <v>6.7726027397260298</v>
      </c>
      <c r="K173" s="32">
        <f t="shared" si="32"/>
        <v>16.362993347920181</v>
      </c>
      <c r="L173" s="32">
        <f t="shared" si="33"/>
        <v>84.299881173940207</v>
      </c>
      <c r="M173" s="32">
        <f t="shared" si="34"/>
        <v>0.46229063179763935</v>
      </c>
      <c r="N173">
        <v>0.24622863747936208</v>
      </c>
      <c r="O173" s="32">
        <f t="shared" si="40"/>
        <v>16.530409019070849</v>
      </c>
      <c r="P173" s="32">
        <f t="shared" si="35"/>
        <v>85.844014603515561</v>
      </c>
      <c r="Q173">
        <v>11</v>
      </c>
      <c r="R173">
        <v>82</v>
      </c>
      <c r="S173" s="1">
        <f t="shared" si="36"/>
        <v>14.853485399691037</v>
      </c>
      <c r="T173" s="1">
        <f t="shared" si="41"/>
        <v>16.530409019070849</v>
      </c>
      <c r="U173" s="1">
        <f t="shared" si="37"/>
        <v>16.490729720886105</v>
      </c>
      <c r="V173" s="1">
        <f t="shared" si="38"/>
        <v>5.2340663466884374</v>
      </c>
      <c r="W173" s="1">
        <f t="shared" si="42"/>
        <v>1.5744467044338307E-3</v>
      </c>
      <c r="X173" s="1">
        <f t="shared" si="43"/>
        <v>3.9679298184744027E-2</v>
      </c>
      <c r="Y173" s="39">
        <f t="shared" si="39"/>
        <v>85.463952202154871</v>
      </c>
      <c r="AB173">
        <v>168</v>
      </c>
      <c r="AC173" s="7"/>
      <c r="AF173" s="7"/>
      <c r="AG173" s="10"/>
      <c r="AH173" s="1"/>
      <c r="AI173" s="10"/>
      <c r="AJ173" s="32"/>
      <c r="AL173" s="1"/>
    </row>
    <row r="174" spans="1:38" x14ac:dyDescent="0.3">
      <c r="A174">
        <v>76811</v>
      </c>
      <c r="B174">
        <v>30</v>
      </c>
      <c r="C174">
        <v>7</v>
      </c>
      <c r="D174">
        <v>1982</v>
      </c>
      <c r="E174">
        <v>19</v>
      </c>
      <c r="F174">
        <v>10</v>
      </c>
      <c r="G174">
        <v>1985</v>
      </c>
      <c r="H174">
        <v>51</v>
      </c>
      <c r="I174" s="32">
        <f t="shared" si="31"/>
        <v>12.282856857085701</v>
      </c>
      <c r="J174" s="1">
        <v>3.22465753424658</v>
      </c>
      <c r="K174" s="32">
        <f t="shared" si="32"/>
        <v>13.459321356945358</v>
      </c>
      <c r="L174" s="32">
        <f t="shared" si="33"/>
        <v>59.747654204326714</v>
      </c>
      <c r="M174" s="32">
        <f t="shared" si="34"/>
        <v>0.25999008778385929</v>
      </c>
      <c r="N174">
        <v>-0.36083520171814598</v>
      </c>
      <c r="O174" s="32">
        <f t="shared" si="40"/>
        <v>13.275334290723453</v>
      </c>
      <c r="P174" s="32">
        <f t="shared" si="35"/>
        <v>58.333959423337944</v>
      </c>
      <c r="Q174">
        <v>12</v>
      </c>
      <c r="R174">
        <v>63</v>
      </c>
      <c r="S174" s="1">
        <f t="shared" si="36"/>
        <v>12.283746059793614</v>
      </c>
      <c r="T174" s="1">
        <f t="shared" si="41"/>
        <v>13.275334290723453</v>
      </c>
      <c r="U174" s="1">
        <f t="shared" si="37"/>
        <v>13.494474932652277</v>
      </c>
      <c r="V174" s="1">
        <f t="shared" si="38"/>
        <v>2.9111815601754194</v>
      </c>
      <c r="W174" s="1">
        <f t="shared" si="42"/>
        <v>4.8022620944977147E-2</v>
      </c>
      <c r="X174" s="1">
        <f t="shared" si="43"/>
        <v>-0.21914064192882421</v>
      </c>
      <c r="Y174" s="39">
        <f t="shared" si="39"/>
        <v>60.01174005791411</v>
      </c>
      <c r="AB174">
        <v>169</v>
      </c>
      <c r="AC174" s="7"/>
      <c r="AF174" s="7"/>
      <c r="AG174" s="10"/>
      <c r="AH174" s="1"/>
      <c r="AI174" s="10"/>
      <c r="AJ174" s="32"/>
      <c r="AL174" s="1"/>
    </row>
    <row r="175" spans="1:38" x14ac:dyDescent="0.3">
      <c r="A175">
        <v>22918</v>
      </c>
      <c r="B175">
        <v>28</v>
      </c>
      <c r="C175">
        <v>7</v>
      </c>
      <c r="D175">
        <v>1982</v>
      </c>
      <c r="E175">
        <v>20</v>
      </c>
      <c r="F175">
        <v>6</v>
      </c>
      <c r="G175">
        <v>1987</v>
      </c>
      <c r="H175">
        <v>68</v>
      </c>
      <c r="I175" s="32">
        <f t="shared" si="31"/>
        <v>14.492422502470642</v>
      </c>
      <c r="J175" s="1">
        <v>4.8986301369863003</v>
      </c>
      <c r="K175" s="32">
        <f t="shared" si="32"/>
        <v>15.71612491717908</v>
      </c>
      <c r="L175" s="32">
        <f t="shared" si="33"/>
        <v>78.465270520273364</v>
      </c>
      <c r="M175" s="32">
        <f t="shared" si="34"/>
        <v>0.36461925723843691</v>
      </c>
      <c r="N175">
        <v>-0.1171952135337051</v>
      </c>
      <c r="O175" s="32">
        <f t="shared" si="40"/>
        <v>15.645358097955926</v>
      </c>
      <c r="P175" s="32">
        <f t="shared" si="35"/>
        <v>77.839665601274703</v>
      </c>
      <c r="Q175">
        <v>18</v>
      </c>
      <c r="R175">
        <v>86</v>
      </c>
      <c r="S175" s="1">
        <f t="shared" si="36"/>
        <v>14.49356539510066</v>
      </c>
      <c r="T175" s="1">
        <f t="shared" si="41"/>
        <v>15.645358097955926</v>
      </c>
      <c r="U175" s="1">
        <f t="shared" si="37"/>
        <v>15.804011158385542</v>
      </c>
      <c r="V175" s="1">
        <f t="shared" si="38"/>
        <v>4.1049137238033637</v>
      </c>
      <c r="W175" s="1">
        <f t="shared" si="42"/>
        <v>2.5170793583683428E-2</v>
      </c>
      <c r="X175" s="1">
        <f t="shared" si="43"/>
        <v>-0.15865306042961613</v>
      </c>
      <c r="Y175" s="39">
        <f t="shared" si="39"/>
        <v>79.234118986504598</v>
      </c>
      <c r="AB175">
        <v>170</v>
      </c>
      <c r="AC175" s="7"/>
      <c r="AF175" s="7"/>
      <c r="AG175" s="10"/>
      <c r="AH175" s="1"/>
      <c r="AI175" s="10"/>
      <c r="AJ175" s="32"/>
      <c r="AL175" s="1"/>
    </row>
    <row r="176" spans="1:38" x14ac:dyDescent="0.3">
      <c r="A176">
        <v>22844</v>
      </c>
      <c r="B176">
        <v>28</v>
      </c>
      <c r="C176">
        <v>7</v>
      </c>
      <c r="D176">
        <v>1982</v>
      </c>
      <c r="E176">
        <v>1</v>
      </c>
      <c r="F176">
        <v>5</v>
      </c>
      <c r="G176">
        <v>1984</v>
      </c>
      <c r="H176">
        <v>85</v>
      </c>
      <c r="I176" s="32">
        <f t="shared" si="31"/>
        <v>16.439088914585774</v>
      </c>
      <c r="J176" s="1">
        <v>1.7616438356164399</v>
      </c>
      <c r="K176" s="32">
        <f t="shared" si="32"/>
        <v>16.746745372413148</v>
      </c>
      <c r="L176" s="32">
        <f t="shared" si="33"/>
        <v>87.860115514523443</v>
      </c>
      <c r="M176" s="32">
        <f t="shared" si="34"/>
        <v>0.15261399493444028</v>
      </c>
      <c r="N176">
        <v>-0.25894451027852483</v>
      </c>
      <c r="O176" s="32">
        <f t="shared" si="40"/>
        <v>16.645586521209058</v>
      </c>
      <c r="P176" s="32">
        <f t="shared" si="35"/>
        <v>86.914474179973226</v>
      </c>
      <c r="Q176">
        <v>3</v>
      </c>
      <c r="R176">
        <v>88</v>
      </c>
      <c r="S176" s="1">
        <f t="shared" si="36"/>
        <v>16.440469232880666</v>
      </c>
      <c r="T176" s="1">
        <f t="shared" si="41"/>
        <v>16.645586521209058</v>
      </c>
      <c r="U176" s="1">
        <f t="shared" si="37"/>
        <v>16.790756320127532</v>
      </c>
      <c r="V176" s="1">
        <f t="shared" si="38"/>
        <v>1.7003178754263899</v>
      </c>
      <c r="W176" s="1">
        <f t="shared" si="42"/>
        <v>2.107427051803009E-2</v>
      </c>
      <c r="X176" s="1">
        <f t="shared" si="43"/>
        <v>-0.1451697989184737</v>
      </c>
      <c r="Y176" s="39">
        <f t="shared" si="39"/>
        <v>88.259749427484095</v>
      </c>
      <c r="AB176">
        <v>171</v>
      </c>
      <c r="AC176" s="7"/>
      <c r="AF176" s="7"/>
      <c r="AG176" s="10"/>
      <c r="AH176" s="1"/>
      <c r="AI176" s="10"/>
      <c r="AJ176" s="32"/>
      <c r="AL176" s="1"/>
    </row>
    <row r="177" spans="1:38" x14ac:dyDescent="0.3">
      <c r="A177">
        <v>79511</v>
      </c>
      <c r="B177">
        <v>5</v>
      </c>
      <c r="C177">
        <v>9</v>
      </c>
      <c r="D177">
        <v>1982</v>
      </c>
      <c r="E177">
        <v>2</v>
      </c>
      <c r="F177">
        <v>5</v>
      </c>
      <c r="G177">
        <v>1987</v>
      </c>
      <c r="H177">
        <v>77</v>
      </c>
      <c r="I177" s="32">
        <f t="shared" si="31"/>
        <v>15.549928774784245</v>
      </c>
      <c r="J177" s="1">
        <v>4.6575342465753398</v>
      </c>
      <c r="K177" s="32">
        <f t="shared" si="32"/>
        <v>16.495598231410305</v>
      </c>
      <c r="L177" s="32">
        <f t="shared" si="33"/>
        <v>85.52178848443701</v>
      </c>
      <c r="M177" s="32">
        <f t="shared" si="34"/>
        <v>0.35063457927003883</v>
      </c>
      <c r="N177">
        <v>-0.57449824453215115</v>
      </c>
      <c r="O177" s="32">
        <f t="shared" si="40"/>
        <v>16.155412512564791</v>
      </c>
      <c r="P177" s="32">
        <f t="shared" si="35"/>
        <v>82.40475087534854</v>
      </c>
      <c r="Q177">
        <v>13</v>
      </c>
      <c r="R177">
        <v>90</v>
      </c>
      <c r="S177" s="1">
        <f t="shared" si="36"/>
        <v>15.551199132657898</v>
      </c>
      <c r="T177" s="1">
        <f t="shared" si="41"/>
        <v>16.155412512564791</v>
      </c>
      <c r="U177" s="1">
        <f t="shared" si="37"/>
        <v>16.593889597693476</v>
      </c>
      <c r="V177" s="1">
        <f t="shared" si="38"/>
        <v>3.9444776257016203</v>
      </c>
      <c r="W177" s="1">
        <f t="shared" si="42"/>
        <v>0.19226215418294826</v>
      </c>
      <c r="X177" s="1">
        <f t="shared" si="43"/>
        <v>-0.43847708512868522</v>
      </c>
      <c r="Y177" s="39">
        <f t="shared" si="39"/>
        <v>86.420171668480364</v>
      </c>
      <c r="AB177">
        <v>172</v>
      </c>
      <c r="AC177" s="7"/>
      <c r="AF177" s="7"/>
      <c r="AG177" s="10"/>
      <c r="AH177" s="1"/>
      <c r="AI177" s="10"/>
      <c r="AJ177" s="32"/>
      <c r="AL177" s="1"/>
    </row>
    <row r="178" spans="1:38" x14ac:dyDescent="0.3">
      <c r="A178">
        <v>78861</v>
      </c>
      <c r="B178">
        <v>27</v>
      </c>
      <c r="C178">
        <v>7</v>
      </c>
      <c r="D178">
        <v>1982</v>
      </c>
      <c r="E178">
        <v>5</v>
      </c>
      <c r="F178">
        <v>5</v>
      </c>
      <c r="G178">
        <v>1987</v>
      </c>
      <c r="H178">
        <v>69</v>
      </c>
      <c r="I178" s="32">
        <f t="shared" si="31"/>
        <v>14.61324772583615</v>
      </c>
      <c r="J178" s="1">
        <v>4.77534246575342</v>
      </c>
      <c r="K178" s="32">
        <f t="shared" si="32"/>
        <v>15.783524414098277</v>
      </c>
      <c r="L178" s="32">
        <f t="shared" si="33"/>
        <v>79.063435146707363</v>
      </c>
      <c r="M178" s="32">
        <f t="shared" si="34"/>
        <v>0.35751121836295219</v>
      </c>
      <c r="N178">
        <v>0.74816625783569179</v>
      </c>
      <c r="O178" s="32">
        <f t="shared" si="40"/>
        <v>16.230869792309662</v>
      </c>
      <c r="P178" s="32">
        <f t="shared" si="35"/>
        <v>83.091153346037231</v>
      </c>
      <c r="Q178">
        <v>11</v>
      </c>
      <c r="R178">
        <v>80</v>
      </c>
      <c r="S178" s="1">
        <f t="shared" si="36"/>
        <v>14.614404993282996</v>
      </c>
      <c r="T178" s="1">
        <f t="shared" si="41"/>
        <v>16.230869792309662</v>
      </c>
      <c r="U178" s="1">
        <f t="shared" si="37"/>
        <v>15.870924907421925</v>
      </c>
      <c r="V178" s="1">
        <f t="shared" si="38"/>
        <v>4.0233322599922863</v>
      </c>
      <c r="W178" s="1">
        <f t="shared" si="42"/>
        <v>0.12956032015684618</v>
      </c>
      <c r="X178" s="1">
        <f t="shared" si="43"/>
        <v>0.3599448848877369</v>
      </c>
      <c r="Y178" s="39">
        <f t="shared" si="39"/>
        <v>79.830787743524198</v>
      </c>
      <c r="AB178">
        <v>173</v>
      </c>
      <c r="AC178" s="7"/>
      <c r="AF178" s="7"/>
      <c r="AG178" s="10"/>
      <c r="AH178" s="1"/>
      <c r="AI178" s="10"/>
      <c r="AJ178" s="32"/>
      <c r="AL178" s="1"/>
    </row>
    <row r="179" spans="1:38" x14ac:dyDescent="0.3">
      <c r="A179">
        <v>78989</v>
      </c>
      <c r="B179">
        <v>31</v>
      </c>
      <c r="C179">
        <v>7</v>
      </c>
      <c r="D179">
        <v>1982</v>
      </c>
      <c r="E179">
        <v>4</v>
      </c>
      <c r="F179">
        <v>5</v>
      </c>
      <c r="G179">
        <v>1987</v>
      </c>
      <c r="H179">
        <v>72</v>
      </c>
      <c r="I179" s="32">
        <f t="shared" si="31"/>
        <v>14.970562748477139</v>
      </c>
      <c r="J179" s="1">
        <v>4.7616438356164403</v>
      </c>
      <c r="K179" s="32">
        <f t="shared" si="32"/>
        <v>16.060445285104642</v>
      </c>
      <c r="L179" s="32">
        <f t="shared" si="33"/>
        <v>81.544920974064624</v>
      </c>
      <c r="M179" s="32">
        <f t="shared" si="34"/>
        <v>0.35671587257219201</v>
      </c>
      <c r="N179">
        <v>-8.2060296335839666E-2</v>
      </c>
      <c r="O179" s="32">
        <f t="shared" si="40"/>
        <v>16.011434202232323</v>
      </c>
      <c r="P179" s="32">
        <f t="shared" si="35"/>
        <v>81.102940505336079</v>
      </c>
      <c r="Q179">
        <v>11</v>
      </c>
      <c r="R179">
        <v>83</v>
      </c>
      <c r="S179" s="1">
        <f t="shared" si="36"/>
        <v>14.971762814519451</v>
      </c>
      <c r="T179" s="1">
        <f t="shared" si="41"/>
        <v>16.011434202232323</v>
      </c>
      <c r="U179" s="1">
        <f t="shared" si="37"/>
        <v>16.152649832020749</v>
      </c>
      <c r="V179" s="1">
        <f t="shared" si="38"/>
        <v>4.0142084533431515</v>
      </c>
      <c r="W179" s="1">
        <f t="shared" si="42"/>
        <v>1.994185409654196E-2</v>
      </c>
      <c r="X179" s="1">
        <f t="shared" si="43"/>
        <v>-0.14121562978842661</v>
      </c>
      <c r="Y179" s="39">
        <f t="shared" si="39"/>
        <v>82.367471688120389</v>
      </c>
      <c r="AB179">
        <v>174</v>
      </c>
      <c r="AC179" s="7"/>
      <c r="AF179" s="7"/>
      <c r="AG179" s="10"/>
      <c r="AH179" s="1"/>
      <c r="AI179" s="10"/>
      <c r="AJ179" s="32"/>
      <c r="AL179" s="1"/>
    </row>
    <row r="180" spans="1:38" x14ac:dyDescent="0.3">
      <c r="A180">
        <v>79279</v>
      </c>
      <c r="B180">
        <v>18</v>
      </c>
      <c r="C180">
        <v>8</v>
      </c>
      <c r="D180">
        <v>1982</v>
      </c>
      <c r="E180">
        <v>3</v>
      </c>
      <c r="F180">
        <v>6</v>
      </c>
      <c r="G180">
        <v>1983</v>
      </c>
      <c r="H180">
        <v>77</v>
      </c>
      <c r="I180" s="32">
        <f t="shared" si="31"/>
        <v>15.549928774784245</v>
      </c>
      <c r="J180" s="1">
        <v>0.79178082191780796</v>
      </c>
      <c r="K180" s="32">
        <f t="shared" si="32"/>
        <v>15.727038891534159</v>
      </c>
      <c r="L180" s="32">
        <f t="shared" si="33"/>
        <v>78.561976965491141</v>
      </c>
      <c r="M180" s="32">
        <f t="shared" si="34"/>
        <v>7.201364959206713E-2</v>
      </c>
      <c r="N180">
        <v>0.23520442482549697</v>
      </c>
      <c r="O180" s="32">
        <f t="shared" si="40"/>
        <v>15.79015684346291</v>
      </c>
      <c r="P180" s="32">
        <f t="shared" si="35"/>
        <v>79.122420128752552</v>
      </c>
      <c r="Q180">
        <v>0</v>
      </c>
      <c r="R180">
        <v>77</v>
      </c>
      <c r="S180" s="1">
        <f t="shared" si="36"/>
        <v>15.551199132657898</v>
      </c>
      <c r="T180" s="1">
        <f t="shared" si="41"/>
        <v>15.79015684346291</v>
      </c>
      <c r="U180" s="1">
        <f t="shared" si="37"/>
        <v>15.745139088284921</v>
      </c>
      <c r="V180" s="1">
        <f t="shared" si="38"/>
        <v>0.7995484951802837</v>
      </c>
      <c r="W180" s="1">
        <f t="shared" si="42"/>
        <v>2.0265982812653657E-3</v>
      </c>
      <c r="X180" s="1">
        <f t="shared" si="43"/>
        <v>4.5017755177989116E-2</v>
      </c>
      <c r="Y180" s="39">
        <f t="shared" si="39"/>
        <v>78.711008501246496</v>
      </c>
      <c r="AB180">
        <v>175</v>
      </c>
      <c r="AC180" s="7"/>
      <c r="AF180" s="7"/>
      <c r="AG180" s="10"/>
      <c r="AH180" s="1"/>
      <c r="AI180" s="10"/>
      <c r="AJ180" s="32"/>
      <c r="AL180" s="1"/>
    </row>
    <row r="181" spans="1:38" x14ac:dyDescent="0.3">
      <c r="A181">
        <v>76693</v>
      </c>
      <c r="B181">
        <v>30</v>
      </c>
      <c r="C181">
        <v>7</v>
      </c>
      <c r="D181">
        <v>1982</v>
      </c>
      <c r="E181">
        <v>12</v>
      </c>
      <c r="F181">
        <v>6</v>
      </c>
      <c r="G181">
        <v>1985</v>
      </c>
      <c r="H181">
        <v>63</v>
      </c>
      <c r="I181" s="32">
        <f t="shared" si="31"/>
        <v>13.874507866387544</v>
      </c>
      <c r="J181" s="1">
        <v>2.8712328767123299</v>
      </c>
      <c r="K181" s="32">
        <f t="shared" si="32"/>
        <v>14.713353524084981</v>
      </c>
      <c r="L181" s="32">
        <f t="shared" si="33"/>
        <v>69.834046505260957</v>
      </c>
      <c r="M181" s="32">
        <f t="shared" si="34"/>
        <v>0.23550765027234111</v>
      </c>
      <c r="N181">
        <v>2.063516149064526</v>
      </c>
      <c r="O181" s="32">
        <f t="shared" si="40"/>
        <v>15.714759968025561</v>
      </c>
      <c r="P181" s="32">
        <f t="shared" si="35"/>
        <v>78.453180181190248</v>
      </c>
      <c r="Q181">
        <v>3</v>
      </c>
      <c r="R181">
        <v>66</v>
      </c>
      <c r="S181" s="1">
        <f t="shared" si="36"/>
        <v>13.8755780315691</v>
      </c>
      <c r="T181" s="1">
        <f t="shared" si="41"/>
        <v>15.714759968025561</v>
      </c>
      <c r="U181" s="1">
        <f t="shared" si="37"/>
        <v>14.759297074124817</v>
      </c>
      <c r="V181" s="1">
        <f t="shared" si="38"/>
        <v>2.6339169610092741</v>
      </c>
      <c r="W181" s="1">
        <f t="shared" si="42"/>
        <v>0.91290934162118509</v>
      </c>
      <c r="X181" s="1">
        <f t="shared" si="43"/>
        <v>0.95546289390074435</v>
      </c>
      <c r="Y181" s="39">
        <f t="shared" si="39"/>
        <v>70.208667476896409</v>
      </c>
      <c r="AB181">
        <v>176</v>
      </c>
      <c r="AC181" s="7"/>
      <c r="AF181" s="7"/>
      <c r="AG181" s="10"/>
      <c r="AH181" s="1"/>
      <c r="AI181" s="10"/>
      <c r="AJ181" s="32"/>
      <c r="AL181" s="1"/>
    </row>
    <row r="182" spans="1:38" x14ac:dyDescent="0.3">
      <c r="A182">
        <v>79230</v>
      </c>
      <c r="B182">
        <v>15</v>
      </c>
      <c r="C182">
        <v>8</v>
      </c>
      <c r="D182">
        <v>1982</v>
      </c>
      <c r="E182">
        <v>12</v>
      </c>
      <c r="F182">
        <v>6</v>
      </c>
      <c r="G182">
        <v>1986</v>
      </c>
      <c r="H182">
        <v>76</v>
      </c>
      <c r="I182" s="32">
        <f t="shared" si="31"/>
        <v>15.435595774162696</v>
      </c>
      <c r="J182" s="1">
        <v>3.8273972602739699</v>
      </c>
      <c r="K182" s="32">
        <f t="shared" si="32"/>
        <v>16.249203632908134</v>
      </c>
      <c r="L182" s="32">
        <f t="shared" si="33"/>
        <v>83.258358308836861</v>
      </c>
      <c r="M182" s="32">
        <f t="shared" si="34"/>
        <v>0.29974887477165646</v>
      </c>
      <c r="N182">
        <v>1.0287476470693946</v>
      </c>
      <c r="O182" s="32">
        <f t="shared" si="40"/>
        <v>16.812436040641664</v>
      </c>
      <c r="P182" s="32">
        <f t="shared" si="35"/>
        <v>88.47693744580836</v>
      </c>
      <c r="Q182">
        <v>10</v>
      </c>
      <c r="R182">
        <v>86</v>
      </c>
      <c r="S182" s="1">
        <f t="shared" si="36"/>
        <v>15.436852174114659</v>
      </c>
      <c r="T182" s="1">
        <f t="shared" si="41"/>
        <v>16.812436040641664</v>
      </c>
      <c r="U182" s="1">
        <f t="shared" si="37"/>
        <v>16.329232779643778</v>
      </c>
      <c r="V182" s="1">
        <f t="shared" si="38"/>
        <v>3.3630543451219692</v>
      </c>
      <c r="W182" s="1">
        <f t="shared" si="42"/>
        <v>0.23348539143899116</v>
      </c>
      <c r="X182" s="1">
        <f t="shared" si="43"/>
        <v>0.48320326099788602</v>
      </c>
      <c r="Y182" s="39">
        <f t="shared" si="39"/>
        <v>83.977671240691734</v>
      </c>
      <c r="AB182">
        <v>177</v>
      </c>
      <c r="AC182" s="7"/>
      <c r="AF182" s="7"/>
      <c r="AG182" s="10"/>
      <c r="AH182" s="1"/>
      <c r="AI182" s="10"/>
      <c r="AJ182" s="32"/>
      <c r="AL182" s="1"/>
    </row>
    <row r="183" spans="1:38" x14ac:dyDescent="0.3">
      <c r="A183">
        <v>79372</v>
      </c>
      <c r="B183">
        <v>30</v>
      </c>
      <c r="C183">
        <v>8</v>
      </c>
      <c r="D183">
        <v>1982</v>
      </c>
      <c r="E183">
        <v>10</v>
      </c>
      <c r="F183">
        <v>6</v>
      </c>
      <c r="G183">
        <v>1985</v>
      </c>
      <c r="H183">
        <v>101</v>
      </c>
      <c r="I183" s="32">
        <f t="shared" si="31"/>
        <v>18.09975124224178</v>
      </c>
      <c r="J183" s="1">
        <v>2.7808219178082201</v>
      </c>
      <c r="K183" s="32">
        <f t="shared" si="32"/>
        <v>18.35235452249993</v>
      </c>
      <c r="L183" s="32">
        <f t="shared" si="33"/>
        <v>103.55458365238083</v>
      </c>
      <c r="M183" s="32">
        <f t="shared" si="34"/>
        <v>0.22910081273934049</v>
      </c>
      <c r="N183">
        <v>0.47680259740445763</v>
      </c>
      <c r="O183" s="32">
        <f t="shared" si="40"/>
        <v>18.580573590521464</v>
      </c>
      <c r="P183" s="32">
        <f t="shared" si="35"/>
        <v>105.89000232871739</v>
      </c>
      <c r="Q183">
        <v>16</v>
      </c>
      <c r="R183">
        <v>117</v>
      </c>
      <c r="S183" s="1">
        <f t="shared" si="36"/>
        <v>18.101343311190931</v>
      </c>
      <c r="T183" s="1">
        <f t="shared" si="41"/>
        <v>18.580573590521464</v>
      </c>
      <c r="U183" s="1">
        <f t="shared" si="37"/>
        <v>18.435519417327821</v>
      </c>
      <c r="V183" s="1">
        <f t="shared" si="38"/>
        <v>2.56147882415772</v>
      </c>
      <c r="W183" s="1">
        <f t="shared" si="42"/>
        <v>2.1040713160891251E-2</v>
      </c>
      <c r="X183" s="1">
        <f t="shared" si="43"/>
        <v>0.14505417319364255</v>
      </c>
      <c r="Y183" s="39">
        <f t="shared" si="39"/>
        <v>104.38590166846465</v>
      </c>
      <c r="AB183">
        <v>178</v>
      </c>
      <c r="AC183" s="7"/>
      <c r="AF183" s="7"/>
      <c r="AG183" s="10"/>
      <c r="AH183" s="1"/>
      <c r="AI183" s="10"/>
      <c r="AJ183" s="32"/>
      <c r="AL183" s="1"/>
    </row>
    <row r="184" spans="1:38" x14ac:dyDescent="0.3">
      <c r="A184">
        <v>78996</v>
      </c>
      <c r="B184">
        <v>31</v>
      </c>
      <c r="C184">
        <v>7</v>
      </c>
      <c r="D184">
        <v>1982</v>
      </c>
      <c r="E184">
        <v>6</v>
      </c>
      <c r="F184">
        <v>5</v>
      </c>
      <c r="G184">
        <v>1987</v>
      </c>
      <c r="H184">
        <v>84</v>
      </c>
      <c r="I184" s="32">
        <f t="shared" si="31"/>
        <v>16.330302779823359</v>
      </c>
      <c r="J184" s="1">
        <v>4.7671232876712297</v>
      </c>
      <c r="K184" s="32">
        <f t="shared" si="32"/>
        <v>17.126336492603816</v>
      </c>
      <c r="L184" s="32">
        <f t="shared" si="33"/>
        <v>91.454186907077101</v>
      </c>
      <c r="M184" s="32">
        <f t="shared" si="34"/>
        <v>0.35703414501829928</v>
      </c>
      <c r="N184">
        <v>0.76189962783246301</v>
      </c>
      <c r="O184" s="32">
        <f t="shared" si="40"/>
        <v>17.581589304994313</v>
      </c>
      <c r="P184" s="32">
        <f t="shared" si="35"/>
        <v>95.85965992736692</v>
      </c>
      <c r="Q184">
        <v>24</v>
      </c>
      <c r="R184">
        <v>108</v>
      </c>
      <c r="S184" s="1">
        <f t="shared" si="36"/>
        <v>16.331669512789063</v>
      </c>
      <c r="T184" s="1">
        <f t="shared" si="41"/>
        <v>17.581589304994313</v>
      </c>
      <c r="U184" s="1">
        <f t="shared" si="37"/>
        <v>17.23788943983239</v>
      </c>
      <c r="V184" s="1">
        <f t="shared" si="38"/>
        <v>4.017859402722892</v>
      </c>
      <c r="W184" s="1">
        <f t="shared" si="42"/>
        <v>0.11812959731232434</v>
      </c>
      <c r="X184" s="1">
        <f t="shared" si="43"/>
        <v>0.34369986516192341</v>
      </c>
      <c r="Y184" s="39">
        <f t="shared" si="39"/>
        <v>92.509852628841216</v>
      </c>
      <c r="AB184">
        <v>179</v>
      </c>
      <c r="AC184" s="7"/>
      <c r="AF184" s="7"/>
      <c r="AG184" s="10"/>
      <c r="AH184" s="1"/>
      <c r="AI184" s="10"/>
      <c r="AJ184" s="32"/>
      <c r="AL184" s="1"/>
    </row>
    <row r="185" spans="1:38" x14ac:dyDescent="0.3">
      <c r="A185">
        <v>76713</v>
      </c>
      <c r="B185">
        <v>30</v>
      </c>
      <c r="C185">
        <v>7</v>
      </c>
      <c r="D185">
        <v>1982</v>
      </c>
      <c r="E185">
        <v>30</v>
      </c>
      <c r="F185">
        <v>4</v>
      </c>
      <c r="G185">
        <v>1984</v>
      </c>
      <c r="H185">
        <v>80</v>
      </c>
      <c r="I185" s="32">
        <f t="shared" si="31"/>
        <v>15.888543819998318</v>
      </c>
      <c r="J185" s="1">
        <v>1.75342465753425</v>
      </c>
      <c r="K185" s="32">
        <f t="shared" si="32"/>
        <v>16.242182486585325</v>
      </c>
      <c r="L185" s="32">
        <f t="shared" si="33"/>
        <v>83.194305468470091</v>
      </c>
      <c r="M185" s="32">
        <f t="shared" si="34"/>
        <v>0.15196408401693537</v>
      </c>
      <c r="N185">
        <v>-0.10372673386882525</v>
      </c>
      <c r="O185" s="32">
        <f t="shared" si="40"/>
        <v>16.201747138930223</v>
      </c>
      <c r="P185" s="32">
        <f t="shared" si="35"/>
        <v>82.825899727388645</v>
      </c>
      <c r="Q185">
        <v>18</v>
      </c>
      <c r="R185">
        <v>98</v>
      </c>
      <c r="S185" s="1">
        <f t="shared" si="36"/>
        <v>15.889855761403318</v>
      </c>
      <c r="T185" s="1">
        <f t="shared" si="41"/>
        <v>16.201747138930223</v>
      </c>
      <c r="U185" s="1">
        <f t="shared" si="37"/>
        <v>16.282631853997561</v>
      </c>
      <c r="V185" s="1">
        <f t="shared" si="38"/>
        <v>1.6930280992608442</v>
      </c>
      <c r="W185" s="1">
        <f t="shared" si="42"/>
        <v>6.5423371315244489E-3</v>
      </c>
      <c r="X185" s="1">
        <f t="shared" si="43"/>
        <v>-8.0884715067337964E-2</v>
      </c>
      <c r="Y185" s="39">
        <f t="shared" si="39"/>
        <v>83.551219466993075</v>
      </c>
      <c r="AB185">
        <v>180</v>
      </c>
      <c r="AC185" s="7"/>
      <c r="AF185" s="7"/>
      <c r="AG185" s="10"/>
      <c r="AH185" s="1"/>
      <c r="AI185" s="10"/>
      <c r="AJ185" s="32"/>
      <c r="AL185" s="1"/>
    </row>
    <row r="186" spans="1:38" x14ac:dyDescent="0.3">
      <c r="A186">
        <v>78984</v>
      </c>
      <c r="B186">
        <v>31</v>
      </c>
      <c r="C186">
        <v>7</v>
      </c>
      <c r="D186">
        <v>1982</v>
      </c>
      <c r="E186">
        <v>7</v>
      </c>
      <c r="F186">
        <v>5</v>
      </c>
      <c r="G186">
        <v>1986</v>
      </c>
      <c r="H186">
        <v>93</v>
      </c>
      <c r="I186" s="32">
        <f t="shared" si="31"/>
        <v>17.28730152198591</v>
      </c>
      <c r="J186" s="1">
        <v>3.7698630136986302</v>
      </c>
      <c r="K186" s="32">
        <f t="shared" si="32"/>
        <v>17.764253460488426</v>
      </c>
      <c r="L186" s="32">
        <f t="shared" si="33"/>
        <v>97.65642871260718</v>
      </c>
      <c r="M186" s="32">
        <f t="shared" si="34"/>
        <v>0.29605896306247759</v>
      </c>
      <c r="N186">
        <v>0.66584789237822406</v>
      </c>
      <c r="O186" s="32">
        <f t="shared" si="40"/>
        <v>18.12654995860478</v>
      </c>
      <c r="P186" s="32">
        <f t="shared" si="35"/>
        <v>101.26950330905352</v>
      </c>
      <c r="Q186">
        <v>30</v>
      </c>
      <c r="R186">
        <v>123</v>
      </c>
      <c r="S186" s="1">
        <f t="shared" si="36"/>
        <v>17.288788988981409</v>
      </c>
      <c r="T186" s="1">
        <f t="shared" si="41"/>
        <v>18.12654995860478</v>
      </c>
      <c r="U186" s="1">
        <f t="shared" si="37"/>
        <v>17.864935875236775</v>
      </c>
      <c r="V186" s="1">
        <f t="shared" si="38"/>
        <v>3.3210308411634917</v>
      </c>
      <c r="W186" s="1">
        <f t="shared" si="42"/>
        <v>6.8441928616481795E-2</v>
      </c>
      <c r="X186" s="1">
        <f t="shared" si="43"/>
        <v>0.26161408336800562</v>
      </c>
      <c r="Y186" s="39">
        <f t="shared" si="39"/>
        <v>98.638410972520347</v>
      </c>
      <c r="AB186">
        <v>181</v>
      </c>
      <c r="AC186" s="7"/>
      <c r="AF186" s="7"/>
      <c r="AG186" s="10"/>
      <c r="AH186" s="1"/>
      <c r="AI186" s="10"/>
      <c r="AJ186" s="32"/>
      <c r="AL186" s="1"/>
    </row>
    <row r="187" spans="1:38" x14ac:dyDescent="0.3">
      <c r="A187">
        <v>76860</v>
      </c>
      <c r="B187">
        <v>30</v>
      </c>
      <c r="C187">
        <v>7</v>
      </c>
      <c r="D187">
        <v>1982</v>
      </c>
      <c r="E187">
        <v>4</v>
      </c>
      <c r="F187">
        <v>7</v>
      </c>
      <c r="G187">
        <v>1984</v>
      </c>
      <c r="H187">
        <v>67</v>
      </c>
      <c r="I187" s="32">
        <f t="shared" si="31"/>
        <v>14.370705543744901</v>
      </c>
      <c r="J187" s="1">
        <v>1.93150684931507</v>
      </c>
      <c r="K187" s="32">
        <f t="shared" si="32"/>
        <v>14.901681567413496</v>
      </c>
      <c r="L187" s="32">
        <f t="shared" si="33"/>
        <v>71.416709951561302</v>
      </c>
      <c r="M187" s="32">
        <f t="shared" si="34"/>
        <v>0.1659235249505992</v>
      </c>
      <c r="N187">
        <v>0.56379576562903821</v>
      </c>
      <c r="O187" s="32">
        <f t="shared" si="40"/>
        <v>15.131336507822329</v>
      </c>
      <c r="P187" s="32">
        <f t="shared" si="35"/>
        <v>73.370672636061542</v>
      </c>
      <c r="Q187">
        <v>4</v>
      </c>
      <c r="R187">
        <v>71</v>
      </c>
      <c r="S187" s="1">
        <f t="shared" si="36"/>
        <v>14.371834005854058</v>
      </c>
      <c r="T187" s="1">
        <f t="shared" si="41"/>
        <v>15.131336507822329</v>
      </c>
      <c r="U187" s="1">
        <f t="shared" si="37"/>
        <v>14.935939469377248</v>
      </c>
      <c r="V187" s="1">
        <f t="shared" si="38"/>
        <v>1.8497042302767086</v>
      </c>
      <c r="W187" s="1">
        <f t="shared" si="42"/>
        <v>3.8180002633108702E-2</v>
      </c>
      <c r="X187" s="1">
        <f t="shared" si="43"/>
        <v>0.19539703844508161</v>
      </c>
      <c r="Y187" s="39">
        <f t="shared" si="39"/>
        <v>71.696386155646479</v>
      </c>
      <c r="AB187">
        <v>182</v>
      </c>
      <c r="AC187" s="7"/>
      <c r="AF187" s="7"/>
      <c r="AG187" s="10"/>
      <c r="AH187" s="1"/>
      <c r="AI187" s="10"/>
      <c r="AJ187" s="32"/>
      <c r="AL187" s="1"/>
    </row>
    <row r="188" spans="1:38" x14ac:dyDescent="0.3">
      <c r="A188">
        <v>76930</v>
      </c>
      <c r="B188">
        <v>31</v>
      </c>
      <c r="C188">
        <v>7</v>
      </c>
      <c r="D188">
        <v>1982</v>
      </c>
      <c r="E188">
        <v>8</v>
      </c>
      <c r="F188">
        <v>6</v>
      </c>
      <c r="G188">
        <v>1985</v>
      </c>
      <c r="H188">
        <v>83</v>
      </c>
      <c r="I188" s="32">
        <f t="shared" si="31"/>
        <v>16.220867158288598</v>
      </c>
      <c r="J188" s="1">
        <v>2.8575342465753399</v>
      </c>
      <c r="K188" s="32">
        <f t="shared" si="32"/>
        <v>16.736101855039269</v>
      </c>
      <c r="L188" s="32">
        <f t="shared" si="33"/>
        <v>87.760378180601492</v>
      </c>
      <c r="M188" s="32">
        <f t="shared" si="34"/>
        <v>0.23454073286128943</v>
      </c>
      <c r="N188">
        <v>-0.47294861360569485</v>
      </c>
      <c r="O188" s="32">
        <f t="shared" si="40"/>
        <v>16.507055652586573</v>
      </c>
      <c r="P188" s="32">
        <f t="shared" si="35"/>
        <v>85.627777231984155</v>
      </c>
      <c r="Q188">
        <v>8</v>
      </c>
      <c r="R188">
        <v>91</v>
      </c>
      <c r="S188" s="1">
        <f t="shared" si="36"/>
        <v>16.222220261490186</v>
      </c>
      <c r="T188" s="1">
        <f t="shared" si="41"/>
        <v>16.507055652586573</v>
      </c>
      <c r="U188" s="1">
        <f t="shared" si="37"/>
        <v>16.803797522693163</v>
      </c>
      <c r="V188" s="1">
        <f t="shared" si="38"/>
        <v>2.6229814902936228</v>
      </c>
      <c r="W188" s="1">
        <f t="shared" si="42"/>
        <v>8.805573747435648E-2</v>
      </c>
      <c r="X188" s="1">
        <f t="shared" si="43"/>
        <v>-0.29674187010659026</v>
      </c>
      <c r="Y188" s="39">
        <f t="shared" si="39"/>
        <v>88.382294226702754</v>
      </c>
      <c r="AB188">
        <v>183</v>
      </c>
      <c r="AC188" s="7"/>
      <c r="AF188" s="7"/>
      <c r="AG188" s="10"/>
      <c r="AH188" s="1"/>
      <c r="AI188" s="10"/>
      <c r="AJ188" s="32"/>
      <c r="AL188" s="1"/>
    </row>
    <row r="189" spans="1:38" x14ac:dyDescent="0.3">
      <c r="A189">
        <v>78841</v>
      </c>
      <c r="B189">
        <v>27</v>
      </c>
      <c r="C189">
        <v>7</v>
      </c>
      <c r="D189">
        <v>1982</v>
      </c>
      <c r="E189">
        <v>4</v>
      </c>
      <c r="F189">
        <v>5</v>
      </c>
      <c r="G189">
        <v>1983</v>
      </c>
      <c r="H189">
        <v>81</v>
      </c>
      <c r="I189" s="32">
        <f t="shared" si="31"/>
        <v>16</v>
      </c>
      <c r="J189" s="1">
        <v>0.76986301369862997</v>
      </c>
      <c r="K189" s="32">
        <f t="shared" si="32"/>
        <v>16.154877158121721</v>
      </c>
      <c r="L189" s="32">
        <f t="shared" si="33"/>
        <v>82.399891156622459</v>
      </c>
      <c r="M189" s="32">
        <f t="shared" si="34"/>
        <v>7.0097903703802644E-2</v>
      </c>
      <c r="N189">
        <v>-1.1436895874794573E-2</v>
      </c>
      <c r="O189" s="32">
        <f t="shared" si="40"/>
        <v>16.151849124574131</v>
      </c>
      <c r="P189" s="32">
        <f t="shared" si="35"/>
        <v>82.372406660325666</v>
      </c>
      <c r="Q189">
        <v>1</v>
      </c>
      <c r="R189">
        <v>82</v>
      </c>
      <c r="S189" s="1">
        <f t="shared" si="36"/>
        <v>16.001325708024599</v>
      </c>
      <c r="T189" s="1">
        <f t="shared" si="41"/>
        <v>16.151849124574131</v>
      </c>
      <c r="U189" s="1">
        <f t="shared" si="37"/>
        <v>16.173811125428578</v>
      </c>
      <c r="V189" s="1">
        <f t="shared" si="38"/>
        <v>0.77821645787090177</v>
      </c>
      <c r="W189" s="1">
        <f t="shared" si="42"/>
        <v>4.8232948153075004E-4</v>
      </c>
      <c r="X189" s="1">
        <f t="shared" si="43"/>
        <v>-2.1962000854447439E-2</v>
      </c>
      <c r="Y189" s="39">
        <f t="shared" si="39"/>
        <v>82.559612310826907</v>
      </c>
      <c r="AB189">
        <v>184</v>
      </c>
      <c r="AC189" s="7"/>
      <c r="AF189" s="7"/>
      <c r="AG189" s="10"/>
      <c r="AH189" s="1"/>
      <c r="AI189" s="10"/>
      <c r="AJ189" s="32"/>
      <c r="AL189" s="1"/>
    </row>
    <row r="190" spans="1:38" x14ac:dyDescent="0.3">
      <c r="A190">
        <v>77115</v>
      </c>
      <c r="B190">
        <v>2</v>
      </c>
      <c r="C190">
        <v>8</v>
      </c>
      <c r="D190">
        <v>1982</v>
      </c>
      <c r="E190">
        <v>5</v>
      </c>
      <c r="F190">
        <v>8</v>
      </c>
      <c r="G190">
        <v>1984</v>
      </c>
      <c r="H190">
        <v>60</v>
      </c>
      <c r="I190" s="32">
        <f t="shared" si="31"/>
        <v>13.491933384829668</v>
      </c>
      <c r="J190" s="1">
        <v>2.0109589041095899</v>
      </c>
      <c r="K190" s="32">
        <f t="shared" si="32"/>
        <v>14.12977057076726</v>
      </c>
      <c r="L190" s="32">
        <f t="shared" si="33"/>
        <v>65.042374666397393</v>
      </c>
      <c r="M190" s="32">
        <f t="shared" si="34"/>
        <v>0.17206978448388011</v>
      </c>
      <c r="N190">
        <v>2.200486051151529</v>
      </c>
      <c r="O190" s="32">
        <f t="shared" si="40"/>
        <v>15.042560683721522</v>
      </c>
      <c r="P190" s="32">
        <f t="shared" si="35"/>
        <v>72.612218664582642</v>
      </c>
      <c r="Q190">
        <v>12</v>
      </c>
      <c r="R190">
        <v>72</v>
      </c>
      <c r="S190" s="1">
        <f t="shared" si="36"/>
        <v>13.492959197163596</v>
      </c>
      <c r="T190" s="1">
        <f t="shared" si="41"/>
        <v>15.042560683721522</v>
      </c>
      <c r="U190" s="1">
        <f t="shared" si="37"/>
        <v>14.159342215902134</v>
      </c>
      <c r="V190" s="1">
        <f t="shared" si="38"/>
        <v>1.9187542444789329</v>
      </c>
      <c r="W190" s="1">
        <f t="shared" si="42"/>
        <v>0.78007486189722719</v>
      </c>
      <c r="X190" s="1">
        <f t="shared" si="43"/>
        <v>0.88321846781938795</v>
      </c>
      <c r="Y190" s="39">
        <f t="shared" si="39"/>
        <v>65.272170450018251</v>
      </c>
      <c r="AB190">
        <v>185</v>
      </c>
      <c r="AC190" s="7"/>
      <c r="AF190" s="7"/>
      <c r="AG190" s="10"/>
      <c r="AH190" s="1"/>
      <c r="AI190" s="10"/>
      <c r="AJ190" s="32"/>
      <c r="AL190" s="1"/>
    </row>
    <row r="191" spans="1:38" x14ac:dyDescent="0.3">
      <c r="A191">
        <v>79405</v>
      </c>
      <c r="B191">
        <v>2</v>
      </c>
      <c r="C191">
        <v>9</v>
      </c>
      <c r="D191">
        <v>1982</v>
      </c>
      <c r="E191">
        <v>21</v>
      </c>
      <c r="F191">
        <v>4</v>
      </c>
      <c r="G191">
        <v>1985</v>
      </c>
      <c r="H191">
        <v>107</v>
      </c>
      <c r="I191" s="32">
        <f t="shared" si="31"/>
        <v>18.688160865577203</v>
      </c>
      <c r="J191" s="1">
        <v>2.63561643835616</v>
      </c>
      <c r="K191" s="32">
        <f t="shared" si="32"/>
        <v>18.854042396759507</v>
      </c>
      <c r="L191" s="32">
        <f t="shared" si="33"/>
        <v>108.72277107146076</v>
      </c>
      <c r="M191" s="32">
        <f t="shared" si="34"/>
        <v>0.21868587245305873</v>
      </c>
      <c r="N191">
        <v>1.7449337974539958</v>
      </c>
      <c r="O191" s="32">
        <f t="shared" si="40"/>
        <v>19.670040817735359</v>
      </c>
      <c r="P191" s="32">
        <f t="shared" si="35"/>
        <v>117.39766726057914</v>
      </c>
      <c r="Q191">
        <v>30</v>
      </c>
      <c r="R191">
        <v>137</v>
      </c>
      <c r="S191" s="1">
        <f t="shared" si="36"/>
        <v>18.689829850493993</v>
      </c>
      <c r="T191" s="1">
        <f t="shared" si="41"/>
        <v>19.670040817735359</v>
      </c>
      <c r="U191" s="1">
        <f t="shared" si="37"/>
        <v>18.938295664327967</v>
      </c>
      <c r="V191" s="1">
        <f t="shared" si="38"/>
        <v>2.4438271433292154</v>
      </c>
      <c r="W191" s="1">
        <f t="shared" si="42"/>
        <v>0.53545096953520732</v>
      </c>
      <c r="X191" s="1">
        <f t="shared" si="43"/>
        <v>0.73174515340739177</v>
      </c>
      <c r="Y191" s="39">
        <f t="shared" si="39"/>
        <v>109.58524124468299</v>
      </c>
      <c r="AB191">
        <v>186</v>
      </c>
      <c r="AC191" s="7"/>
      <c r="AF191" s="7"/>
      <c r="AG191" s="10"/>
      <c r="AH191" s="1"/>
      <c r="AI191" s="10"/>
      <c r="AJ191" s="32"/>
      <c r="AL191" s="1"/>
    </row>
    <row r="192" spans="1:38" x14ac:dyDescent="0.3">
      <c r="A192">
        <v>78875</v>
      </c>
      <c r="B192">
        <v>27</v>
      </c>
      <c r="C192">
        <v>7</v>
      </c>
      <c r="D192">
        <v>1982</v>
      </c>
      <c r="E192">
        <v>11</v>
      </c>
      <c r="F192">
        <v>5</v>
      </c>
      <c r="G192">
        <v>1988</v>
      </c>
      <c r="H192">
        <v>70</v>
      </c>
      <c r="I192" s="32">
        <f t="shared" si="31"/>
        <v>14.733200530681511</v>
      </c>
      <c r="J192" s="1">
        <v>5.7945205479452104</v>
      </c>
      <c r="K192" s="32">
        <f t="shared" si="32"/>
        <v>16.087397246331705</v>
      </c>
      <c r="L192" s="32">
        <f t="shared" si="33"/>
        <v>81.788484786651935</v>
      </c>
      <c r="M192" s="32">
        <f t="shared" si="34"/>
        <v>0.41365710083577911</v>
      </c>
      <c r="N192">
        <v>0.42246028897352517</v>
      </c>
      <c r="O192" s="32">
        <f t="shared" si="40"/>
        <v>16.359107566169321</v>
      </c>
      <c r="P192" s="32">
        <f t="shared" si="35"/>
        <v>84.264207656543903</v>
      </c>
      <c r="Q192">
        <v>26</v>
      </c>
      <c r="R192">
        <v>96</v>
      </c>
      <c r="S192" s="1">
        <f t="shared" si="36"/>
        <v>14.734372118089272</v>
      </c>
      <c r="T192" s="1">
        <f t="shared" si="41"/>
        <v>16.359107566169321</v>
      </c>
      <c r="U192" s="1">
        <f t="shared" si="37"/>
        <v>16.195167944590438</v>
      </c>
      <c r="V192" s="1">
        <f t="shared" si="38"/>
        <v>4.6698556718713089</v>
      </c>
      <c r="W192" s="1">
        <f t="shared" si="42"/>
        <v>2.6876199523427534E-2</v>
      </c>
      <c r="X192" s="1">
        <f t="shared" si="43"/>
        <v>0.16393962157888353</v>
      </c>
      <c r="Y192" s="39">
        <f t="shared" si="39"/>
        <v>82.753755214889495</v>
      </c>
      <c r="AB192">
        <v>187</v>
      </c>
      <c r="AC192" s="7"/>
      <c r="AF192" s="7"/>
      <c r="AG192" s="10"/>
      <c r="AH192" s="1"/>
      <c r="AI192" s="10"/>
      <c r="AJ192" s="32"/>
      <c r="AL192" s="1"/>
    </row>
    <row r="193" spans="1:38" x14ac:dyDescent="0.3">
      <c r="A193">
        <v>78960</v>
      </c>
      <c r="B193">
        <v>30</v>
      </c>
      <c r="C193">
        <v>7</v>
      </c>
      <c r="D193">
        <v>1982</v>
      </c>
      <c r="E193">
        <v>30</v>
      </c>
      <c r="F193">
        <v>7</v>
      </c>
      <c r="G193">
        <v>1983</v>
      </c>
      <c r="H193">
        <v>80</v>
      </c>
      <c r="I193" s="32">
        <f t="shared" si="31"/>
        <v>15.888543819998318</v>
      </c>
      <c r="J193" s="1">
        <v>1</v>
      </c>
      <c r="K193" s="32">
        <f t="shared" si="32"/>
        <v>16.0941166289984</v>
      </c>
      <c r="L193" s="32">
        <f t="shared" si="33"/>
        <v>81.849264145949107</v>
      </c>
      <c r="M193" s="32">
        <f t="shared" si="34"/>
        <v>9.0000000000000011E-2</v>
      </c>
      <c r="N193">
        <v>-0.53364829000202008</v>
      </c>
      <c r="O193" s="32">
        <f t="shared" si="40"/>
        <v>15.934022141997794</v>
      </c>
      <c r="P193" s="32">
        <f t="shared" si="35"/>
        <v>80.407287547416786</v>
      </c>
      <c r="Q193">
        <v>3</v>
      </c>
      <c r="R193">
        <v>83</v>
      </c>
      <c r="S193" s="1">
        <f t="shared" si="36"/>
        <v>15.889855761403318</v>
      </c>
      <c r="T193" s="1">
        <f t="shared" si="41"/>
        <v>15.934022141997794</v>
      </c>
      <c r="U193" s="1">
        <f t="shared" si="37"/>
        <v>16.117865963418861</v>
      </c>
      <c r="V193" s="1">
        <f t="shared" si="38"/>
        <v>1</v>
      </c>
      <c r="W193" s="1">
        <f t="shared" si="42"/>
        <v>3.3798550674701389E-2</v>
      </c>
      <c r="X193" s="1">
        <f t="shared" si="43"/>
        <v>-0.18384382142106759</v>
      </c>
      <c r="Y193" s="39">
        <f t="shared" si="39"/>
        <v>82.052126956215346</v>
      </c>
      <c r="AB193">
        <v>188</v>
      </c>
      <c r="AC193" s="7"/>
      <c r="AF193" s="7"/>
      <c r="AG193" s="10"/>
      <c r="AH193" s="1"/>
      <c r="AI193" s="10"/>
      <c r="AJ193" s="32"/>
      <c r="AL193" s="1"/>
    </row>
    <row r="194" spans="1:38" x14ac:dyDescent="0.3">
      <c r="A194">
        <v>79436</v>
      </c>
      <c r="B194">
        <v>3</v>
      </c>
      <c r="C194">
        <v>9</v>
      </c>
      <c r="D194">
        <v>1982</v>
      </c>
      <c r="E194">
        <v>29</v>
      </c>
      <c r="F194">
        <v>4</v>
      </c>
      <c r="G194">
        <v>1989</v>
      </c>
      <c r="H194">
        <v>78</v>
      </c>
      <c r="I194" s="32">
        <f t="shared" si="31"/>
        <v>15.663521732655695</v>
      </c>
      <c r="J194" s="1">
        <v>6.6575342465753398</v>
      </c>
      <c r="K194" s="32">
        <f t="shared" si="32"/>
        <v>16.918009373392035</v>
      </c>
      <c r="L194" s="32">
        <f t="shared" si="33"/>
        <v>89.472769662937225</v>
      </c>
      <c r="M194" s="32">
        <f t="shared" si="34"/>
        <v>0.4568190562815671</v>
      </c>
      <c r="N194">
        <v>0.85735791799379513</v>
      </c>
      <c r="O194" s="32">
        <f t="shared" si="40"/>
        <v>17.49748379304555</v>
      </c>
      <c r="P194" s="32">
        <f t="shared" si="35"/>
        <v>95.037968565018474</v>
      </c>
      <c r="Q194">
        <v>15</v>
      </c>
      <c r="R194">
        <v>93</v>
      </c>
      <c r="S194" s="1">
        <f t="shared" si="36"/>
        <v>15.664805999633327</v>
      </c>
      <c r="T194" s="1">
        <f t="shared" si="41"/>
        <v>17.49748379304555</v>
      </c>
      <c r="U194" s="1">
        <f t="shared" si="37"/>
        <v>17.058209072952625</v>
      </c>
      <c r="V194" s="1">
        <f t="shared" si="38"/>
        <v>5.1703806698788703</v>
      </c>
      <c r="W194" s="1">
        <f t="shared" si="42"/>
        <v>0.19296227971271762</v>
      </c>
      <c r="X194" s="1">
        <f t="shared" si="43"/>
        <v>0.43927472009292501</v>
      </c>
      <c r="Y194" s="39">
        <f t="shared" si="39"/>
        <v>90.789939112333172</v>
      </c>
      <c r="AB194">
        <v>189</v>
      </c>
      <c r="AC194" s="7"/>
      <c r="AF194" s="7"/>
      <c r="AG194" s="10"/>
      <c r="AH194" s="1"/>
      <c r="AI194" s="10"/>
      <c r="AJ194" s="32"/>
      <c r="AL194" s="1"/>
    </row>
    <row r="195" spans="1:38" x14ac:dyDescent="0.3">
      <c r="A195">
        <v>79119</v>
      </c>
      <c r="B195">
        <v>9</v>
      </c>
      <c r="C195">
        <v>8</v>
      </c>
      <c r="D195">
        <v>1982</v>
      </c>
      <c r="E195">
        <v>22</v>
      </c>
      <c r="F195">
        <v>8</v>
      </c>
      <c r="G195">
        <v>1987</v>
      </c>
      <c r="H195">
        <v>75</v>
      </c>
      <c r="I195" s="32">
        <f t="shared" si="31"/>
        <v>15.320508075688775</v>
      </c>
      <c r="J195" s="1">
        <v>5.0383561643835604</v>
      </c>
      <c r="K195" s="32">
        <f t="shared" si="32"/>
        <v>16.38621516134036</v>
      </c>
      <c r="L195" s="32">
        <f t="shared" si="33"/>
        <v>84.513226989775532</v>
      </c>
      <c r="M195" s="32">
        <f t="shared" si="34"/>
        <v>0.37256710030341994</v>
      </c>
      <c r="N195">
        <v>0.32763637136667967</v>
      </c>
      <c r="O195" s="32">
        <f t="shared" si="40"/>
        <v>16.586198750374685</v>
      </c>
      <c r="P195" s="32">
        <f t="shared" si="35"/>
        <v>86.361695997107375</v>
      </c>
      <c r="Q195">
        <v>34</v>
      </c>
      <c r="R195">
        <v>109</v>
      </c>
      <c r="S195" s="1">
        <f t="shared" si="36"/>
        <v>15.321750468212322</v>
      </c>
      <c r="T195" s="1">
        <f t="shared" si="41"/>
        <v>16.586198750374685</v>
      </c>
      <c r="U195" s="1">
        <f t="shared" si="37"/>
        <v>16.48880760047534</v>
      </c>
      <c r="V195" s="1">
        <f t="shared" si="38"/>
        <v>4.1962234695361227</v>
      </c>
      <c r="W195" s="1">
        <f t="shared" si="42"/>
        <v>9.4850360787165893E-3</v>
      </c>
      <c r="X195" s="1">
        <f t="shared" si="43"/>
        <v>9.7391149899344498E-2</v>
      </c>
      <c r="Y195" s="39">
        <f t="shared" si="39"/>
        <v>85.446185978076642</v>
      </c>
      <c r="AB195">
        <v>190</v>
      </c>
      <c r="AC195" s="7"/>
      <c r="AF195" s="7"/>
      <c r="AG195" s="10"/>
      <c r="AH195" s="1"/>
      <c r="AI195" s="10"/>
      <c r="AJ195" s="32"/>
      <c r="AL195" s="1"/>
    </row>
    <row r="196" spans="1:38" x14ac:dyDescent="0.3">
      <c r="A196">
        <v>79303</v>
      </c>
      <c r="B196">
        <v>23</v>
      </c>
      <c r="C196">
        <v>8</v>
      </c>
      <c r="D196">
        <v>1982</v>
      </c>
      <c r="E196">
        <v>8</v>
      </c>
      <c r="F196">
        <v>11</v>
      </c>
      <c r="G196">
        <v>1984</v>
      </c>
      <c r="H196">
        <v>92</v>
      </c>
      <c r="I196" s="32">
        <f t="shared" si="31"/>
        <v>17.183326093250876</v>
      </c>
      <c r="J196" s="1">
        <v>2.2136986301369901</v>
      </c>
      <c r="K196" s="32">
        <f t="shared" si="32"/>
        <v>17.485663811848671</v>
      </c>
      <c r="L196" s="32">
        <f t="shared" si="33"/>
        <v>94.922773547097222</v>
      </c>
      <c r="M196" s="32">
        <f t="shared" si="34"/>
        <v>0.18752820177762175</v>
      </c>
      <c r="N196">
        <v>1.3571025192504749</v>
      </c>
      <c r="O196" s="32">
        <f t="shared" si="40"/>
        <v>18.07335063230369</v>
      </c>
      <c r="P196" s="32">
        <f t="shared" si="35"/>
        <v>100.73485140185174</v>
      </c>
      <c r="Q196">
        <v>9</v>
      </c>
      <c r="R196">
        <v>101</v>
      </c>
      <c r="S196" s="1">
        <f t="shared" si="36"/>
        <v>17.18480031092902</v>
      </c>
      <c r="T196" s="1">
        <f t="shared" si="41"/>
        <v>18.07335063230369</v>
      </c>
      <c r="U196" s="1">
        <f t="shared" si="37"/>
        <v>17.54595785029349</v>
      </c>
      <c r="V196" s="1">
        <f t="shared" si="38"/>
        <v>2.0926040957871468</v>
      </c>
      <c r="W196" s="1">
        <f t="shared" si="42"/>
        <v>0.27814314651645788</v>
      </c>
      <c r="X196" s="1">
        <f t="shared" si="43"/>
        <v>0.52739278201019957</v>
      </c>
      <c r="Y196" s="39">
        <f t="shared" si="39"/>
        <v>95.496259121686421</v>
      </c>
      <c r="AB196">
        <v>191</v>
      </c>
      <c r="AC196" s="7"/>
      <c r="AF196" s="7"/>
      <c r="AG196" s="10"/>
      <c r="AH196" s="1"/>
      <c r="AI196" s="10"/>
      <c r="AJ196" s="32"/>
      <c r="AL196" s="1"/>
    </row>
    <row r="197" spans="1:38" x14ac:dyDescent="0.3">
      <c r="A197">
        <v>77122</v>
      </c>
      <c r="B197">
        <v>2</v>
      </c>
      <c r="C197">
        <v>8</v>
      </c>
      <c r="D197">
        <v>1982</v>
      </c>
      <c r="E197">
        <v>23</v>
      </c>
      <c r="F197">
        <v>4</v>
      </c>
      <c r="G197">
        <v>1985</v>
      </c>
      <c r="H197">
        <v>55</v>
      </c>
      <c r="I197" s="32">
        <f t="shared" si="31"/>
        <v>12.832396974191326</v>
      </c>
      <c r="J197" s="1">
        <v>2.7260273972602702</v>
      </c>
      <c r="K197" s="32">
        <f t="shared" si="32"/>
        <v>13.767706725585297</v>
      </c>
      <c r="L197" s="32">
        <f t="shared" si="33"/>
        <v>62.155143846016955</v>
      </c>
      <c r="M197" s="32">
        <f t="shared" si="34"/>
        <v>0.22518886146640016</v>
      </c>
      <c r="N197">
        <v>1.2927102943649516</v>
      </c>
      <c r="O197" s="32">
        <f t="shared" si="40"/>
        <v>14.381150353834007</v>
      </c>
      <c r="P197" s="32">
        <f t="shared" si="35"/>
        <v>67.08552172872902</v>
      </c>
      <c r="Q197">
        <v>31</v>
      </c>
      <c r="R197">
        <v>86</v>
      </c>
      <c r="S197" s="1">
        <f t="shared" si="36"/>
        <v>12.833347581326695</v>
      </c>
      <c r="T197" s="1">
        <f t="shared" si="41"/>
        <v>14.381150353834007</v>
      </c>
      <c r="U197" s="1">
        <f t="shared" si="37"/>
        <v>13.801948383752922</v>
      </c>
      <c r="V197" s="1">
        <f t="shared" si="38"/>
        <v>2.5172727650148099</v>
      </c>
      <c r="W197" s="1">
        <f t="shared" si="42"/>
        <v>0.33547492214581021</v>
      </c>
      <c r="X197" s="1">
        <f t="shared" si="43"/>
        <v>0.57920197008108509</v>
      </c>
      <c r="Y197" s="39">
        <f t="shared" si="39"/>
        <v>62.417005872168993</v>
      </c>
      <c r="AB197">
        <v>192</v>
      </c>
      <c r="AC197" s="7"/>
      <c r="AF197" s="7"/>
      <c r="AG197" s="10"/>
      <c r="AH197" s="1"/>
      <c r="AI197" s="10"/>
      <c r="AJ197" s="32"/>
      <c r="AL197" s="1"/>
    </row>
    <row r="198" spans="1:38" x14ac:dyDescent="0.3">
      <c r="A198">
        <v>22728</v>
      </c>
      <c r="B198">
        <v>28</v>
      </c>
      <c r="C198">
        <v>7</v>
      </c>
      <c r="D198">
        <v>1982</v>
      </c>
      <c r="E198">
        <v>7</v>
      </c>
      <c r="F198">
        <v>11</v>
      </c>
      <c r="G198">
        <v>1983</v>
      </c>
      <c r="H198">
        <v>61</v>
      </c>
      <c r="I198" s="32">
        <f t="shared" si="31"/>
        <v>13.620499351813308</v>
      </c>
      <c r="J198" s="1">
        <v>1.2794520547945201</v>
      </c>
      <c r="K198" s="32">
        <f t="shared" si="32"/>
        <v>14.025726412678884</v>
      </c>
      <c r="L198" s="32">
        <f t="shared" si="33"/>
        <v>64.205976763508417</v>
      </c>
      <c r="M198" s="32">
        <f t="shared" si="34"/>
        <v>0.1135435901043759</v>
      </c>
      <c r="N198">
        <v>0.19036292542295996</v>
      </c>
      <c r="O198" s="32">
        <f t="shared" si="40"/>
        <v>14.089871541435651</v>
      </c>
      <c r="P198" s="32">
        <f t="shared" si="35"/>
        <v>64.7209915549752</v>
      </c>
      <c r="Q198">
        <v>6</v>
      </c>
      <c r="R198">
        <v>67</v>
      </c>
      <c r="S198" s="1">
        <f t="shared" si="36"/>
        <v>13.621540010438929</v>
      </c>
      <c r="T198" s="1">
        <f t="shared" si="41"/>
        <v>14.089871541435651</v>
      </c>
      <c r="U198" s="1">
        <f t="shared" si="37"/>
        <v>14.045270351194562</v>
      </c>
      <c r="V198" s="1">
        <f t="shared" si="38"/>
        <v>1.2628623587486552</v>
      </c>
      <c r="W198" s="1">
        <f t="shared" si="42"/>
        <v>1.9892661709217923E-3</v>
      </c>
      <c r="X198" s="1">
        <f t="shared" si="43"/>
        <v>4.4601190241088773E-2</v>
      </c>
      <c r="Y198" s="39">
        <f t="shared" si="39"/>
        <v>64.353930764110032</v>
      </c>
      <c r="AB198">
        <v>193</v>
      </c>
      <c r="AC198" s="7"/>
      <c r="AF198" s="7"/>
      <c r="AG198" s="10"/>
      <c r="AH198" s="1"/>
      <c r="AI198" s="10"/>
      <c r="AJ198" s="32"/>
      <c r="AL198" s="1"/>
    </row>
    <row r="199" spans="1:38" x14ac:dyDescent="0.3">
      <c r="A199">
        <v>22668</v>
      </c>
      <c r="B199">
        <v>26</v>
      </c>
      <c r="C199">
        <v>7</v>
      </c>
      <c r="D199">
        <v>1982</v>
      </c>
      <c r="E199">
        <v>21</v>
      </c>
      <c r="F199">
        <v>8</v>
      </c>
      <c r="G199">
        <v>1984</v>
      </c>
      <c r="H199">
        <v>54</v>
      </c>
      <c r="I199" s="32">
        <f t="shared" si="31"/>
        <v>12.696938456699069</v>
      </c>
      <c r="J199" s="1">
        <v>2.0739726027397301</v>
      </c>
      <c r="K199" s="32">
        <f t="shared" si="32"/>
        <v>13.433947843527029</v>
      </c>
      <c r="L199" s="32">
        <f t="shared" si="33"/>
        <v>59.551686509178161</v>
      </c>
      <c r="M199" s="32">
        <f t="shared" si="34"/>
        <v>0.17690890751311056</v>
      </c>
      <c r="N199">
        <v>0.32634488889016211</v>
      </c>
      <c r="O199" s="32">
        <f t="shared" si="40"/>
        <v>13.571210267997897</v>
      </c>
      <c r="P199" s="32">
        <f t="shared" si="35"/>
        <v>60.615647302550784</v>
      </c>
      <c r="Q199">
        <v>9</v>
      </c>
      <c r="R199">
        <v>63</v>
      </c>
      <c r="S199" s="1">
        <f t="shared" si="36"/>
        <v>12.697873819873205</v>
      </c>
      <c r="T199" s="1">
        <f t="shared" si="41"/>
        <v>13.571210267997897</v>
      </c>
      <c r="U199" s="1">
        <f t="shared" si="37"/>
        <v>13.458809778160573</v>
      </c>
      <c r="V199" s="1">
        <f t="shared" si="38"/>
        <v>1.9731481819828018</v>
      </c>
      <c r="W199" s="1">
        <f t="shared" si="42"/>
        <v>1.2633870115670296E-2</v>
      </c>
      <c r="X199" s="1">
        <f t="shared" si="43"/>
        <v>0.11240048983732365</v>
      </c>
      <c r="Y199" s="39">
        <f t="shared" si="39"/>
        <v>59.73580168059641</v>
      </c>
      <c r="AB199">
        <v>194</v>
      </c>
      <c r="AC199" s="7"/>
      <c r="AF199" s="7"/>
      <c r="AG199" s="10"/>
      <c r="AH199" s="1"/>
      <c r="AI199" s="10"/>
      <c r="AJ199" s="32"/>
      <c r="AL199" s="1"/>
    </row>
    <row r="200" spans="1:38" x14ac:dyDescent="0.3">
      <c r="A200">
        <v>79401</v>
      </c>
      <c r="B200">
        <v>1</v>
      </c>
      <c r="C200">
        <v>9</v>
      </c>
      <c r="D200">
        <v>1982</v>
      </c>
      <c r="E200">
        <v>6</v>
      </c>
      <c r="F200">
        <v>5</v>
      </c>
      <c r="G200">
        <v>1983</v>
      </c>
      <c r="H200">
        <v>109</v>
      </c>
      <c r="I200" s="32">
        <f t="shared" ref="I200:I263" si="44">(H200^gamma_T-1)/gamma_T</f>
        <v>18.880613017821101</v>
      </c>
      <c r="J200" s="1">
        <v>0.67671232876712295</v>
      </c>
      <c r="K200" s="32">
        <f t="shared" ref="K200:K263" si="45">alpha_T*(1-rho_T^J200)/(1-rho_T)+I200*rho_T^J200</f>
        <v>18.918801234721389</v>
      </c>
      <c r="L200" s="32">
        <f t="shared" ref="L200:L263" si="46">(gamma_T*K200+1)^(1/gamma_T)</f>
        <v>109.39906127444527</v>
      </c>
      <c r="M200" s="32">
        <f t="shared" ref="M200:M263" si="47">sigma_eps_T^2*(1-rho_T^(2*J200))/(1-rho_T^2)</f>
        <v>6.190775656104943E-2</v>
      </c>
      <c r="N200">
        <v>0.70199803303694353</v>
      </c>
      <c r="O200" s="32">
        <f t="shared" si="40"/>
        <v>19.093467256314291</v>
      </c>
      <c r="P200" s="32">
        <f t="shared" ref="P200:P263" si="48">(gamma_T*O200+1)^(1/gamma_T)</f>
        <v>111.23359022330078</v>
      </c>
      <c r="Q200">
        <v>4</v>
      </c>
      <c r="R200">
        <v>113</v>
      </c>
      <c r="S200" s="1">
        <f t="shared" ref="S200:S263" si="49">(H200^gamma-1)/gamma</f>
        <v>18.88230736557643</v>
      </c>
      <c r="T200" s="1">
        <f t="shared" si="41"/>
        <v>19.093467256314291</v>
      </c>
      <c r="U200" s="1">
        <f t="shared" ref="U200:U263" si="50">alpha*(1-rho^J200)/(1-rho)+(rho^J200)*S200</f>
        <v>18.943007602611953</v>
      </c>
      <c r="V200" s="1">
        <f t="shared" ref="V200:V263" si="51">(1-rho^(2*J200))/(1-rho^2)</f>
        <v>0.68705748434461011</v>
      </c>
      <c r="W200" s="1">
        <f t="shared" si="42"/>
        <v>2.2638107392227522E-2</v>
      </c>
      <c r="X200" s="1">
        <f t="shared" si="43"/>
        <v>0.15045965370233816</v>
      </c>
      <c r="Y200" s="39">
        <f t="shared" ref="Y200:Y263" si="52">(U200*gamma+1)^(1/gamma)</f>
        <v>109.63456624273927</v>
      </c>
      <c r="AB200">
        <v>195</v>
      </c>
      <c r="AC200" s="7"/>
      <c r="AF200" s="7"/>
      <c r="AG200" s="10"/>
      <c r="AH200" s="1"/>
      <c r="AI200" s="10"/>
      <c r="AJ200" s="32"/>
      <c r="AL200" s="1"/>
    </row>
    <row r="201" spans="1:38" x14ac:dyDescent="0.3">
      <c r="A201">
        <v>78955</v>
      </c>
      <c r="B201">
        <v>30</v>
      </c>
      <c r="C201">
        <v>7</v>
      </c>
      <c r="D201">
        <v>1982</v>
      </c>
      <c r="E201">
        <v>10</v>
      </c>
      <c r="F201">
        <v>6</v>
      </c>
      <c r="G201">
        <v>1986</v>
      </c>
      <c r="H201">
        <v>76</v>
      </c>
      <c r="I201" s="32">
        <f t="shared" si="44"/>
        <v>15.435595774162696</v>
      </c>
      <c r="J201" s="1">
        <v>3.8657534246575298</v>
      </c>
      <c r="K201" s="32">
        <f t="shared" si="45"/>
        <v>16.2565757479301</v>
      </c>
      <c r="L201" s="32">
        <f t="shared" si="46"/>
        <v>83.325639509977364</v>
      </c>
      <c r="M201" s="32">
        <f t="shared" si="47"/>
        <v>0.30219674433707111</v>
      </c>
      <c r="N201">
        <v>-4.9169557314598933E-2</v>
      </c>
      <c r="O201" s="32">
        <f t="shared" ref="O201:O264" si="53">K201+N201*SQRT(M201)</f>
        <v>16.229546050212182</v>
      </c>
      <c r="P201" s="32">
        <f t="shared" si="48"/>
        <v>83.079087299201646</v>
      </c>
      <c r="Q201">
        <v>6</v>
      </c>
      <c r="R201">
        <v>82</v>
      </c>
      <c r="S201" s="1">
        <f t="shared" si="49"/>
        <v>15.436852174114659</v>
      </c>
      <c r="T201" s="1">
        <f t="shared" ref="T201:T264" si="54">O201</f>
        <v>16.229546050212182</v>
      </c>
      <c r="U201" s="1">
        <f t="shared" si="50"/>
        <v>16.337379023910518</v>
      </c>
      <c r="V201" s="1">
        <f t="shared" si="51"/>
        <v>3.3909425151989971</v>
      </c>
      <c r="W201" s="1">
        <f t="shared" ref="W201:W264" si="55">(T201-U201)^2</f>
        <v>1.1627950216626095E-2</v>
      </c>
      <c r="X201" s="1">
        <f t="shared" ref="X201:X264" si="56">T201-U201</f>
        <v>-0.10783297369833633</v>
      </c>
      <c r="Y201" s="39">
        <f t="shared" si="52"/>
        <v>84.05233015562365</v>
      </c>
      <c r="AB201">
        <v>196</v>
      </c>
      <c r="AC201" s="7"/>
      <c r="AF201" s="7"/>
      <c r="AG201" s="10"/>
      <c r="AH201" s="1"/>
      <c r="AI201" s="10"/>
      <c r="AJ201" s="32"/>
      <c r="AL201" s="1"/>
    </row>
    <row r="202" spans="1:38" x14ac:dyDescent="0.3">
      <c r="A202">
        <v>20609</v>
      </c>
      <c r="B202">
        <v>19</v>
      </c>
      <c r="C202">
        <v>1</v>
      </c>
      <c r="D202">
        <v>1982</v>
      </c>
      <c r="E202">
        <v>16</v>
      </c>
      <c r="F202">
        <v>6</v>
      </c>
      <c r="G202">
        <v>1982</v>
      </c>
      <c r="H202">
        <v>92</v>
      </c>
      <c r="I202" s="32">
        <f t="shared" si="44"/>
        <v>17.183326093250876</v>
      </c>
      <c r="J202" s="1">
        <v>0.40547945205479502</v>
      </c>
      <c r="K202" s="32">
        <f t="shared" si="45"/>
        <v>17.241303332605074</v>
      </c>
      <c r="L202" s="32">
        <f t="shared" si="46"/>
        <v>92.556938484329791</v>
      </c>
      <c r="M202" s="32">
        <f t="shared" si="47"/>
        <v>3.7609366953714467E-2</v>
      </c>
      <c r="N202">
        <v>9.834366210270673E-2</v>
      </c>
      <c r="O202" s="32">
        <f t="shared" si="53"/>
        <v>17.260375251365279</v>
      </c>
      <c r="P202" s="32">
        <f t="shared" si="48"/>
        <v>92.740513705851029</v>
      </c>
      <c r="Q202">
        <v>2</v>
      </c>
      <c r="R202">
        <v>94</v>
      </c>
      <c r="S202" s="1">
        <f t="shared" si="49"/>
        <v>17.18480031092902</v>
      </c>
      <c r="T202" s="1">
        <f t="shared" si="54"/>
        <v>17.260375251365279</v>
      </c>
      <c r="U202" s="1">
        <f t="shared" si="50"/>
        <v>17.253828774013627</v>
      </c>
      <c r="V202" s="1">
        <f t="shared" si="51"/>
        <v>0.41697717408902951</v>
      </c>
      <c r="W202" s="1">
        <f t="shared" si="55"/>
        <v>4.2856365715688694E-5</v>
      </c>
      <c r="X202" s="1">
        <f t="shared" si="56"/>
        <v>6.5464773516517027E-3</v>
      </c>
      <c r="Y202" s="39">
        <f t="shared" si="52"/>
        <v>92.663204362513227</v>
      </c>
      <c r="AB202">
        <v>197</v>
      </c>
      <c r="AC202" s="7"/>
      <c r="AF202" s="7"/>
      <c r="AG202" s="10"/>
      <c r="AH202" s="1"/>
      <c r="AI202" s="10"/>
      <c r="AJ202" s="32"/>
      <c r="AL202" s="1"/>
    </row>
    <row r="203" spans="1:38" x14ac:dyDescent="0.3">
      <c r="A203">
        <v>22572</v>
      </c>
      <c r="B203">
        <v>25</v>
      </c>
      <c r="C203">
        <v>7</v>
      </c>
      <c r="D203">
        <v>1982</v>
      </c>
      <c r="E203">
        <v>28</v>
      </c>
      <c r="F203">
        <v>5</v>
      </c>
      <c r="G203">
        <v>1987</v>
      </c>
      <c r="H203">
        <v>67</v>
      </c>
      <c r="I203" s="32">
        <f t="shared" si="44"/>
        <v>14.370705543744901</v>
      </c>
      <c r="J203" s="1">
        <v>4.8438356164383602</v>
      </c>
      <c r="K203" s="32">
        <f t="shared" si="45"/>
        <v>15.60912804902231</v>
      </c>
      <c r="L203" s="32">
        <f t="shared" si="46"/>
        <v>77.520347661716059</v>
      </c>
      <c r="M203" s="32">
        <f t="shared" si="47"/>
        <v>0.36147122498744627</v>
      </c>
      <c r="N203">
        <v>-1.6791545931482688E-2</v>
      </c>
      <c r="O203" s="32">
        <f t="shared" si="53"/>
        <v>15.59903255566878</v>
      </c>
      <c r="P203" s="32">
        <f t="shared" si="48"/>
        <v>77.431486723872382</v>
      </c>
      <c r="Q203">
        <v>13</v>
      </c>
      <c r="R203">
        <v>80</v>
      </c>
      <c r="S203" s="1">
        <f t="shared" si="49"/>
        <v>14.371834005854058</v>
      </c>
      <c r="T203" s="1">
        <f t="shared" si="54"/>
        <v>15.59903255566878</v>
      </c>
      <c r="U203" s="1">
        <f t="shared" si="50"/>
        <v>15.694294359132273</v>
      </c>
      <c r="V203" s="1">
        <f t="shared" si="51"/>
        <v>4.0687733862348301</v>
      </c>
      <c r="W203" s="1">
        <f t="shared" si="55"/>
        <v>9.074811199117315E-3</v>
      </c>
      <c r="X203" s="1">
        <f t="shared" si="56"/>
        <v>-9.5261803463493777E-2</v>
      </c>
      <c r="Y203" s="39">
        <f t="shared" si="52"/>
        <v>78.260619532037737</v>
      </c>
      <c r="AB203">
        <v>198</v>
      </c>
      <c r="AC203" s="7"/>
      <c r="AF203" s="7"/>
      <c r="AG203" s="10"/>
      <c r="AH203" s="1"/>
      <c r="AI203" s="10"/>
      <c r="AJ203" s="32"/>
      <c r="AL203" s="1"/>
    </row>
    <row r="204" spans="1:38" x14ac:dyDescent="0.3">
      <c r="A204">
        <v>76764</v>
      </c>
      <c r="B204">
        <v>30</v>
      </c>
      <c r="C204">
        <v>7</v>
      </c>
      <c r="D204">
        <v>1982</v>
      </c>
      <c r="E204">
        <v>16</v>
      </c>
      <c r="F204">
        <v>6</v>
      </c>
      <c r="G204">
        <v>1987</v>
      </c>
      <c r="H204">
        <v>57</v>
      </c>
      <c r="I204" s="32">
        <f t="shared" si="44"/>
        <v>13.0996688705415</v>
      </c>
      <c r="J204" s="1">
        <v>4.8821917808219197</v>
      </c>
      <c r="K204" s="32">
        <f t="shared" si="45"/>
        <v>14.628293188790616</v>
      </c>
      <c r="L204" s="32">
        <f t="shared" si="46"/>
        <v>69.125033593095083</v>
      </c>
      <c r="M204" s="32">
        <f t="shared" si="47"/>
        <v>0.3636767049106655</v>
      </c>
      <c r="N204">
        <v>-0.43209865907556377</v>
      </c>
      <c r="O204" s="32">
        <f t="shared" si="53"/>
        <v>14.367713440453134</v>
      </c>
      <c r="P204" s="32">
        <f t="shared" si="48"/>
        <v>66.975510817197545</v>
      </c>
      <c r="Q204">
        <v>22</v>
      </c>
      <c r="R204">
        <v>79</v>
      </c>
      <c r="S204" s="1">
        <f t="shared" si="49"/>
        <v>13.100649759066076</v>
      </c>
      <c r="T204" s="1">
        <f t="shared" si="54"/>
        <v>14.367713440453134</v>
      </c>
      <c r="U204" s="1">
        <f t="shared" si="50"/>
        <v>14.695823166661384</v>
      </c>
      <c r="V204" s="1">
        <f t="shared" si="51"/>
        <v>4.094091394640242</v>
      </c>
      <c r="W204" s="1">
        <f t="shared" si="55"/>
        <v>0.10765599243245304</v>
      </c>
      <c r="X204" s="1">
        <f t="shared" si="56"/>
        <v>-0.32810972620825041</v>
      </c>
      <c r="Y204" s="39">
        <f t="shared" si="52"/>
        <v>69.677886291945924</v>
      </c>
      <c r="AB204">
        <v>199</v>
      </c>
      <c r="AC204" s="7"/>
      <c r="AF204" s="7"/>
      <c r="AG204" s="10"/>
      <c r="AH204" s="1"/>
      <c r="AI204" s="10"/>
      <c r="AJ204" s="32"/>
      <c r="AL204" s="1"/>
    </row>
    <row r="205" spans="1:38" x14ac:dyDescent="0.3">
      <c r="A205">
        <v>20633</v>
      </c>
      <c r="B205">
        <v>21</v>
      </c>
      <c r="C205">
        <v>1</v>
      </c>
      <c r="D205">
        <v>1982</v>
      </c>
      <c r="E205">
        <v>28</v>
      </c>
      <c r="F205">
        <v>5</v>
      </c>
      <c r="G205">
        <v>1984</v>
      </c>
      <c r="H205">
        <v>88</v>
      </c>
      <c r="I205" s="32">
        <f t="shared" si="44"/>
        <v>16.761663039293719</v>
      </c>
      <c r="J205" s="1">
        <v>2.3506849315068501</v>
      </c>
      <c r="K205" s="32">
        <f t="shared" si="45"/>
        <v>17.129501982175135</v>
      </c>
      <c r="L205" s="32">
        <f t="shared" si="46"/>
        <v>91.48446152151061</v>
      </c>
      <c r="M205" s="32">
        <f t="shared" si="47"/>
        <v>0.19779254548560138</v>
      </c>
      <c r="N205">
        <v>1.4655688573839143</v>
      </c>
      <c r="O205" s="32">
        <f t="shared" si="53"/>
        <v>17.781297226932029</v>
      </c>
      <c r="P205" s="32">
        <f t="shared" si="48"/>
        <v>97.82492999505719</v>
      </c>
      <c r="Q205">
        <v>8</v>
      </c>
      <c r="R205">
        <v>96</v>
      </c>
      <c r="S205" s="1">
        <f t="shared" si="49"/>
        <v>16.763083852596107</v>
      </c>
      <c r="T205" s="1">
        <f t="shared" si="54"/>
        <v>17.781297226932029</v>
      </c>
      <c r="U205" s="1">
        <f t="shared" si="50"/>
        <v>17.189974133741782</v>
      </c>
      <c r="V205" s="1">
        <f t="shared" si="51"/>
        <v>2.2081864866835232</v>
      </c>
      <c r="W205" s="1">
        <f t="shared" si="55"/>
        <v>0.3496630005400822</v>
      </c>
      <c r="X205" s="1">
        <f t="shared" si="56"/>
        <v>0.59132309319024756</v>
      </c>
      <c r="Y205" s="39">
        <f t="shared" si="52"/>
        <v>92.04962593981908</v>
      </c>
      <c r="AB205">
        <v>200</v>
      </c>
      <c r="AC205" s="7"/>
      <c r="AF205" s="7"/>
      <c r="AG205" s="10"/>
      <c r="AH205" s="1"/>
      <c r="AI205" s="10"/>
      <c r="AJ205" s="32"/>
      <c r="AL205" s="1"/>
    </row>
    <row r="206" spans="1:38" x14ac:dyDescent="0.3">
      <c r="A206">
        <v>22804</v>
      </c>
      <c r="B206">
        <v>28</v>
      </c>
      <c r="C206">
        <v>7</v>
      </c>
      <c r="D206">
        <v>1982</v>
      </c>
      <c r="E206">
        <v>14</v>
      </c>
      <c r="F206">
        <v>6</v>
      </c>
      <c r="G206">
        <v>1986</v>
      </c>
      <c r="H206">
        <v>75</v>
      </c>
      <c r="I206" s="32">
        <f t="shared" si="44"/>
        <v>15.320508075688775</v>
      </c>
      <c r="J206" s="1">
        <v>3.8821917808219202</v>
      </c>
      <c r="K206" s="32">
        <f t="shared" si="45"/>
        <v>16.16542297658593</v>
      </c>
      <c r="L206" s="32">
        <f t="shared" si="46"/>
        <v>82.495647979569</v>
      </c>
      <c r="M206" s="32">
        <f t="shared" si="47"/>
        <v>0.30324288632760715</v>
      </c>
      <c r="N206">
        <v>0.35170614864910021</v>
      </c>
      <c r="O206" s="32">
        <f t="shared" si="53"/>
        <v>16.359098737863778</v>
      </c>
      <c r="P206" s="32">
        <f t="shared" si="48"/>
        <v>84.264126616657848</v>
      </c>
      <c r="Q206">
        <v>6</v>
      </c>
      <c r="R206">
        <v>81</v>
      </c>
      <c r="S206" s="1">
        <f t="shared" si="49"/>
        <v>15.321750468212322</v>
      </c>
      <c r="T206" s="1">
        <f t="shared" si="54"/>
        <v>16.359098737863778</v>
      </c>
      <c r="U206" s="1">
        <f t="shared" si="50"/>
        <v>16.245170030787495</v>
      </c>
      <c r="V206" s="1">
        <f t="shared" si="51"/>
        <v>3.4028634748376065</v>
      </c>
      <c r="W206" s="1">
        <f t="shared" si="55"/>
        <v>1.2979750296073572E-2</v>
      </c>
      <c r="X206" s="1">
        <f t="shared" si="56"/>
        <v>0.11392870707628333</v>
      </c>
      <c r="Y206" s="39">
        <f t="shared" si="52"/>
        <v>83.209187979803659</v>
      </c>
      <c r="AB206">
        <v>201</v>
      </c>
      <c r="AC206" s="7"/>
      <c r="AF206" s="7"/>
      <c r="AG206" s="10"/>
      <c r="AH206" s="1"/>
      <c r="AI206" s="10"/>
      <c r="AJ206" s="32"/>
      <c r="AL206" s="1"/>
    </row>
    <row r="207" spans="1:38" x14ac:dyDescent="0.3">
      <c r="A207">
        <v>22768</v>
      </c>
      <c r="B207">
        <v>28</v>
      </c>
      <c r="C207">
        <v>7</v>
      </c>
      <c r="D207">
        <v>1982</v>
      </c>
      <c r="E207">
        <v>6</v>
      </c>
      <c r="F207">
        <v>5</v>
      </c>
      <c r="G207">
        <v>1987</v>
      </c>
      <c r="H207">
        <v>83</v>
      </c>
      <c r="I207" s="32">
        <f t="shared" si="44"/>
        <v>16.220867158288598</v>
      </c>
      <c r="J207" s="1">
        <v>4.77534246575342</v>
      </c>
      <c r="K207" s="32">
        <f t="shared" si="45"/>
        <v>17.041887105263449</v>
      </c>
      <c r="L207" s="32">
        <f t="shared" si="46"/>
        <v>90.648366132399602</v>
      </c>
      <c r="M207" s="32">
        <f t="shared" si="47"/>
        <v>0.35751121836295219</v>
      </c>
      <c r="N207">
        <v>-2.6321504265069962</v>
      </c>
      <c r="O207" s="32">
        <f t="shared" si="53"/>
        <v>15.468065356791037</v>
      </c>
      <c r="P207" s="32">
        <f t="shared" si="48"/>
        <v>76.283326827280789</v>
      </c>
      <c r="Q207">
        <v>14</v>
      </c>
      <c r="R207">
        <v>97</v>
      </c>
      <c r="S207" s="1">
        <f t="shared" si="49"/>
        <v>16.222220261490186</v>
      </c>
      <c r="T207" s="1">
        <f t="shared" si="54"/>
        <v>15.468065356791037</v>
      </c>
      <c r="U207" s="1">
        <f t="shared" si="50"/>
        <v>17.152069469145076</v>
      </c>
      <c r="V207" s="1">
        <f t="shared" si="51"/>
        <v>4.0233322599922863</v>
      </c>
      <c r="W207" s="1">
        <f t="shared" si="55"/>
        <v>2.8358698504253139</v>
      </c>
      <c r="X207" s="1">
        <f t="shared" si="56"/>
        <v>-1.6840041123540388</v>
      </c>
      <c r="Y207" s="39">
        <f t="shared" si="52"/>
        <v>91.6863644902256</v>
      </c>
      <c r="AB207">
        <v>202</v>
      </c>
      <c r="AC207" s="7"/>
      <c r="AF207" s="7"/>
      <c r="AG207" s="10"/>
      <c r="AH207" s="1"/>
      <c r="AI207" s="10"/>
      <c r="AJ207" s="32"/>
      <c r="AL207" s="1"/>
    </row>
    <row r="208" spans="1:38" x14ac:dyDescent="0.3">
      <c r="A208">
        <v>22675</v>
      </c>
      <c r="B208">
        <v>26</v>
      </c>
      <c r="C208">
        <v>7</v>
      </c>
      <c r="D208">
        <v>1982</v>
      </c>
      <c r="E208">
        <v>28</v>
      </c>
      <c r="F208">
        <v>5</v>
      </c>
      <c r="G208">
        <v>1987</v>
      </c>
      <c r="H208">
        <v>60</v>
      </c>
      <c r="I208" s="32">
        <f t="shared" si="44"/>
        <v>13.491933384829668</v>
      </c>
      <c r="J208" s="1">
        <v>4.8410958904109602</v>
      </c>
      <c r="K208" s="32">
        <f t="shared" si="45"/>
        <v>14.922968864878813</v>
      </c>
      <c r="L208" s="32">
        <f t="shared" si="46"/>
        <v>71.596718800414408</v>
      </c>
      <c r="M208" s="32">
        <f t="shared" si="47"/>
        <v>0.36131335838491868</v>
      </c>
      <c r="N208">
        <v>2.0163497538305819</v>
      </c>
      <c r="O208" s="32">
        <f t="shared" si="53"/>
        <v>16.134983532975962</v>
      </c>
      <c r="P208" s="32">
        <f t="shared" si="48"/>
        <v>82.219406935327328</v>
      </c>
      <c r="Q208">
        <v>14</v>
      </c>
      <c r="R208">
        <v>74</v>
      </c>
      <c r="S208" s="1">
        <f t="shared" si="49"/>
        <v>13.492959197163596</v>
      </c>
      <c r="T208" s="1">
        <f t="shared" si="54"/>
        <v>16.134983532975962</v>
      </c>
      <c r="U208" s="1">
        <f t="shared" si="50"/>
        <v>14.995507980485385</v>
      </c>
      <c r="V208" s="1">
        <f t="shared" si="51"/>
        <v>4.0669614198833308</v>
      </c>
      <c r="W208" s="1">
        <f t="shared" si="55"/>
        <v>1.2984045347237054</v>
      </c>
      <c r="X208" s="1">
        <f t="shared" si="56"/>
        <v>1.1394755524905769</v>
      </c>
      <c r="Y208" s="39">
        <f t="shared" si="52"/>
        <v>72.201601080048363</v>
      </c>
      <c r="AB208">
        <v>203</v>
      </c>
      <c r="AC208" s="7"/>
      <c r="AF208" s="7"/>
      <c r="AG208" s="10"/>
      <c r="AH208" s="1"/>
      <c r="AI208" s="10"/>
      <c r="AJ208" s="32"/>
      <c r="AL208" s="1"/>
    </row>
    <row r="209" spans="1:38" x14ac:dyDescent="0.3">
      <c r="A209">
        <v>77000</v>
      </c>
      <c r="B209">
        <v>31</v>
      </c>
      <c r="C209">
        <v>7</v>
      </c>
      <c r="D209">
        <v>1982</v>
      </c>
      <c r="E209">
        <v>13</v>
      </c>
      <c r="F209">
        <v>8</v>
      </c>
      <c r="G209">
        <v>1983</v>
      </c>
      <c r="H209">
        <v>52</v>
      </c>
      <c r="I209" s="32">
        <f t="shared" si="44"/>
        <v>12.422205101855956</v>
      </c>
      <c r="J209" s="1">
        <v>1.0356164383561599</v>
      </c>
      <c r="K209" s="32">
        <f t="shared" si="45"/>
        <v>12.814234408814327</v>
      </c>
      <c r="L209" s="32">
        <f t="shared" si="46"/>
        <v>54.865385279824594</v>
      </c>
      <c r="M209" s="32">
        <f t="shared" si="47"/>
        <v>9.3038316532189858E-2</v>
      </c>
      <c r="N209">
        <v>0.44329567572276574</v>
      </c>
      <c r="O209" s="32">
        <f t="shared" si="53"/>
        <v>12.949449266876805</v>
      </c>
      <c r="P209" s="32">
        <f t="shared" si="48"/>
        <v>55.871508345730859</v>
      </c>
      <c r="Q209">
        <v>8</v>
      </c>
      <c r="R209">
        <v>60</v>
      </c>
      <c r="S209" s="1">
        <f t="shared" si="49"/>
        <v>12.423109764162469</v>
      </c>
      <c r="T209" s="1">
        <f t="shared" si="54"/>
        <v>12.949449266876805</v>
      </c>
      <c r="U209" s="1">
        <f t="shared" si="50"/>
        <v>12.825661620853325</v>
      </c>
      <c r="V209" s="1">
        <f t="shared" si="51"/>
        <v>1.0338918750068353</v>
      </c>
      <c r="W209" s="1">
        <f t="shared" si="55"/>
        <v>1.5323381308034418E-2</v>
      </c>
      <c r="X209" s="1">
        <f t="shared" si="56"/>
        <v>0.12378764602348014</v>
      </c>
      <c r="Y209" s="39">
        <f t="shared" si="52"/>
        <v>54.943020584494626</v>
      </c>
      <c r="AB209">
        <v>204</v>
      </c>
      <c r="AC209" s="7"/>
      <c r="AF209" s="7"/>
      <c r="AG209" s="10"/>
      <c r="AH209" s="1"/>
      <c r="AI209" s="10"/>
      <c r="AJ209" s="32"/>
      <c r="AL209" s="1"/>
    </row>
    <row r="210" spans="1:38" x14ac:dyDescent="0.3">
      <c r="A210">
        <v>78843</v>
      </c>
      <c r="B210">
        <v>27</v>
      </c>
      <c r="C210">
        <v>7</v>
      </c>
      <c r="D210">
        <v>1982</v>
      </c>
      <c r="E210">
        <v>8</v>
      </c>
      <c r="F210">
        <v>5</v>
      </c>
      <c r="G210">
        <v>1986</v>
      </c>
      <c r="H210">
        <v>80</v>
      </c>
      <c r="I210" s="32">
        <f t="shared" si="44"/>
        <v>15.888543819998318</v>
      </c>
      <c r="J210" s="1">
        <v>3.7835616438356201</v>
      </c>
      <c r="K210" s="32">
        <f t="shared" si="45"/>
        <v>16.613808202995262</v>
      </c>
      <c r="L210" s="32">
        <f t="shared" si="46"/>
        <v>86.618463954473427</v>
      </c>
      <c r="M210" s="32">
        <f t="shared" si="47"/>
        <v>0.29693948988328306</v>
      </c>
      <c r="N210">
        <v>0.62998765315569472</v>
      </c>
      <c r="O210" s="32">
        <f t="shared" si="53"/>
        <v>16.95710204809771</v>
      </c>
      <c r="P210" s="32">
        <f t="shared" si="48"/>
        <v>89.842929515497602</v>
      </c>
      <c r="Q210">
        <v>22</v>
      </c>
      <c r="R210">
        <v>102</v>
      </c>
      <c r="S210" s="1">
        <f t="shared" si="49"/>
        <v>15.889855761403318</v>
      </c>
      <c r="T210" s="1">
        <f t="shared" si="54"/>
        <v>16.95710204809771</v>
      </c>
      <c r="U210" s="1">
        <f t="shared" si="50"/>
        <v>16.698303196967142</v>
      </c>
      <c r="V210" s="1">
        <f t="shared" si="51"/>
        <v>3.3310573078422689</v>
      </c>
      <c r="W210" s="1">
        <f t="shared" si="55"/>
        <v>6.6976845346501612E-2</v>
      </c>
      <c r="X210" s="1">
        <f t="shared" si="56"/>
        <v>0.25879885113056744</v>
      </c>
      <c r="Y210" s="39">
        <f t="shared" si="52"/>
        <v>87.393428968439991</v>
      </c>
      <c r="AB210">
        <v>205</v>
      </c>
      <c r="AC210" s="7"/>
      <c r="AF210" s="7"/>
      <c r="AG210" s="10"/>
      <c r="AH210" s="1"/>
      <c r="AI210" s="10"/>
      <c r="AJ210" s="32"/>
      <c r="AL210" s="1"/>
    </row>
    <row r="211" spans="1:38" x14ac:dyDescent="0.3">
      <c r="A211">
        <v>79560</v>
      </c>
      <c r="B211">
        <v>5</v>
      </c>
      <c r="C211">
        <v>9</v>
      </c>
      <c r="D211">
        <v>1982</v>
      </c>
      <c r="E211">
        <v>10</v>
      </c>
      <c r="F211">
        <v>5</v>
      </c>
      <c r="G211">
        <v>1986</v>
      </c>
      <c r="H211">
        <v>66</v>
      </c>
      <c r="I211" s="32">
        <f t="shared" si="44"/>
        <v>14.248076809271922</v>
      </c>
      <c r="J211" s="1">
        <v>3.67945205479452</v>
      </c>
      <c r="K211" s="32">
        <f t="shared" si="45"/>
        <v>15.237355651410677</v>
      </c>
      <c r="L211" s="32">
        <f t="shared" si="46"/>
        <v>74.281607463304908</v>
      </c>
      <c r="M211" s="32">
        <f t="shared" si="47"/>
        <v>0.29021634856677753</v>
      </c>
      <c r="N211">
        <v>0.37852714740438387</v>
      </c>
      <c r="O211" s="32">
        <f t="shared" si="53"/>
        <v>15.441274780999146</v>
      </c>
      <c r="P211" s="32">
        <f t="shared" si="48"/>
        <v>76.049516496579187</v>
      </c>
      <c r="Q211">
        <v>6</v>
      </c>
      <c r="R211">
        <v>72</v>
      </c>
      <c r="S211" s="1">
        <f t="shared" si="49"/>
        <v>14.249190784284599</v>
      </c>
      <c r="T211" s="1">
        <f t="shared" si="54"/>
        <v>15.441274780999146</v>
      </c>
      <c r="U211" s="1">
        <f t="shared" si="50"/>
        <v>15.300681511973442</v>
      </c>
      <c r="V211" s="1">
        <f t="shared" si="51"/>
        <v>3.2545274772135073</v>
      </c>
      <c r="W211" s="1">
        <f t="shared" si="55"/>
        <v>1.9766467295333951E-2</v>
      </c>
      <c r="X211" s="1">
        <f t="shared" si="56"/>
        <v>0.1405932690257039</v>
      </c>
      <c r="Y211" s="39">
        <f t="shared" si="52"/>
        <v>74.817670599612853</v>
      </c>
      <c r="AB211">
        <v>206</v>
      </c>
      <c r="AC211" s="7"/>
      <c r="AF211" s="7"/>
      <c r="AG211" s="10"/>
      <c r="AH211" s="1"/>
      <c r="AI211" s="10"/>
      <c r="AJ211" s="32"/>
      <c r="AL211" s="1"/>
    </row>
    <row r="212" spans="1:38" x14ac:dyDescent="0.3">
      <c r="A212">
        <v>78964</v>
      </c>
      <c r="B212">
        <v>30</v>
      </c>
      <c r="C212">
        <v>7</v>
      </c>
      <c r="D212">
        <v>1982</v>
      </c>
      <c r="E212">
        <v>9</v>
      </c>
      <c r="F212">
        <v>5</v>
      </c>
      <c r="G212">
        <v>1984</v>
      </c>
      <c r="H212">
        <v>81</v>
      </c>
      <c r="I212" s="32">
        <f t="shared" si="44"/>
        <v>16</v>
      </c>
      <c r="J212" s="1">
        <v>1.7780821917808201</v>
      </c>
      <c r="K212" s="32">
        <f t="shared" si="45"/>
        <v>16.348672983036295</v>
      </c>
      <c r="L212" s="32">
        <f t="shared" si="46"/>
        <v>84.168450059601511</v>
      </c>
      <c r="M212" s="32">
        <f t="shared" si="47"/>
        <v>0.15391217395332385</v>
      </c>
      <c r="N212">
        <v>-3.3014657674357295E-2</v>
      </c>
      <c r="O212" s="32">
        <f t="shared" si="53"/>
        <v>16.335720790706752</v>
      </c>
      <c r="P212" s="32">
        <f t="shared" si="48"/>
        <v>84.049664228688954</v>
      </c>
      <c r="Q212">
        <v>1</v>
      </c>
      <c r="R212">
        <v>82</v>
      </c>
      <c r="S212" s="1">
        <f t="shared" si="49"/>
        <v>16.001325708024599</v>
      </c>
      <c r="T212" s="1">
        <f t="shared" si="54"/>
        <v>16.335720790706752</v>
      </c>
      <c r="U212" s="1">
        <f t="shared" si="50"/>
        <v>16.390355781311328</v>
      </c>
      <c r="V212" s="1">
        <f t="shared" si="51"/>
        <v>1.7148803407349271</v>
      </c>
      <c r="W212" s="1">
        <f t="shared" si="55"/>
        <v>2.9849821983621316E-3</v>
      </c>
      <c r="X212" s="1">
        <f t="shared" si="56"/>
        <v>-5.4634990604576217E-2</v>
      </c>
      <c r="Y212" s="39">
        <f t="shared" si="52"/>
        <v>84.538662220204969</v>
      </c>
      <c r="AB212">
        <v>207</v>
      </c>
      <c r="AC212" s="7"/>
      <c r="AF212" s="7"/>
      <c r="AG212" s="10"/>
      <c r="AH212" s="1"/>
      <c r="AI212" s="10"/>
      <c r="AJ212" s="32"/>
      <c r="AL212" s="1"/>
    </row>
    <row r="213" spans="1:38" x14ac:dyDescent="0.3">
      <c r="A213">
        <v>76833</v>
      </c>
      <c r="B213">
        <v>30</v>
      </c>
      <c r="C213">
        <v>7</v>
      </c>
      <c r="D213">
        <v>1982</v>
      </c>
      <c r="E213">
        <v>22</v>
      </c>
      <c r="F213">
        <v>8</v>
      </c>
      <c r="G213">
        <v>1988</v>
      </c>
      <c r="H213">
        <v>68</v>
      </c>
      <c r="I213" s="32">
        <f t="shared" si="44"/>
        <v>14.492422502470642</v>
      </c>
      <c r="J213" s="1">
        <v>6.0684931506849296</v>
      </c>
      <c r="K213" s="32">
        <f t="shared" si="45"/>
        <v>15.965623103248792</v>
      </c>
      <c r="L213" s="32">
        <f t="shared" si="46"/>
        <v>80.690903371996683</v>
      </c>
      <c r="M213" s="32">
        <f t="shared" si="47"/>
        <v>0.42777547661031157</v>
      </c>
      <c r="N213">
        <v>-1.4481065591098741</v>
      </c>
      <c r="O213" s="32">
        <f t="shared" si="53"/>
        <v>15.01849556842615</v>
      </c>
      <c r="P213" s="32">
        <f t="shared" si="48"/>
        <v>72.407297853135134</v>
      </c>
      <c r="Q213">
        <v>15</v>
      </c>
      <c r="R213">
        <v>83</v>
      </c>
      <c r="S213" s="1">
        <f t="shared" si="49"/>
        <v>14.49356539510066</v>
      </c>
      <c r="T213" s="1">
        <f t="shared" si="54"/>
        <v>15.01849556842615</v>
      </c>
      <c r="U213" s="1">
        <f t="shared" si="50"/>
        <v>16.074331751898718</v>
      </c>
      <c r="V213" s="1">
        <f t="shared" si="51"/>
        <v>4.8332257884133405</v>
      </c>
      <c r="W213" s="1">
        <f t="shared" si="55"/>
        <v>1.1147900463299183</v>
      </c>
      <c r="X213" s="1">
        <f t="shared" si="56"/>
        <v>-1.055836183472568</v>
      </c>
      <c r="Y213" s="39">
        <f t="shared" si="52"/>
        <v>81.658305199293039</v>
      </c>
      <c r="AB213">
        <v>208</v>
      </c>
      <c r="AC213" s="7"/>
      <c r="AF213" s="7"/>
      <c r="AG213" s="10"/>
      <c r="AH213" s="1"/>
      <c r="AI213" s="10"/>
      <c r="AJ213" s="32"/>
      <c r="AL213" s="1"/>
    </row>
    <row r="214" spans="1:38" x14ac:dyDescent="0.3">
      <c r="A214">
        <v>79092</v>
      </c>
      <c r="B214">
        <v>7</v>
      </c>
      <c r="C214">
        <v>8</v>
      </c>
      <c r="D214">
        <v>1982</v>
      </c>
      <c r="E214">
        <v>28</v>
      </c>
      <c r="F214">
        <v>5</v>
      </c>
      <c r="G214">
        <v>1984</v>
      </c>
      <c r="H214">
        <v>87</v>
      </c>
      <c r="I214" s="32">
        <f t="shared" si="44"/>
        <v>16.654758106177631</v>
      </c>
      <c r="J214" s="1">
        <v>1.8082191780821899</v>
      </c>
      <c r="K214" s="32">
        <f t="shared" si="45"/>
        <v>16.951073725803948</v>
      </c>
      <c r="L214" s="32">
        <f t="shared" si="46"/>
        <v>89.785798840214184</v>
      </c>
      <c r="M214" s="32">
        <f t="shared" si="47"/>
        <v>0.1562864904575606</v>
      </c>
      <c r="N214">
        <v>-2.3629945644643158</v>
      </c>
      <c r="O214" s="32">
        <f t="shared" si="53"/>
        <v>16.016909047709351</v>
      </c>
      <c r="P214" s="32">
        <f t="shared" si="48"/>
        <v>81.152252908357767</v>
      </c>
      <c r="Q214">
        <v>2</v>
      </c>
      <c r="R214">
        <v>89</v>
      </c>
      <c r="S214" s="1">
        <f t="shared" si="49"/>
        <v>16.656165464090588</v>
      </c>
      <c r="T214" s="1">
        <f t="shared" si="54"/>
        <v>16.016909047709351</v>
      </c>
      <c r="U214" s="1">
        <f t="shared" si="50"/>
        <v>16.997546323746572</v>
      </c>
      <c r="V214" s="1">
        <f t="shared" si="51"/>
        <v>1.7415191247725659</v>
      </c>
      <c r="W214" s="1">
        <f t="shared" si="55"/>
        <v>0.96164946715370136</v>
      </c>
      <c r="X214" s="1">
        <f t="shared" si="56"/>
        <v>-0.98063727603722128</v>
      </c>
      <c r="Y214" s="39">
        <f t="shared" si="52"/>
        <v>90.212914710469789</v>
      </c>
      <c r="AB214">
        <v>209</v>
      </c>
      <c r="AC214" s="7"/>
      <c r="AF214" s="7"/>
      <c r="AG214" s="10"/>
      <c r="AH214" s="1"/>
      <c r="AI214" s="10"/>
      <c r="AJ214" s="32"/>
      <c r="AL214" s="1"/>
    </row>
    <row r="215" spans="1:38" x14ac:dyDescent="0.3">
      <c r="A215">
        <v>79048</v>
      </c>
      <c r="B215">
        <v>2</v>
      </c>
      <c r="C215">
        <v>8</v>
      </c>
      <c r="D215">
        <v>1982</v>
      </c>
      <c r="E215">
        <v>9</v>
      </c>
      <c r="F215">
        <v>5</v>
      </c>
      <c r="G215">
        <v>1983</v>
      </c>
      <c r="H215">
        <v>81</v>
      </c>
      <c r="I215" s="32">
        <f t="shared" si="44"/>
        <v>16</v>
      </c>
      <c r="J215" s="1">
        <v>0.76712328767123295</v>
      </c>
      <c r="K215" s="32">
        <f t="shared" si="45"/>
        <v>16.154336766678465</v>
      </c>
      <c r="L215" s="32">
        <f t="shared" si="46"/>
        <v>82.394985859493374</v>
      </c>
      <c r="M215" s="32">
        <f t="shared" si="47"/>
        <v>6.9858132454555105E-2</v>
      </c>
      <c r="N215">
        <v>0.2047943326033419</v>
      </c>
      <c r="O215" s="32">
        <f t="shared" si="53"/>
        <v>16.20846531995527</v>
      </c>
      <c r="P215" s="32">
        <f t="shared" si="48"/>
        <v>82.887052327003445</v>
      </c>
      <c r="Q215">
        <v>1</v>
      </c>
      <c r="R215">
        <v>82</v>
      </c>
      <c r="S215" s="1">
        <f t="shared" si="49"/>
        <v>16.001325708024599</v>
      </c>
      <c r="T215" s="1">
        <f t="shared" si="54"/>
        <v>16.20846531995527</v>
      </c>
      <c r="U215" s="1">
        <f t="shared" si="50"/>
        <v>16.173208428370277</v>
      </c>
      <c r="V215" s="1">
        <f t="shared" si="51"/>
        <v>0.77554682470777903</v>
      </c>
      <c r="W215" s="1">
        <f t="shared" si="55"/>
        <v>1.2430484042359432E-3</v>
      </c>
      <c r="X215" s="1">
        <f t="shared" si="56"/>
        <v>3.52568915849929E-2</v>
      </c>
      <c r="Y215" s="39">
        <f t="shared" si="52"/>
        <v>82.554136836516619</v>
      </c>
      <c r="AB215">
        <v>210</v>
      </c>
      <c r="AC215" s="7"/>
      <c r="AF215" s="7"/>
      <c r="AG215" s="10"/>
      <c r="AH215" s="1"/>
      <c r="AI215" s="10"/>
      <c r="AJ215" s="32"/>
      <c r="AL215" s="1"/>
    </row>
    <row r="216" spans="1:38" x14ac:dyDescent="0.3">
      <c r="A216">
        <v>22593</v>
      </c>
      <c r="B216">
        <v>25</v>
      </c>
      <c r="C216">
        <v>7</v>
      </c>
      <c r="D216">
        <v>1982</v>
      </c>
      <c r="E216">
        <v>10</v>
      </c>
      <c r="F216">
        <v>5</v>
      </c>
      <c r="G216">
        <v>1988</v>
      </c>
      <c r="H216">
        <v>66</v>
      </c>
      <c r="I216" s="32">
        <f t="shared" si="44"/>
        <v>14.248076809271922</v>
      </c>
      <c r="J216" s="1">
        <v>5.7972602739725998</v>
      </c>
      <c r="K216" s="32">
        <f t="shared" si="45"/>
        <v>15.727608721102362</v>
      </c>
      <c r="L216" s="32">
        <f t="shared" si="46"/>
        <v>78.567027742126143</v>
      </c>
      <c r="M216" s="32">
        <f t="shared" si="47"/>
        <v>0.41380025781791829</v>
      </c>
      <c r="N216">
        <v>0.96378471425850876</v>
      </c>
      <c r="O216" s="32">
        <f t="shared" si="53"/>
        <v>16.347585484472209</v>
      </c>
      <c r="P216" s="32">
        <f t="shared" si="48"/>
        <v>84.158473277503816</v>
      </c>
      <c r="Q216">
        <v>13</v>
      </c>
      <c r="R216">
        <v>79</v>
      </c>
      <c r="S216" s="1">
        <f t="shared" si="49"/>
        <v>14.249190784284599</v>
      </c>
      <c r="T216" s="1">
        <f t="shared" si="54"/>
        <v>16.347585484472209</v>
      </c>
      <c r="U216" s="1">
        <f t="shared" si="50"/>
        <v>15.827505149235826</v>
      </c>
      <c r="V216" s="1">
        <f t="shared" si="51"/>
        <v>4.6715105378709927</v>
      </c>
      <c r="W216" s="1">
        <f t="shared" si="55"/>
        <v>0.27048355509958827</v>
      </c>
      <c r="X216" s="1">
        <f t="shared" si="56"/>
        <v>0.52008033523638275</v>
      </c>
      <c r="Y216" s="39">
        <f t="shared" si="52"/>
        <v>79.443359552861864</v>
      </c>
      <c r="AB216">
        <v>211</v>
      </c>
      <c r="AC216" s="7"/>
      <c r="AF216" s="7"/>
      <c r="AG216" s="10"/>
      <c r="AH216" s="1"/>
      <c r="AI216" s="10"/>
      <c r="AJ216" s="32"/>
      <c r="AL216" s="1"/>
    </row>
    <row r="217" spans="1:38" x14ac:dyDescent="0.3">
      <c r="A217">
        <v>76808</v>
      </c>
      <c r="B217">
        <v>30</v>
      </c>
      <c r="C217">
        <v>7</v>
      </c>
      <c r="D217">
        <v>1982</v>
      </c>
      <c r="E217">
        <v>8</v>
      </c>
      <c r="F217">
        <v>7</v>
      </c>
      <c r="G217">
        <v>1984</v>
      </c>
      <c r="H217">
        <v>56</v>
      </c>
      <c r="I217" s="32">
        <f t="shared" si="44"/>
        <v>12.966629547095765</v>
      </c>
      <c r="J217" s="1">
        <v>1.9424657534246601</v>
      </c>
      <c r="K217" s="32">
        <f t="shared" si="45"/>
        <v>13.633622912343206</v>
      </c>
      <c r="L217" s="32">
        <f t="shared" si="46"/>
        <v>61.102541341335616</v>
      </c>
      <c r="M217" s="32">
        <f t="shared" si="47"/>
        <v>0.16677426619767402</v>
      </c>
      <c r="N217">
        <v>-0.32368348001909908</v>
      </c>
      <c r="O217" s="32">
        <f t="shared" si="53"/>
        <v>13.501437036208513</v>
      </c>
      <c r="P217" s="32">
        <f t="shared" si="48"/>
        <v>60.073637546884243</v>
      </c>
      <c r="Q217">
        <v>5</v>
      </c>
      <c r="R217">
        <v>61</v>
      </c>
      <c r="S217" s="1">
        <f t="shared" si="49"/>
        <v>12.967595328934028</v>
      </c>
      <c r="T217" s="1">
        <f t="shared" si="54"/>
        <v>13.501437036208513</v>
      </c>
      <c r="U217" s="1">
        <f t="shared" si="50"/>
        <v>13.658676209941504</v>
      </c>
      <c r="V217" s="1">
        <f t="shared" si="51"/>
        <v>1.8592594246345973</v>
      </c>
      <c r="W217" s="1">
        <f t="shared" si="55"/>
        <v>2.4724157756233801E-2</v>
      </c>
      <c r="X217" s="1">
        <f t="shared" si="56"/>
        <v>-0.15723917373299123</v>
      </c>
      <c r="Y217" s="39">
        <f t="shared" si="52"/>
        <v>61.290354108729453</v>
      </c>
      <c r="AB217">
        <v>212</v>
      </c>
      <c r="AC217" s="7"/>
      <c r="AF217" s="7"/>
      <c r="AG217" s="10"/>
      <c r="AH217" s="1"/>
      <c r="AI217" s="10"/>
      <c r="AJ217" s="32"/>
      <c r="AL217" s="1"/>
    </row>
    <row r="218" spans="1:38" x14ac:dyDescent="0.3">
      <c r="A218">
        <v>76869</v>
      </c>
      <c r="B218">
        <v>30</v>
      </c>
      <c r="C218">
        <v>7</v>
      </c>
      <c r="D218">
        <v>1982</v>
      </c>
      <c r="E218">
        <v>21</v>
      </c>
      <c r="F218">
        <v>8</v>
      </c>
      <c r="G218">
        <v>1988</v>
      </c>
      <c r="H218">
        <v>59</v>
      </c>
      <c r="I218" s="32">
        <f t="shared" si="44"/>
        <v>13.362291495737216</v>
      </c>
      <c r="J218" s="1">
        <v>6.0657534246575304</v>
      </c>
      <c r="K218" s="32">
        <f t="shared" si="45"/>
        <v>15.137103135202914</v>
      </c>
      <c r="L218" s="32">
        <f t="shared" si="46"/>
        <v>73.420075966645385</v>
      </c>
      <c r="M218" s="32">
        <f t="shared" si="47"/>
        <v>0.4276362480432821</v>
      </c>
      <c r="N218">
        <v>0.76271817306405865</v>
      </c>
      <c r="O218" s="32">
        <f t="shared" si="53"/>
        <v>15.63587431342771</v>
      </c>
      <c r="P218" s="32">
        <f t="shared" si="48"/>
        <v>77.756015699754826</v>
      </c>
      <c r="Q218">
        <v>32</v>
      </c>
      <c r="R218">
        <v>91</v>
      </c>
      <c r="S218" s="1">
        <f t="shared" si="49"/>
        <v>13.363302398360892</v>
      </c>
      <c r="T218" s="1">
        <f t="shared" si="54"/>
        <v>15.63587431342771</v>
      </c>
      <c r="U218" s="1">
        <f t="shared" si="50"/>
        <v>15.226708768453921</v>
      </c>
      <c r="V218" s="1">
        <f t="shared" si="51"/>
        <v>4.8316130726655198</v>
      </c>
      <c r="W218" s="1">
        <f t="shared" si="55"/>
        <v>0.16741644319369736</v>
      </c>
      <c r="X218" s="1">
        <f t="shared" si="56"/>
        <v>0.40916554497378854</v>
      </c>
      <c r="Y218" s="39">
        <f t="shared" si="52"/>
        <v>74.179272304391006</v>
      </c>
      <c r="AB218">
        <v>213</v>
      </c>
      <c r="AC218" s="7"/>
      <c r="AF218" s="7"/>
      <c r="AG218" s="10"/>
      <c r="AH218" s="1"/>
      <c r="AI218" s="10"/>
      <c r="AJ218" s="32"/>
      <c r="AL218" s="1"/>
    </row>
    <row r="219" spans="1:38" x14ac:dyDescent="0.3">
      <c r="A219">
        <v>77108</v>
      </c>
      <c r="B219">
        <v>1</v>
      </c>
      <c r="C219">
        <v>8</v>
      </c>
      <c r="D219">
        <v>1982</v>
      </c>
      <c r="E219">
        <v>16</v>
      </c>
      <c r="F219">
        <v>6</v>
      </c>
      <c r="G219">
        <v>1985</v>
      </c>
      <c r="H219">
        <v>70</v>
      </c>
      <c r="I219" s="32">
        <f t="shared" si="44"/>
        <v>14.733200530681511</v>
      </c>
      <c r="J219" s="1">
        <v>2.8767123287671201</v>
      </c>
      <c r="K219" s="32">
        <f t="shared" si="45"/>
        <v>15.455731291822886</v>
      </c>
      <c r="L219" s="32">
        <f t="shared" si="46"/>
        <v>76.175638733081172</v>
      </c>
      <c r="M219" s="32">
        <f t="shared" si="47"/>
        <v>0.23589403693174985</v>
      </c>
      <c r="N219">
        <v>-0.65121412262669764</v>
      </c>
      <c r="O219" s="32">
        <f t="shared" si="53"/>
        <v>15.139443600143847</v>
      </c>
      <c r="P219" s="32">
        <f t="shared" si="48"/>
        <v>73.440131730627982</v>
      </c>
      <c r="Q219">
        <v>16</v>
      </c>
      <c r="R219">
        <v>86</v>
      </c>
      <c r="S219" s="1">
        <f t="shared" si="49"/>
        <v>14.734372118089272</v>
      </c>
      <c r="T219" s="1">
        <f t="shared" si="54"/>
        <v>15.139443600143847</v>
      </c>
      <c r="U219" s="1">
        <f t="shared" si="50"/>
        <v>15.509847952374708</v>
      </c>
      <c r="V219" s="1">
        <f t="shared" si="51"/>
        <v>2.6382871609906502</v>
      </c>
      <c r="W219" s="1">
        <f t="shared" si="55"/>
        <v>0.13719938415156316</v>
      </c>
      <c r="X219" s="1">
        <f t="shared" si="56"/>
        <v>-0.37040435223086021</v>
      </c>
      <c r="Y219" s="39">
        <f t="shared" si="52"/>
        <v>76.637616576223877</v>
      </c>
      <c r="AB219">
        <v>214</v>
      </c>
      <c r="AC219" s="7"/>
      <c r="AF219" s="7"/>
      <c r="AG219" s="10"/>
      <c r="AH219" s="1"/>
      <c r="AI219" s="10"/>
      <c r="AJ219" s="32"/>
      <c r="AL219" s="1"/>
    </row>
    <row r="220" spans="1:38" x14ac:dyDescent="0.3">
      <c r="A220">
        <v>79506</v>
      </c>
      <c r="B220">
        <v>5</v>
      </c>
      <c r="C220">
        <v>9</v>
      </c>
      <c r="D220">
        <v>1982</v>
      </c>
      <c r="E220">
        <v>25</v>
      </c>
      <c r="F220">
        <v>5</v>
      </c>
      <c r="G220">
        <v>1984</v>
      </c>
      <c r="H220">
        <v>99</v>
      </c>
      <c r="I220" s="32">
        <f t="shared" si="44"/>
        <v>17.899748742132399</v>
      </c>
      <c r="J220" s="1">
        <v>1.7205479452054799</v>
      </c>
      <c r="K220" s="32">
        <f t="shared" si="45"/>
        <v>18.077157784699235</v>
      </c>
      <c r="L220" s="32">
        <f t="shared" si="46"/>
        <v>100.77306617792728</v>
      </c>
      <c r="M220" s="32">
        <f t="shared" si="47"/>
        <v>0.14935895350737208</v>
      </c>
      <c r="N220">
        <v>1.4465786080108956</v>
      </c>
      <c r="O220" s="32">
        <f t="shared" si="53"/>
        <v>18.636216818348892</v>
      </c>
      <c r="P220" s="32">
        <f t="shared" si="48"/>
        <v>106.46336114347642</v>
      </c>
      <c r="Q220">
        <v>5</v>
      </c>
      <c r="R220">
        <v>104</v>
      </c>
      <c r="S220" s="1">
        <f t="shared" si="49"/>
        <v>17.901314886506334</v>
      </c>
      <c r="T220" s="1">
        <f t="shared" si="54"/>
        <v>18.636216818348892</v>
      </c>
      <c r="U220" s="1">
        <f t="shared" si="50"/>
        <v>18.12897714989472</v>
      </c>
      <c r="V220" s="1">
        <f t="shared" si="51"/>
        <v>1.663811933843564</v>
      </c>
      <c r="W220" s="1">
        <f t="shared" si="55"/>
        <v>0.25729208125349856</v>
      </c>
      <c r="X220" s="1">
        <f t="shared" si="56"/>
        <v>0.50723966845417223</v>
      </c>
      <c r="Y220" s="39">
        <f t="shared" si="52"/>
        <v>101.27787141748469</v>
      </c>
      <c r="AB220">
        <v>215</v>
      </c>
      <c r="AC220" s="7"/>
      <c r="AF220" s="7"/>
      <c r="AG220" s="10"/>
      <c r="AH220" s="1"/>
      <c r="AI220" s="10"/>
      <c r="AJ220" s="32"/>
      <c r="AL220" s="1"/>
    </row>
    <row r="221" spans="1:38" x14ac:dyDescent="0.3">
      <c r="A221">
        <v>77078</v>
      </c>
      <c r="B221">
        <v>1</v>
      </c>
      <c r="C221">
        <v>8</v>
      </c>
      <c r="D221">
        <v>1982</v>
      </c>
      <c r="E221">
        <v>13</v>
      </c>
      <c r="F221">
        <v>6</v>
      </c>
      <c r="G221">
        <v>1986</v>
      </c>
      <c r="H221">
        <v>75</v>
      </c>
      <c r="I221" s="32">
        <f t="shared" si="44"/>
        <v>15.320508075688775</v>
      </c>
      <c r="J221" s="1">
        <v>3.8684931506849298</v>
      </c>
      <c r="K221" s="32">
        <f t="shared" si="45"/>
        <v>16.162727672400528</v>
      </c>
      <c r="L221" s="32">
        <f t="shared" si="46"/>
        <v>82.471169125445982</v>
      </c>
      <c r="M221" s="32">
        <f t="shared" si="47"/>
        <v>0.30237122387001847</v>
      </c>
      <c r="N221">
        <v>7.8375705925282091E-2</v>
      </c>
      <c r="O221" s="32">
        <f t="shared" si="53"/>
        <v>16.205825134300817</v>
      </c>
      <c r="P221" s="32">
        <f t="shared" si="48"/>
        <v>82.863017205184832</v>
      </c>
      <c r="Q221">
        <v>21</v>
      </c>
      <c r="R221">
        <v>96</v>
      </c>
      <c r="S221" s="1">
        <f t="shared" si="49"/>
        <v>15.321750468212322</v>
      </c>
      <c r="T221" s="1">
        <f t="shared" si="54"/>
        <v>16.205825134300817</v>
      </c>
      <c r="U221" s="1">
        <f t="shared" si="50"/>
        <v>16.242202267418442</v>
      </c>
      <c r="V221" s="1">
        <f t="shared" si="51"/>
        <v>3.3929306365020566</v>
      </c>
      <c r="W221" s="1">
        <f t="shared" si="55"/>
        <v>1.3232958138574276E-3</v>
      </c>
      <c r="X221" s="1">
        <f t="shared" si="56"/>
        <v>-3.6377133117625249E-2</v>
      </c>
      <c r="Y221" s="39">
        <f t="shared" si="52"/>
        <v>83.182121888075457</v>
      </c>
      <c r="AB221">
        <v>216</v>
      </c>
      <c r="AC221" s="7"/>
      <c r="AF221" s="7"/>
      <c r="AG221" s="10"/>
      <c r="AH221" s="1"/>
      <c r="AI221" s="10"/>
      <c r="AJ221" s="32"/>
      <c r="AL221" s="1"/>
    </row>
    <row r="222" spans="1:38" x14ac:dyDescent="0.3">
      <c r="A222">
        <v>79045</v>
      </c>
      <c r="B222">
        <v>2</v>
      </c>
      <c r="C222">
        <v>8</v>
      </c>
      <c r="D222">
        <v>1982</v>
      </c>
      <c r="E222">
        <v>11</v>
      </c>
      <c r="F222">
        <v>6</v>
      </c>
      <c r="G222">
        <v>1985</v>
      </c>
      <c r="H222">
        <v>77</v>
      </c>
      <c r="I222" s="32">
        <f t="shared" si="44"/>
        <v>15.549928774784245</v>
      </c>
      <c r="J222" s="1">
        <v>2.86027397260274</v>
      </c>
      <c r="K222" s="32">
        <f t="shared" si="45"/>
        <v>16.157177099697758</v>
      </c>
      <c r="L222" s="32">
        <f t="shared" si="46"/>
        <v>82.420770057447172</v>
      </c>
      <c r="M222" s="32">
        <f t="shared" si="47"/>
        <v>0.23473422506316644</v>
      </c>
      <c r="N222">
        <v>0.16665580915287137</v>
      </c>
      <c r="O222" s="32">
        <f t="shared" si="53"/>
        <v>16.23792080301234</v>
      </c>
      <c r="P222" s="32">
        <f t="shared" si="48"/>
        <v>83.155438804237576</v>
      </c>
      <c r="Q222">
        <v>6</v>
      </c>
      <c r="R222">
        <v>83</v>
      </c>
      <c r="S222" s="1">
        <f t="shared" si="49"/>
        <v>15.551199132657898</v>
      </c>
      <c r="T222" s="1">
        <f t="shared" si="54"/>
        <v>16.23792080301234</v>
      </c>
      <c r="U222" s="1">
        <f t="shared" si="50"/>
        <v>16.218644989639309</v>
      </c>
      <c r="V222" s="1">
        <f t="shared" si="51"/>
        <v>2.6251697245464918</v>
      </c>
      <c r="W222" s="1">
        <f t="shared" si="55"/>
        <v>3.71556981191941E-4</v>
      </c>
      <c r="X222" s="1">
        <f t="shared" si="56"/>
        <v>1.9275813373031525E-2</v>
      </c>
      <c r="Y222" s="39">
        <f t="shared" si="52"/>
        <v>82.967434968688494</v>
      </c>
      <c r="AB222">
        <v>217</v>
      </c>
      <c r="AC222" s="7"/>
      <c r="AF222" s="7"/>
      <c r="AG222" s="10"/>
      <c r="AH222" s="1"/>
      <c r="AI222" s="10"/>
      <c r="AJ222" s="32"/>
      <c r="AL222" s="1"/>
    </row>
    <row r="223" spans="1:38" x14ac:dyDescent="0.3">
      <c r="A223">
        <v>20628</v>
      </c>
      <c r="B223">
        <v>21</v>
      </c>
      <c r="C223">
        <v>1</v>
      </c>
      <c r="D223">
        <v>1982</v>
      </c>
      <c r="E223">
        <v>13</v>
      </c>
      <c r="F223">
        <v>7</v>
      </c>
      <c r="G223">
        <v>1982</v>
      </c>
      <c r="H223">
        <v>87</v>
      </c>
      <c r="I223" s="32">
        <f t="shared" si="44"/>
        <v>16.654758106177631</v>
      </c>
      <c r="J223" s="1">
        <v>0.47397260273972602</v>
      </c>
      <c r="K223" s="32">
        <f t="shared" si="45"/>
        <v>16.735105696012408</v>
      </c>
      <c r="L223" s="32">
        <f t="shared" si="46"/>
        <v>87.751046360189136</v>
      </c>
      <c r="M223" s="32">
        <f t="shared" si="47"/>
        <v>4.3809278579889414E-2</v>
      </c>
      <c r="N223">
        <v>-0.35838638723362237</v>
      </c>
      <c r="O223" s="32">
        <f t="shared" si="53"/>
        <v>16.660093037746428</v>
      </c>
      <c r="P223" s="32">
        <f t="shared" si="48"/>
        <v>87.04976804433818</v>
      </c>
      <c r="Q223">
        <v>2</v>
      </c>
      <c r="R223">
        <v>89</v>
      </c>
      <c r="S223" s="1">
        <f t="shared" si="49"/>
        <v>16.656165464090588</v>
      </c>
      <c r="T223" s="1">
        <f t="shared" si="54"/>
        <v>16.660093037746428</v>
      </c>
      <c r="U223" s="1">
        <f t="shared" si="50"/>
        <v>16.748506893611577</v>
      </c>
      <c r="V223" s="1">
        <f t="shared" si="51"/>
        <v>0.48583831123346316</v>
      </c>
      <c r="W223" s="1">
        <f t="shared" si="55"/>
        <v>7.8170099089432728E-3</v>
      </c>
      <c r="X223" s="1">
        <f t="shared" si="56"/>
        <v>-8.8413855865148605E-2</v>
      </c>
      <c r="Y223" s="39">
        <f t="shared" si="52"/>
        <v>87.863326340086488</v>
      </c>
      <c r="AB223">
        <v>218</v>
      </c>
      <c r="AC223" s="7"/>
      <c r="AF223" s="7"/>
      <c r="AG223" s="10"/>
      <c r="AH223" s="1"/>
      <c r="AI223" s="10"/>
      <c r="AJ223" s="32"/>
      <c r="AL223" s="1"/>
    </row>
    <row r="224" spans="1:38" x14ac:dyDescent="0.3">
      <c r="A224">
        <v>76928</v>
      </c>
      <c r="B224">
        <v>30</v>
      </c>
      <c r="C224">
        <v>7</v>
      </c>
      <c r="D224">
        <v>1982</v>
      </c>
      <c r="E224">
        <v>23</v>
      </c>
      <c r="F224">
        <v>6</v>
      </c>
      <c r="G224">
        <v>1983</v>
      </c>
      <c r="H224">
        <v>52</v>
      </c>
      <c r="I224" s="32">
        <f t="shared" si="44"/>
        <v>12.422205101855956</v>
      </c>
      <c r="J224" s="1">
        <v>0.89863013698630101</v>
      </c>
      <c r="K224" s="32">
        <f t="shared" si="45"/>
        <v>12.763565978205529</v>
      </c>
      <c r="L224" s="32">
        <f t="shared" si="46"/>
        <v>54.490720098206943</v>
      </c>
      <c r="M224" s="32">
        <f t="shared" si="47"/>
        <v>8.1291473760307861E-2</v>
      </c>
      <c r="N224">
        <v>-0.17558249965077266</v>
      </c>
      <c r="O224" s="32">
        <f t="shared" si="53"/>
        <v>12.713504493450698</v>
      </c>
      <c r="P224" s="32">
        <f t="shared" si="48"/>
        <v>54.121803619698468</v>
      </c>
      <c r="Q224">
        <v>9</v>
      </c>
      <c r="R224">
        <v>61</v>
      </c>
      <c r="S224" s="1">
        <f t="shared" si="49"/>
        <v>12.423109764162469</v>
      </c>
      <c r="T224" s="1">
        <f t="shared" si="54"/>
        <v>12.713504493450698</v>
      </c>
      <c r="U224" s="1">
        <f t="shared" si="50"/>
        <v>12.773545030919504</v>
      </c>
      <c r="V224" s="1">
        <f t="shared" si="51"/>
        <v>0.90290765515450555</v>
      </c>
      <c r="W224" s="1">
        <f t="shared" si="55"/>
        <v>3.6048661395431236E-3</v>
      </c>
      <c r="X224" s="1">
        <f t="shared" si="56"/>
        <v>-6.0040537468806221E-2</v>
      </c>
      <c r="Y224" s="39">
        <f t="shared" si="52"/>
        <v>54.557436269855025</v>
      </c>
      <c r="AB224">
        <v>219</v>
      </c>
      <c r="AC224" s="7"/>
      <c r="AF224" s="7"/>
      <c r="AG224" s="10"/>
      <c r="AH224" s="1"/>
      <c r="AI224" s="10"/>
      <c r="AJ224" s="32"/>
      <c r="AL224" s="1"/>
    </row>
    <row r="225" spans="1:38" x14ac:dyDescent="0.3">
      <c r="A225">
        <v>76979</v>
      </c>
      <c r="B225">
        <v>31</v>
      </c>
      <c r="C225">
        <v>7</v>
      </c>
      <c r="D225">
        <v>1982</v>
      </c>
      <c r="E225">
        <v>21</v>
      </c>
      <c r="F225">
        <v>9</v>
      </c>
      <c r="G225">
        <v>1982</v>
      </c>
      <c r="H225">
        <v>54</v>
      </c>
      <c r="I225" s="32">
        <f t="shared" si="44"/>
        <v>12.696938456699069</v>
      </c>
      <c r="J225" s="1">
        <v>0.142465753424658</v>
      </c>
      <c r="K225" s="32">
        <f t="shared" si="45"/>
        <v>12.750111337168228</v>
      </c>
      <c r="L225" s="32">
        <f t="shared" si="46"/>
        <v>54.391446114714675</v>
      </c>
      <c r="M225" s="32">
        <f t="shared" si="47"/>
        <v>1.3392732780067255E-2</v>
      </c>
      <c r="N225">
        <v>1.4045303942111786</v>
      </c>
      <c r="O225" s="32">
        <f t="shared" si="53"/>
        <v>12.912653391212901</v>
      </c>
      <c r="P225" s="32">
        <f t="shared" si="48"/>
        <v>55.596807791613408</v>
      </c>
      <c r="Q225">
        <v>-2</v>
      </c>
      <c r="R225">
        <v>52</v>
      </c>
      <c r="S225" s="1">
        <f t="shared" si="49"/>
        <v>12.697873819873205</v>
      </c>
      <c r="T225" s="1">
        <f t="shared" si="54"/>
        <v>12.912653391212901</v>
      </c>
      <c r="U225" s="1">
        <f t="shared" si="50"/>
        <v>12.752579025088551</v>
      </c>
      <c r="V225" s="1">
        <f t="shared" si="51"/>
        <v>0.14834162889132665</v>
      </c>
      <c r="W225" s="1">
        <f t="shared" si="55"/>
        <v>2.562380269011252E-2</v>
      </c>
      <c r="X225" s="1">
        <f t="shared" si="56"/>
        <v>0.16007436612435022</v>
      </c>
      <c r="Y225" s="39">
        <f t="shared" si="52"/>
        <v>54.402702341459758</v>
      </c>
      <c r="AB225">
        <v>220</v>
      </c>
      <c r="AC225" s="7"/>
      <c r="AF225" s="7"/>
      <c r="AG225" s="10"/>
      <c r="AH225" s="1"/>
      <c r="AI225" s="10"/>
      <c r="AJ225" s="32"/>
      <c r="AL225" s="1"/>
    </row>
    <row r="226" spans="1:38" x14ac:dyDescent="0.3">
      <c r="A226">
        <v>79501</v>
      </c>
      <c r="B226">
        <v>5</v>
      </c>
      <c r="C226">
        <v>9</v>
      </c>
      <c r="D226">
        <v>1982</v>
      </c>
      <c r="E226">
        <v>30</v>
      </c>
      <c r="F226">
        <v>7</v>
      </c>
      <c r="G226">
        <v>1984</v>
      </c>
      <c r="H226">
        <v>81</v>
      </c>
      <c r="I226" s="32">
        <f t="shared" si="44"/>
        <v>16</v>
      </c>
      <c r="J226" s="1">
        <v>1.9013698630136999</v>
      </c>
      <c r="K226" s="32">
        <f t="shared" si="45"/>
        <v>16.371690501188741</v>
      </c>
      <c r="L226" s="32">
        <f t="shared" si="46"/>
        <v>84.379752967867162</v>
      </c>
      <c r="M226" s="32">
        <f t="shared" si="47"/>
        <v>0.16357904889438485</v>
      </c>
      <c r="N226">
        <v>0.47166622607619502</v>
      </c>
      <c r="O226" s="32">
        <f t="shared" si="53"/>
        <v>16.562455466900452</v>
      </c>
      <c r="P226" s="32">
        <f t="shared" si="48"/>
        <v>86.141188240165619</v>
      </c>
      <c r="Q226">
        <v>4</v>
      </c>
      <c r="R226">
        <v>85</v>
      </c>
      <c r="S226" s="1">
        <f t="shared" si="49"/>
        <v>16.001325708024599</v>
      </c>
      <c r="T226" s="1">
        <f t="shared" si="54"/>
        <v>16.562455466900452</v>
      </c>
      <c r="U226" s="1">
        <f t="shared" si="50"/>
        <v>16.416129978644058</v>
      </c>
      <c r="V226" s="1">
        <f t="shared" si="51"/>
        <v>1.8233760276161064</v>
      </c>
      <c r="W226" s="1">
        <f t="shared" si="55"/>
        <v>2.1411148513472235E-2</v>
      </c>
      <c r="X226" s="1">
        <f t="shared" si="56"/>
        <v>0.14632548825639446</v>
      </c>
      <c r="Y226" s="39">
        <f t="shared" si="52"/>
        <v>84.775779274721629</v>
      </c>
      <c r="AB226">
        <v>221</v>
      </c>
      <c r="AC226" s="7"/>
      <c r="AF226" s="7"/>
      <c r="AG226" s="10"/>
      <c r="AH226" s="1"/>
      <c r="AI226" s="10"/>
      <c r="AJ226" s="32"/>
      <c r="AL226" s="1"/>
    </row>
    <row r="227" spans="1:38" x14ac:dyDescent="0.3">
      <c r="A227">
        <v>79492</v>
      </c>
      <c r="B227">
        <v>5</v>
      </c>
      <c r="C227">
        <v>9</v>
      </c>
      <c r="D227">
        <v>1982</v>
      </c>
      <c r="E227">
        <v>7</v>
      </c>
      <c r="F227">
        <v>5</v>
      </c>
      <c r="G227">
        <v>1983</v>
      </c>
      <c r="H227">
        <v>72</v>
      </c>
      <c r="I227" s="32">
        <f t="shared" si="44"/>
        <v>14.970562748477139</v>
      </c>
      <c r="J227" s="1">
        <v>0.66849315068493198</v>
      </c>
      <c r="K227" s="32">
        <f t="shared" si="45"/>
        <v>15.140095033739792</v>
      </c>
      <c r="L227" s="32">
        <f t="shared" si="46"/>
        <v>73.445714441407858</v>
      </c>
      <c r="M227" s="32">
        <f t="shared" si="47"/>
        <v>6.1181331936717716E-2</v>
      </c>
      <c r="N227">
        <v>-0.80125118984142318</v>
      </c>
      <c r="O227" s="32">
        <f t="shared" si="53"/>
        <v>14.941906670420918</v>
      </c>
      <c r="P227" s="32">
        <f t="shared" si="48"/>
        <v>71.757050407313216</v>
      </c>
      <c r="Q227">
        <v>0</v>
      </c>
      <c r="R227">
        <v>72</v>
      </c>
      <c r="S227" s="1">
        <f t="shared" si="49"/>
        <v>14.971762814519451</v>
      </c>
      <c r="T227" s="1">
        <f t="shared" si="54"/>
        <v>14.941906670420918</v>
      </c>
      <c r="U227" s="1">
        <f t="shared" si="50"/>
        <v>15.154115606862263</v>
      </c>
      <c r="V227" s="1">
        <f t="shared" si="51"/>
        <v>0.67897519825596087</v>
      </c>
      <c r="W227" s="1">
        <f t="shared" si="55"/>
        <v>4.5032632705566553E-2</v>
      </c>
      <c r="X227" s="1">
        <f t="shared" si="56"/>
        <v>-0.21220893644134442</v>
      </c>
      <c r="Y227" s="39">
        <f t="shared" si="52"/>
        <v>73.555439179511438</v>
      </c>
      <c r="AB227">
        <v>222</v>
      </c>
      <c r="AC227" s="7"/>
      <c r="AF227" s="7"/>
      <c r="AG227" s="10"/>
      <c r="AH227" s="1"/>
      <c r="AI227" s="10"/>
      <c r="AJ227" s="32"/>
      <c r="AL227" s="1"/>
    </row>
    <row r="228" spans="1:38" x14ac:dyDescent="0.3">
      <c r="A228">
        <v>76646</v>
      </c>
      <c r="B228">
        <v>30</v>
      </c>
      <c r="C228">
        <v>7</v>
      </c>
      <c r="D228">
        <v>1982</v>
      </c>
      <c r="E228">
        <v>7</v>
      </c>
      <c r="F228">
        <v>5</v>
      </c>
      <c r="G228">
        <v>1988</v>
      </c>
      <c r="H228">
        <v>50</v>
      </c>
      <c r="I228" s="32">
        <f t="shared" si="44"/>
        <v>12.142135623730951</v>
      </c>
      <c r="J228" s="1">
        <v>5.77534246575342</v>
      </c>
      <c r="K228" s="32">
        <f t="shared" si="45"/>
        <v>14.15680041834524</v>
      </c>
      <c r="L228" s="32">
        <f t="shared" si="46"/>
        <v>65.260549939560249</v>
      </c>
      <c r="M228" s="32">
        <f t="shared" si="47"/>
        <v>0.41265387457256436</v>
      </c>
      <c r="N228">
        <v>-0.98979171525570564</v>
      </c>
      <c r="O228" s="32">
        <f t="shared" si="53"/>
        <v>13.520976621726097</v>
      </c>
      <c r="P228" s="32">
        <f t="shared" si="48"/>
        <v>60.225178823042015</v>
      </c>
      <c r="Q228">
        <v>35</v>
      </c>
      <c r="R228">
        <v>85</v>
      </c>
      <c r="S228" s="1">
        <f t="shared" si="49"/>
        <v>12.14300929219355</v>
      </c>
      <c r="T228" s="1">
        <f t="shared" si="54"/>
        <v>13.520976621726097</v>
      </c>
      <c r="U228" s="1">
        <f t="shared" si="50"/>
        <v>14.222017666907005</v>
      </c>
      <c r="V228" s="1">
        <f t="shared" si="51"/>
        <v>4.6582595262699131</v>
      </c>
      <c r="W228" s="1">
        <f t="shared" si="55"/>
        <v>0.4914585470283398</v>
      </c>
      <c r="X228" s="1">
        <f t="shared" si="56"/>
        <v>-0.70104104518090793</v>
      </c>
      <c r="Y228" s="39">
        <f t="shared" si="52"/>
        <v>65.779455121247864</v>
      </c>
      <c r="AB228">
        <v>223</v>
      </c>
      <c r="AC228" s="7"/>
      <c r="AF228" s="7"/>
      <c r="AG228" s="10"/>
      <c r="AH228" s="1"/>
      <c r="AI228" s="10"/>
      <c r="AJ228" s="32"/>
      <c r="AL228" s="1"/>
    </row>
    <row r="229" spans="1:38" x14ac:dyDescent="0.3">
      <c r="A229">
        <v>78693</v>
      </c>
      <c r="B229">
        <v>24</v>
      </c>
      <c r="C229">
        <v>7</v>
      </c>
      <c r="D229">
        <v>1982</v>
      </c>
      <c r="E229">
        <v>6</v>
      </c>
      <c r="F229">
        <v>7</v>
      </c>
      <c r="G229">
        <v>1983</v>
      </c>
      <c r="H229">
        <v>81</v>
      </c>
      <c r="I229" s="32">
        <f t="shared" si="44"/>
        <v>16</v>
      </c>
      <c r="J229" s="1">
        <v>0.95068493150684896</v>
      </c>
      <c r="K229" s="32">
        <f t="shared" si="45"/>
        <v>16.190375609689973</v>
      </c>
      <c r="L229" s="32">
        <f t="shared" si="46"/>
        <v>82.722441205400955</v>
      </c>
      <c r="M229" s="32">
        <f t="shared" si="47"/>
        <v>8.5774731043555957E-2</v>
      </c>
      <c r="N229">
        <v>-0.70356463766074739</v>
      </c>
      <c r="O229" s="32">
        <f t="shared" si="53"/>
        <v>15.984320359110479</v>
      </c>
      <c r="P229" s="32">
        <f t="shared" si="48"/>
        <v>80.858944694778899</v>
      </c>
      <c r="Q229">
        <v>0</v>
      </c>
      <c r="R229">
        <v>81</v>
      </c>
      <c r="S229" s="1">
        <f t="shared" si="49"/>
        <v>16.001325708024599</v>
      </c>
      <c r="T229" s="1">
        <f t="shared" si="54"/>
        <v>15.984320359110479</v>
      </c>
      <c r="U229" s="1">
        <f t="shared" si="50"/>
        <v>16.213415991482936</v>
      </c>
      <c r="V229" s="1">
        <f t="shared" si="51"/>
        <v>0.95288282337955288</v>
      </c>
      <c r="W229" s="1">
        <f t="shared" si="55"/>
        <v>5.2484808772136224E-2</v>
      </c>
      <c r="X229" s="1">
        <f t="shared" si="56"/>
        <v>-0.22909563237245756</v>
      </c>
      <c r="Y229" s="39">
        <f t="shared" si="52"/>
        <v>82.919818630915032</v>
      </c>
      <c r="AB229">
        <v>224</v>
      </c>
      <c r="AC229" s="7"/>
      <c r="AF229" s="7"/>
      <c r="AG229" s="10"/>
      <c r="AH229" s="1"/>
      <c r="AI229" s="10"/>
      <c r="AJ229" s="32"/>
      <c r="AL229" s="1"/>
    </row>
    <row r="230" spans="1:38" x14ac:dyDescent="0.3">
      <c r="A230">
        <v>22617</v>
      </c>
      <c r="B230">
        <v>26</v>
      </c>
      <c r="C230">
        <v>7</v>
      </c>
      <c r="D230">
        <v>1982</v>
      </c>
      <c r="E230">
        <v>11</v>
      </c>
      <c r="F230">
        <v>5</v>
      </c>
      <c r="G230">
        <v>1988</v>
      </c>
      <c r="H230">
        <v>72</v>
      </c>
      <c r="I230" s="32">
        <f t="shared" si="44"/>
        <v>14.970562748477139</v>
      </c>
      <c r="J230" s="1">
        <v>5.7972602739725998</v>
      </c>
      <c r="K230" s="32">
        <f t="shared" si="45"/>
        <v>16.264254034927532</v>
      </c>
      <c r="L230" s="32">
        <f t="shared" si="46"/>
        <v>83.395743863091667</v>
      </c>
      <c r="M230" s="32">
        <f t="shared" si="47"/>
        <v>0.41380025781791829</v>
      </c>
      <c r="N230">
        <v>-1.469611561333295</v>
      </c>
      <c r="O230" s="32">
        <f t="shared" si="53"/>
        <v>15.318892476763269</v>
      </c>
      <c r="P230" s="32">
        <f t="shared" si="48"/>
        <v>74.986009155421826</v>
      </c>
      <c r="Q230">
        <v>16</v>
      </c>
      <c r="R230">
        <v>88</v>
      </c>
      <c r="S230" s="1">
        <f t="shared" si="49"/>
        <v>14.971762814519451</v>
      </c>
      <c r="T230" s="1">
        <f t="shared" si="54"/>
        <v>15.318892476763269</v>
      </c>
      <c r="U230" s="1">
        <f t="shared" si="50"/>
        <v>16.375952211216301</v>
      </c>
      <c r="V230" s="1">
        <f t="shared" si="51"/>
        <v>4.6715105378709927</v>
      </c>
      <c r="W230" s="1">
        <f t="shared" si="55"/>
        <v>1.1173752822019154</v>
      </c>
      <c r="X230" s="1">
        <f t="shared" si="56"/>
        <v>-1.0570597344530324</v>
      </c>
      <c r="Y230" s="39">
        <f t="shared" si="52"/>
        <v>84.40629711453667</v>
      </c>
      <c r="AB230">
        <v>225</v>
      </c>
      <c r="AC230" s="7"/>
      <c r="AF230" s="7"/>
      <c r="AG230" s="10"/>
      <c r="AH230" s="1"/>
      <c r="AI230" s="10"/>
      <c r="AJ230" s="32"/>
      <c r="AL230" s="1"/>
    </row>
    <row r="231" spans="1:38" x14ac:dyDescent="0.3">
      <c r="A231">
        <v>20629</v>
      </c>
      <c r="B231">
        <v>21</v>
      </c>
      <c r="C231">
        <v>1</v>
      </c>
      <c r="D231">
        <v>1982</v>
      </c>
      <c r="E231">
        <v>5</v>
      </c>
      <c r="F231">
        <v>5</v>
      </c>
      <c r="G231">
        <v>1987</v>
      </c>
      <c r="H231">
        <v>127</v>
      </c>
      <c r="I231" s="32">
        <f t="shared" si="44"/>
        <v>20.538855339169288</v>
      </c>
      <c r="J231" s="1">
        <v>5.2876712328767104</v>
      </c>
      <c r="K231" s="32">
        <f t="shared" si="45"/>
        <v>20.410848720572318</v>
      </c>
      <c r="L231" s="32">
        <f t="shared" si="46"/>
        <v>125.56153509409448</v>
      </c>
      <c r="M231" s="32">
        <f t="shared" si="47"/>
        <v>0.38646861699625157</v>
      </c>
      <c r="N231">
        <v>-0.50033349907607771</v>
      </c>
      <c r="O231" s="32">
        <f t="shared" si="53"/>
        <v>20.099808394956113</v>
      </c>
      <c r="P231" s="32">
        <f t="shared" si="48"/>
        <v>122.10038277344317</v>
      </c>
      <c r="Q231">
        <v>19</v>
      </c>
      <c r="R231">
        <v>146</v>
      </c>
      <c r="S231" s="1">
        <f t="shared" si="49"/>
        <v>20.540772267054084</v>
      </c>
      <c r="T231" s="1">
        <f t="shared" si="54"/>
        <v>20.099808394956113</v>
      </c>
      <c r="U231" s="1">
        <f t="shared" si="50"/>
        <v>20.59814092338884</v>
      </c>
      <c r="V231" s="1">
        <f t="shared" si="51"/>
        <v>4.3561643257935287</v>
      </c>
      <c r="W231" s="1">
        <f t="shared" si="55"/>
        <v>0.24833530889415412</v>
      </c>
      <c r="X231" s="1">
        <f t="shared" si="56"/>
        <v>-0.49833252843272646</v>
      </c>
      <c r="Y231" s="39">
        <f t="shared" si="52"/>
        <v>127.6472463029699</v>
      </c>
      <c r="AB231">
        <v>226</v>
      </c>
      <c r="AC231" s="7"/>
      <c r="AF231" s="7"/>
      <c r="AG231" s="10"/>
      <c r="AH231" s="1"/>
      <c r="AI231" s="10"/>
      <c r="AJ231" s="32"/>
      <c r="AL231" s="1"/>
    </row>
    <row r="232" spans="1:38" x14ac:dyDescent="0.3">
      <c r="A232">
        <v>79400</v>
      </c>
      <c r="B232">
        <v>1</v>
      </c>
      <c r="C232">
        <v>9</v>
      </c>
      <c r="D232">
        <v>1982</v>
      </c>
      <c r="E232">
        <v>22</v>
      </c>
      <c r="F232">
        <v>7</v>
      </c>
      <c r="G232">
        <v>1985</v>
      </c>
      <c r="H232">
        <v>74</v>
      </c>
      <c r="I232" s="32">
        <f t="shared" si="44"/>
        <v>15.204650534085253</v>
      </c>
      <c r="J232" s="1">
        <v>2.89041095890411</v>
      </c>
      <c r="K232" s="32">
        <f t="shared" si="45"/>
        <v>15.865411170965105</v>
      </c>
      <c r="L232" s="32">
        <f t="shared" si="46"/>
        <v>79.793229076911175</v>
      </c>
      <c r="M232" s="32">
        <f t="shared" si="47"/>
        <v>0.23685905388602549</v>
      </c>
      <c r="N232">
        <v>-1.2385248737700749</v>
      </c>
      <c r="O232" s="32">
        <f t="shared" si="53"/>
        <v>15.262643809463221</v>
      </c>
      <c r="P232" s="32">
        <f t="shared" si="48"/>
        <v>74.499717823099715</v>
      </c>
      <c r="Q232">
        <v>11</v>
      </c>
      <c r="R232">
        <v>85</v>
      </c>
      <c r="S232" s="1">
        <f t="shared" si="49"/>
        <v>15.205878868967202</v>
      </c>
      <c r="T232" s="1">
        <f t="shared" si="54"/>
        <v>15.262643809463221</v>
      </c>
      <c r="U232" s="1">
        <f t="shared" si="50"/>
        <v>15.924238438860542</v>
      </c>
      <c r="V232" s="1">
        <f t="shared" si="51"/>
        <v>2.6492027005704393</v>
      </c>
      <c r="W232" s="1">
        <f t="shared" si="55"/>
        <v>0.43770745364737845</v>
      </c>
      <c r="X232" s="1">
        <f t="shared" si="56"/>
        <v>-0.66159462939732094</v>
      </c>
      <c r="Y232" s="39">
        <f t="shared" si="52"/>
        <v>80.307785542629958</v>
      </c>
      <c r="AB232">
        <v>227</v>
      </c>
      <c r="AC232" s="7"/>
      <c r="AF232" s="7"/>
      <c r="AG232" s="10"/>
      <c r="AH232" s="1"/>
      <c r="AI232" s="10"/>
      <c r="AJ232" s="32"/>
      <c r="AL232" s="1"/>
    </row>
    <row r="233" spans="1:38" x14ac:dyDescent="0.3">
      <c r="A233">
        <v>79012</v>
      </c>
      <c r="B233">
        <v>1</v>
      </c>
      <c r="C233">
        <v>8</v>
      </c>
      <c r="D233">
        <v>1982</v>
      </c>
      <c r="E233">
        <v>20</v>
      </c>
      <c r="F233">
        <v>6</v>
      </c>
      <c r="G233">
        <v>1983</v>
      </c>
      <c r="H233">
        <v>101</v>
      </c>
      <c r="I233" s="32">
        <f t="shared" si="44"/>
        <v>18.09975124224178</v>
      </c>
      <c r="J233" s="1">
        <v>0.88493150684931499</v>
      </c>
      <c r="K233" s="32">
        <f t="shared" si="45"/>
        <v>18.184077232355307</v>
      </c>
      <c r="L233" s="32">
        <f t="shared" si="46"/>
        <v>101.84924343042097</v>
      </c>
      <c r="M233" s="32">
        <f t="shared" si="47"/>
        <v>8.01076846651467E-2</v>
      </c>
      <c r="N233">
        <v>0.22514882402902003</v>
      </c>
      <c r="O233" s="32">
        <f t="shared" si="53"/>
        <v>18.247801781684586</v>
      </c>
      <c r="P233" s="32">
        <f t="shared" si="48"/>
        <v>102.49336924759737</v>
      </c>
      <c r="Q233">
        <v>1</v>
      </c>
      <c r="R233">
        <v>102</v>
      </c>
      <c r="S233" s="1">
        <f t="shared" si="49"/>
        <v>18.101343311190931</v>
      </c>
      <c r="T233" s="1">
        <f t="shared" si="54"/>
        <v>18.247801781684586</v>
      </c>
      <c r="U233" s="1">
        <f t="shared" si="50"/>
        <v>18.212518506233696</v>
      </c>
      <c r="V233" s="1">
        <f t="shared" si="51"/>
        <v>0.88971511460487129</v>
      </c>
      <c r="W233" s="1">
        <f t="shared" si="55"/>
        <v>1.2449095265433961E-3</v>
      </c>
      <c r="X233" s="1">
        <f t="shared" si="56"/>
        <v>3.5283275450890272E-2</v>
      </c>
      <c r="Y233" s="39">
        <f t="shared" si="52"/>
        <v>102.12024076559855</v>
      </c>
      <c r="AB233">
        <v>228</v>
      </c>
      <c r="AC233" s="7"/>
      <c r="AF233" s="7"/>
      <c r="AG233" s="10"/>
      <c r="AH233" s="1"/>
      <c r="AI233" s="10"/>
      <c r="AJ233" s="32"/>
      <c r="AL233" s="1"/>
    </row>
    <row r="234" spans="1:38" x14ac:dyDescent="0.3">
      <c r="A234">
        <v>76810</v>
      </c>
      <c r="B234">
        <v>30</v>
      </c>
      <c r="C234">
        <v>7</v>
      </c>
      <c r="D234">
        <v>1982</v>
      </c>
      <c r="E234">
        <v>24</v>
      </c>
      <c r="F234">
        <v>5</v>
      </c>
      <c r="G234">
        <v>1983</v>
      </c>
      <c r="H234">
        <v>53</v>
      </c>
      <c r="I234" s="32">
        <f t="shared" si="44"/>
        <v>12.560219778561036</v>
      </c>
      <c r="J234" s="1">
        <v>0.81643835616438398</v>
      </c>
      <c r="K234" s="32">
        <f t="shared" si="45"/>
        <v>12.865347862735195</v>
      </c>
      <c r="L234" s="32">
        <f t="shared" si="46"/>
        <v>55.244641770031457</v>
      </c>
      <c r="M234" s="32">
        <f t="shared" si="47"/>
        <v>7.416372116956442E-2</v>
      </c>
      <c r="N234">
        <v>0.70837359089637175</v>
      </c>
      <c r="O234" s="32">
        <f t="shared" si="53"/>
        <v>13.058259362747863</v>
      </c>
      <c r="P234" s="32">
        <f t="shared" si="48"/>
        <v>56.687793758945922</v>
      </c>
      <c r="Q234">
        <v>7</v>
      </c>
      <c r="R234">
        <v>60</v>
      </c>
      <c r="S234" s="1">
        <f t="shared" si="49"/>
        <v>12.561139827233584</v>
      </c>
      <c r="T234" s="1">
        <f t="shared" si="54"/>
        <v>13.058259362747863</v>
      </c>
      <c r="U234" s="1">
        <f t="shared" si="50"/>
        <v>12.874884645458158</v>
      </c>
      <c r="V234" s="1">
        <f t="shared" si="51"/>
        <v>0.82349393574602825</v>
      </c>
      <c r="W234" s="1">
        <f t="shared" si="55"/>
        <v>3.3626286941079442E-2</v>
      </c>
      <c r="X234" s="1">
        <f t="shared" si="56"/>
        <v>0.18337471728970556</v>
      </c>
      <c r="Y234" s="39">
        <f t="shared" si="52"/>
        <v>55.308443580581788</v>
      </c>
      <c r="AB234">
        <v>229</v>
      </c>
      <c r="AC234" s="7"/>
      <c r="AF234" s="7"/>
      <c r="AG234" s="10"/>
      <c r="AH234" s="1"/>
      <c r="AI234" s="10"/>
      <c r="AJ234" s="32"/>
      <c r="AL234" s="1"/>
    </row>
    <row r="235" spans="1:38" x14ac:dyDescent="0.3">
      <c r="A235">
        <v>20616</v>
      </c>
      <c r="B235">
        <v>19</v>
      </c>
      <c r="C235">
        <v>1</v>
      </c>
      <c r="D235">
        <v>1982</v>
      </c>
      <c r="E235">
        <v>16</v>
      </c>
      <c r="F235">
        <v>8</v>
      </c>
      <c r="G235">
        <v>1982</v>
      </c>
      <c r="H235">
        <v>85</v>
      </c>
      <c r="I235" s="32">
        <f t="shared" si="44"/>
        <v>16.439088914585774</v>
      </c>
      <c r="J235" s="1">
        <v>0.57260273972602704</v>
      </c>
      <c r="K235" s="32">
        <f t="shared" si="45"/>
        <v>16.542154338045609</v>
      </c>
      <c r="L235" s="32">
        <f t="shared" si="46"/>
        <v>85.952871873975909</v>
      </c>
      <c r="M235" s="32">
        <f t="shared" si="47"/>
        <v>5.266096552609683E-2</v>
      </c>
      <c r="N235">
        <v>-1.0836674846359529</v>
      </c>
      <c r="O235" s="32">
        <f t="shared" si="53"/>
        <v>16.293474571293139</v>
      </c>
      <c r="P235" s="32">
        <f t="shared" si="48"/>
        <v>83.662802972637166</v>
      </c>
      <c r="Q235">
        <v>3</v>
      </c>
      <c r="R235">
        <v>88</v>
      </c>
      <c r="S235" s="1">
        <f t="shared" si="49"/>
        <v>16.440469232880666</v>
      </c>
      <c r="T235" s="1">
        <f t="shared" si="54"/>
        <v>16.293474571293139</v>
      </c>
      <c r="U235" s="1">
        <f t="shared" si="50"/>
        <v>16.557560921734243</v>
      </c>
      <c r="V235" s="1">
        <f t="shared" si="51"/>
        <v>0.58421347300110493</v>
      </c>
      <c r="W235" s="1">
        <f t="shared" si="55"/>
        <v>6.9741600489301808E-2</v>
      </c>
      <c r="X235" s="1">
        <f t="shared" si="56"/>
        <v>-0.2640863504411044</v>
      </c>
      <c r="Y235" s="39">
        <f t="shared" si="52"/>
        <v>86.082823620214597</v>
      </c>
      <c r="AB235">
        <v>230</v>
      </c>
      <c r="AC235" s="7"/>
      <c r="AF235" s="7"/>
      <c r="AG235" s="10"/>
      <c r="AH235" s="1"/>
      <c r="AI235" s="10"/>
      <c r="AJ235" s="32"/>
      <c r="AL235" s="1"/>
    </row>
    <row r="236" spans="1:38" x14ac:dyDescent="0.3">
      <c r="A236">
        <v>76978</v>
      </c>
      <c r="B236">
        <v>31</v>
      </c>
      <c r="C236">
        <v>7</v>
      </c>
      <c r="D236">
        <v>1982</v>
      </c>
      <c r="E236">
        <v>23</v>
      </c>
      <c r="F236">
        <v>10</v>
      </c>
      <c r="G236">
        <v>1982</v>
      </c>
      <c r="H236">
        <v>52</v>
      </c>
      <c r="I236" s="32">
        <f t="shared" si="44"/>
        <v>12.422205101855956</v>
      </c>
      <c r="J236" s="1">
        <v>0.23013698630137</v>
      </c>
      <c r="K236" s="32">
        <f t="shared" si="45"/>
        <v>12.511131166129093</v>
      </c>
      <c r="L236" s="32">
        <f t="shared" si="46"/>
        <v>52.643231930150776</v>
      </c>
      <c r="M236" s="32">
        <f t="shared" si="47"/>
        <v>2.1537652620548655E-2</v>
      </c>
      <c r="N236">
        <v>0.26424800125823822</v>
      </c>
      <c r="O236" s="32">
        <f t="shared" si="53"/>
        <v>12.54991144207448</v>
      </c>
      <c r="P236" s="32">
        <f t="shared" si="48"/>
        <v>52.924980743052465</v>
      </c>
      <c r="Q236">
        <v>0</v>
      </c>
      <c r="R236">
        <v>52</v>
      </c>
      <c r="S236" s="1">
        <f t="shared" si="49"/>
        <v>12.423109764162469</v>
      </c>
      <c r="T236" s="1">
        <f t="shared" si="54"/>
        <v>12.54991144207448</v>
      </c>
      <c r="U236" s="1">
        <f t="shared" si="50"/>
        <v>12.514287007136897</v>
      </c>
      <c r="V236" s="1">
        <f t="shared" si="51"/>
        <v>0.23863460636018094</v>
      </c>
      <c r="W236" s="1">
        <f t="shared" si="55"/>
        <v>1.2691003646220958E-3</v>
      </c>
      <c r="X236" s="1">
        <f t="shared" si="56"/>
        <v>3.562443493758316E-2</v>
      </c>
      <c r="Y236" s="39">
        <f t="shared" si="52"/>
        <v>52.659493077678356</v>
      </c>
      <c r="AB236">
        <v>231</v>
      </c>
      <c r="AC236" s="7"/>
      <c r="AF236" s="7"/>
      <c r="AG236" s="10"/>
      <c r="AH236" s="1"/>
      <c r="AI236" s="10"/>
      <c r="AJ236" s="32"/>
      <c r="AL236" s="1"/>
    </row>
    <row r="237" spans="1:38" x14ac:dyDescent="0.3">
      <c r="A237">
        <v>22566</v>
      </c>
      <c r="B237">
        <v>24</v>
      </c>
      <c r="C237">
        <v>7</v>
      </c>
      <c r="D237">
        <v>1982</v>
      </c>
      <c r="E237">
        <v>10</v>
      </c>
      <c r="F237">
        <v>9</v>
      </c>
      <c r="G237">
        <v>1989</v>
      </c>
      <c r="H237">
        <v>60</v>
      </c>
      <c r="I237" s="32">
        <f t="shared" si="44"/>
        <v>13.491933384829668</v>
      </c>
      <c r="J237" s="1">
        <v>7.13698630136986</v>
      </c>
      <c r="K237" s="32">
        <f t="shared" si="45"/>
        <v>15.486996547764946</v>
      </c>
      <c r="L237" s="32">
        <f t="shared" si="46"/>
        <v>76.448762065385779</v>
      </c>
      <c r="M237" s="32">
        <f t="shared" si="47"/>
        <v>0.47919726180868932</v>
      </c>
      <c r="N237">
        <v>-1.5169598555075936</v>
      </c>
      <c r="O237" s="32">
        <f t="shared" si="53"/>
        <v>14.436895113260755</v>
      </c>
      <c r="P237" s="32">
        <f t="shared" si="48"/>
        <v>67.542880241083807</v>
      </c>
      <c r="Q237">
        <v>34</v>
      </c>
      <c r="R237">
        <v>94</v>
      </c>
      <c r="S237" s="1">
        <f t="shared" si="49"/>
        <v>13.492959197163596</v>
      </c>
      <c r="T237" s="1">
        <f t="shared" si="54"/>
        <v>14.436895113260755</v>
      </c>
      <c r="U237" s="1">
        <f t="shared" si="50"/>
        <v>15.595828490311314</v>
      </c>
      <c r="V237" s="1">
        <f t="shared" si="51"/>
        <v>5.4311997757047079</v>
      </c>
      <c r="W237" s="1">
        <f t="shared" si="55"/>
        <v>1.3431265724418131</v>
      </c>
      <c r="X237" s="1">
        <f t="shared" si="56"/>
        <v>-1.158933377050559</v>
      </c>
      <c r="Y237" s="39">
        <f t="shared" si="52"/>
        <v>77.392070943397869</v>
      </c>
      <c r="AB237">
        <v>232</v>
      </c>
      <c r="AC237" s="7"/>
      <c r="AF237" s="7"/>
      <c r="AG237" s="10"/>
      <c r="AH237" s="1"/>
      <c r="AI237" s="10"/>
      <c r="AJ237" s="32"/>
      <c r="AL237" s="1"/>
    </row>
    <row r="238" spans="1:38" x14ac:dyDescent="0.3">
      <c r="A238">
        <v>22974</v>
      </c>
      <c r="B238">
        <v>29</v>
      </c>
      <c r="C238">
        <v>7</v>
      </c>
      <c r="D238">
        <v>1982</v>
      </c>
      <c r="E238">
        <v>7</v>
      </c>
      <c r="F238">
        <v>6</v>
      </c>
      <c r="G238">
        <v>1985</v>
      </c>
      <c r="H238">
        <v>51</v>
      </c>
      <c r="I238" s="32">
        <f t="shared" si="44"/>
        <v>12.282856857085701</v>
      </c>
      <c r="J238" s="1">
        <v>2.86027397260274</v>
      </c>
      <c r="K238" s="32">
        <f t="shared" si="45"/>
        <v>13.335923652982954</v>
      </c>
      <c r="L238" s="32">
        <f t="shared" si="46"/>
        <v>58.797638572530509</v>
      </c>
      <c r="M238" s="32">
        <f t="shared" si="47"/>
        <v>0.23473422506316644</v>
      </c>
      <c r="N238">
        <v>0.37007680475653615</v>
      </c>
      <c r="O238" s="32">
        <f t="shared" si="53"/>
        <v>13.515223563851707</v>
      </c>
      <c r="P238" s="32">
        <f t="shared" si="48"/>
        <v>60.180540559074821</v>
      </c>
      <c r="Q238">
        <v>32</v>
      </c>
      <c r="R238">
        <v>83</v>
      </c>
      <c r="S238" s="1">
        <f t="shared" si="49"/>
        <v>12.283746059793614</v>
      </c>
      <c r="T238" s="1">
        <f t="shared" si="54"/>
        <v>13.515223563851707</v>
      </c>
      <c r="U238" s="1">
        <f t="shared" si="50"/>
        <v>13.366783583442043</v>
      </c>
      <c r="V238" s="1">
        <f t="shared" si="51"/>
        <v>2.6251697245464918</v>
      </c>
      <c r="W238" s="1">
        <f t="shared" si="55"/>
        <v>2.2034427784021531E-2</v>
      </c>
      <c r="X238" s="1">
        <f t="shared" si="56"/>
        <v>0.14843998040966433</v>
      </c>
      <c r="Y238" s="39">
        <f t="shared" si="52"/>
        <v>59.026739450240903</v>
      </c>
      <c r="AB238">
        <v>233</v>
      </c>
      <c r="AC238" s="7"/>
      <c r="AF238" s="7"/>
      <c r="AG238" s="10"/>
      <c r="AH238" s="1"/>
      <c r="AI238" s="10"/>
      <c r="AJ238" s="32"/>
      <c r="AL238" s="1"/>
    </row>
    <row r="239" spans="1:38" x14ac:dyDescent="0.3">
      <c r="A239">
        <v>22905</v>
      </c>
      <c r="B239">
        <v>28</v>
      </c>
      <c r="C239">
        <v>7</v>
      </c>
      <c r="D239">
        <v>1982</v>
      </c>
      <c r="E239">
        <v>15</v>
      </c>
      <c r="F239">
        <v>9</v>
      </c>
      <c r="G239">
        <v>1983</v>
      </c>
      <c r="H239">
        <v>60</v>
      </c>
      <c r="I239" s="32">
        <f t="shared" si="44"/>
        <v>13.491933384829668</v>
      </c>
      <c r="J239" s="1">
        <v>1.13424657534247</v>
      </c>
      <c r="K239" s="32">
        <f t="shared" si="45"/>
        <v>13.859763976700599</v>
      </c>
      <c r="L239" s="32">
        <f t="shared" si="46"/>
        <v>62.883028349162494</v>
      </c>
      <c r="M239" s="32">
        <f t="shared" si="47"/>
        <v>0.10139440917859188</v>
      </c>
      <c r="N239">
        <v>1.5698151401011273</v>
      </c>
      <c r="O239" s="32">
        <f t="shared" si="53"/>
        <v>14.35963218657413</v>
      </c>
      <c r="P239" s="32">
        <f t="shared" si="48"/>
        <v>66.909391319998079</v>
      </c>
      <c r="Q239">
        <v>0</v>
      </c>
      <c r="R239">
        <v>60</v>
      </c>
      <c r="S239" s="1">
        <f t="shared" si="49"/>
        <v>13.492959197163596</v>
      </c>
      <c r="T239" s="1">
        <f t="shared" si="54"/>
        <v>14.35963218657413</v>
      </c>
      <c r="U239" s="1">
        <f t="shared" si="50"/>
        <v>13.876639842333823</v>
      </c>
      <c r="V239" s="1">
        <f t="shared" si="51"/>
        <v>1.1271492471462736</v>
      </c>
      <c r="W239" s="1">
        <f t="shared" si="55"/>
        <v>0.23328160459474701</v>
      </c>
      <c r="X239" s="1">
        <f t="shared" si="56"/>
        <v>0.48299234424030679</v>
      </c>
      <c r="Y239" s="39">
        <f t="shared" si="52"/>
        <v>63.008427160734627</v>
      </c>
      <c r="AB239">
        <v>234</v>
      </c>
      <c r="AC239" s="7"/>
      <c r="AF239" s="7"/>
      <c r="AG239" s="10"/>
      <c r="AH239" s="1"/>
      <c r="AI239" s="10"/>
      <c r="AJ239" s="32"/>
      <c r="AL239" s="1"/>
    </row>
    <row r="240" spans="1:38" x14ac:dyDescent="0.3">
      <c r="A240">
        <v>22679</v>
      </c>
      <c r="B240">
        <v>26</v>
      </c>
      <c r="C240">
        <v>7</v>
      </c>
      <c r="D240">
        <v>1982</v>
      </c>
      <c r="E240">
        <v>7</v>
      </c>
      <c r="F240">
        <v>5</v>
      </c>
      <c r="G240">
        <v>1988</v>
      </c>
      <c r="H240">
        <v>88</v>
      </c>
      <c r="I240" s="32">
        <f t="shared" si="44"/>
        <v>16.761663039293719</v>
      </c>
      <c r="J240" s="1">
        <v>5.7863013698630104</v>
      </c>
      <c r="K240" s="32">
        <f t="shared" si="45"/>
        <v>17.593288110485805</v>
      </c>
      <c r="L240" s="32">
        <f t="shared" si="46"/>
        <v>95.974234745126097</v>
      </c>
      <c r="M240" s="32">
        <f t="shared" si="47"/>
        <v>0.41322738839670492</v>
      </c>
      <c r="N240">
        <v>0.47260641622415278</v>
      </c>
      <c r="O240" s="32">
        <f t="shared" si="53"/>
        <v>17.897092582693304</v>
      </c>
      <c r="P240" s="32">
        <f t="shared" si="48"/>
        <v>98.973573311067227</v>
      </c>
      <c r="Q240">
        <v>22</v>
      </c>
      <c r="R240">
        <v>110</v>
      </c>
      <c r="S240" s="1">
        <f t="shared" si="49"/>
        <v>16.763083852596107</v>
      </c>
      <c r="T240" s="1">
        <f t="shared" si="54"/>
        <v>17.897092582693304</v>
      </c>
      <c r="U240" s="1">
        <f t="shared" si="50"/>
        <v>17.734004787392252</v>
      </c>
      <c r="V240" s="1">
        <f t="shared" si="51"/>
        <v>4.6648884854284223</v>
      </c>
      <c r="W240" s="1">
        <f t="shared" si="55"/>
        <v>2.6597628976158017E-2</v>
      </c>
      <c r="X240" s="1">
        <f t="shared" si="56"/>
        <v>0.16308779530105255</v>
      </c>
      <c r="Y240" s="39">
        <f t="shared" si="52"/>
        <v>97.342496783717536</v>
      </c>
      <c r="AB240">
        <v>235</v>
      </c>
      <c r="AC240" s="7"/>
      <c r="AF240" s="7"/>
      <c r="AG240" s="10"/>
      <c r="AH240" s="1"/>
      <c r="AI240" s="10"/>
      <c r="AJ240" s="32"/>
      <c r="AL240" s="1"/>
    </row>
    <row r="241" spans="1:38" x14ac:dyDescent="0.3">
      <c r="A241">
        <v>22624</v>
      </c>
      <c r="B241">
        <v>26</v>
      </c>
      <c r="C241">
        <v>7</v>
      </c>
      <c r="D241">
        <v>1982</v>
      </c>
      <c r="E241">
        <v>13</v>
      </c>
      <c r="F241">
        <v>6</v>
      </c>
      <c r="G241">
        <v>1985</v>
      </c>
      <c r="H241">
        <v>78</v>
      </c>
      <c r="I241" s="32">
        <f t="shared" si="44"/>
        <v>15.663521732655695</v>
      </c>
      <c r="J241" s="1">
        <v>2.88493150684931</v>
      </c>
      <c r="K241" s="32">
        <f t="shared" si="45"/>
        <v>16.260002591562184</v>
      </c>
      <c r="L241" s="32">
        <f t="shared" si="46"/>
        <v>83.356923660964426</v>
      </c>
      <c r="M241" s="32">
        <f t="shared" si="47"/>
        <v>0.23647320983279083</v>
      </c>
      <c r="N241">
        <v>0.99379576568026096</v>
      </c>
      <c r="O241" s="32">
        <f t="shared" si="53"/>
        <v>16.743270676454088</v>
      </c>
      <c r="P241" s="32">
        <f t="shared" si="48"/>
        <v>87.827548912705922</v>
      </c>
      <c r="Q241">
        <v>11</v>
      </c>
      <c r="R241">
        <v>89</v>
      </c>
      <c r="S241" s="1">
        <f t="shared" si="49"/>
        <v>15.664805999633327</v>
      </c>
      <c r="T241" s="1">
        <f t="shared" si="54"/>
        <v>16.743270676454088</v>
      </c>
      <c r="U241" s="1">
        <f t="shared" si="50"/>
        <v>16.323054024007032</v>
      </c>
      <c r="V241" s="1">
        <f t="shared" si="51"/>
        <v>2.6448381914895922</v>
      </c>
      <c r="W241" s="1">
        <f t="shared" si="55"/>
        <v>0.17658203499381012</v>
      </c>
      <c r="X241" s="1">
        <f t="shared" si="56"/>
        <v>0.4202166524470563</v>
      </c>
      <c r="Y241" s="39">
        <f t="shared" si="52"/>
        <v>83.921066138503079</v>
      </c>
      <c r="AB241">
        <v>236</v>
      </c>
      <c r="AC241" s="7"/>
      <c r="AF241" s="7"/>
      <c r="AG241" s="10"/>
      <c r="AH241" s="1"/>
      <c r="AI241" s="10"/>
      <c r="AJ241" s="32"/>
      <c r="AL241" s="1"/>
    </row>
    <row r="242" spans="1:38" x14ac:dyDescent="0.3">
      <c r="A242">
        <v>78764</v>
      </c>
      <c r="B242">
        <v>25</v>
      </c>
      <c r="C242">
        <v>7</v>
      </c>
      <c r="D242">
        <v>1982</v>
      </c>
      <c r="E242">
        <v>9</v>
      </c>
      <c r="F242">
        <v>5</v>
      </c>
      <c r="G242">
        <v>1986</v>
      </c>
      <c r="H242">
        <v>75</v>
      </c>
      <c r="I242" s="32">
        <f t="shared" si="44"/>
        <v>15.320508075688775</v>
      </c>
      <c r="J242" s="1">
        <v>3.79178082191781</v>
      </c>
      <c r="K242" s="32">
        <f t="shared" si="45"/>
        <v>16.147598920563091</v>
      </c>
      <c r="L242" s="32">
        <f t="shared" si="46"/>
        <v>82.333836645405668</v>
      </c>
      <c r="M242" s="32">
        <f t="shared" si="47"/>
        <v>0.29746721232943912</v>
      </c>
      <c r="N242">
        <v>1.3216504157753661</v>
      </c>
      <c r="O242" s="32">
        <f t="shared" si="53"/>
        <v>16.868434390498074</v>
      </c>
      <c r="P242" s="32">
        <f t="shared" si="48"/>
        <v>89.004454087132601</v>
      </c>
      <c r="Q242">
        <v>7</v>
      </c>
      <c r="R242">
        <v>82</v>
      </c>
      <c r="S242" s="1">
        <f t="shared" si="49"/>
        <v>15.321750468212322</v>
      </c>
      <c r="T242" s="1">
        <f t="shared" si="54"/>
        <v>16.868434390498074</v>
      </c>
      <c r="U242" s="1">
        <f t="shared" si="50"/>
        <v>16.225547012630724</v>
      </c>
      <c r="V242" s="1">
        <f t="shared" si="51"/>
        <v>3.3370669196289677</v>
      </c>
      <c r="W242" s="1">
        <f t="shared" si="55"/>
        <v>0.41330418062115665</v>
      </c>
      <c r="X242" s="1">
        <f t="shared" si="56"/>
        <v>0.64288737786734984</v>
      </c>
      <c r="Y242" s="39">
        <f t="shared" si="52"/>
        <v>83.030307142100284</v>
      </c>
      <c r="AB242">
        <v>237</v>
      </c>
      <c r="AC242" s="7"/>
      <c r="AF242" s="7"/>
      <c r="AG242" s="10"/>
      <c r="AH242" s="1"/>
      <c r="AI242" s="10"/>
      <c r="AJ242" s="32"/>
      <c r="AL242" s="1"/>
    </row>
    <row r="243" spans="1:38" x14ac:dyDescent="0.3">
      <c r="A243">
        <v>79294</v>
      </c>
      <c r="B243">
        <v>23</v>
      </c>
      <c r="C243">
        <v>8</v>
      </c>
      <c r="D243">
        <v>1982</v>
      </c>
      <c r="E243">
        <v>21</v>
      </c>
      <c r="F243">
        <v>6</v>
      </c>
      <c r="G243">
        <v>1987</v>
      </c>
      <c r="H243">
        <v>88</v>
      </c>
      <c r="I243" s="32">
        <f t="shared" si="44"/>
        <v>16.761663039293719</v>
      </c>
      <c r="J243" s="1">
        <v>4.8301369863013699</v>
      </c>
      <c r="K243" s="32">
        <f t="shared" si="45"/>
        <v>17.472308903632449</v>
      </c>
      <c r="L243" s="32">
        <f t="shared" si="46"/>
        <v>94.792703509620878</v>
      </c>
      <c r="M243" s="32">
        <f t="shared" si="47"/>
        <v>0.3606814480891658</v>
      </c>
      <c r="N243">
        <v>0.14141846804704983</v>
      </c>
      <c r="O243" s="32">
        <f t="shared" si="53"/>
        <v>17.557240254280078</v>
      </c>
      <c r="P243" s="32">
        <f t="shared" si="48"/>
        <v>95.621411590908266</v>
      </c>
      <c r="Q243">
        <v>5</v>
      </c>
      <c r="R243">
        <v>93</v>
      </c>
      <c r="S243" s="1">
        <f t="shared" si="49"/>
        <v>16.763083852596107</v>
      </c>
      <c r="T243" s="1">
        <f t="shared" si="54"/>
        <v>17.557240254280078</v>
      </c>
      <c r="U243" s="1">
        <f t="shared" si="50"/>
        <v>17.591411780102845</v>
      </c>
      <c r="V243" s="1">
        <f t="shared" si="51"/>
        <v>4.0597088304487068</v>
      </c>
      <c r="W243" s="1">
        <f t="shared" si="55"/>
        <v>1.1676931770560511E-3</v>
      </c>
      <c r="X243" s="1">
        <f t="shared" si="56"/>
        <v>-3.4171525822767279E-2</v>
      </c>
      <c r="Y243" s="39">
        <f t="shared" si="52"/>
        <v>95.940904226879852</v>
      </c>
      <c r="AB243">
        <v>238</v>
      </c>
      <c r="AC243" s="7"/>
      <c r="AF243" s="7"/>
      <c r="AG243" s="10"/>
      <c r="AH243" s="1"/>
      <c r="AI243" s="10"/>
      <c r="AJ243" s="32"/>
      <c r="AL243" s="1"/>
    </row>
    <row r="244" spans="1:38" x14ac:dyDescent="0.3">
      <c r="A244">
        <v>79440</v>
      </c>
      <c r="B244">
        <v>3</v>
      </c>
      <c r="C244">
        <v>9</v>
      </c>
      <c r="D244">
        <v>1982</v>
      </c>
      <c r="E244">
        <v>15</v>
      </c>
      <c r="F244">
        <v>6</v>
      </c>
      <c r="G244">
        <v>1983</v>
      </c>
      <c r="H244">
        <v>88</v>
      </c>
      <c r="I244" s="32">
        <f t="shared" si="44"/>
        <v>16.761663039293719</v>
      </c>
      <c r="J244" s="1">
        <v>0.78082191780821897</v>
      </c>
      <c r="K244" s="32">
        <f t="shared" si="45"/>
        <v>16.888798500579725</v>
      </c>
      <c r="L244" s="32">
        <f t="shared" si="46"/>
        <v>89.196677198875719</v>
      </c>
      <c r="M244" s="32">
        <f t="shared" si="47"/>
        <v>7.1056315085784014E-2</v>
      </c>
      <c r="N244">
        <v>-1.1053907655877993</v>
      </c>
      <c r="O244" s="32">
        <f t="shared" si="53"/>
        <v>16.594141222306483</v>
      </c>
      <c r="P244" s="32">
        <f t="shared" si="48"/>
        <v>86.435521948769306</v>
      </c>
      <c r="Q244">
        <v>1</v>
      </c>
      <c r="R244">
        <v>89</v>
      </c>
      <c r="S244" s="1">
        <f t="shared" si="49"/>
        <v>16.763083852596107</v>
      </c>
      <c r="T244" s="1">
        <f t="shared" si="54"/>
        <v>16.594141222306483</v>
      </c>
      <c r="U244" s="1">
        <f t="shared" si="50"/>
        <v>16.910208669272585</v>
      </c>
      <c r="V244" s="1">
        <f t="shared" si="51"/>
        <v>0.78888803588688972</v>
      </c>
      <c r="W244" s="1">
        <f t="shared" si="55"/>
        <v>9.9898631031669557E-2</v>
      </c>
      <c r="X244" s="1">
        <f t="shared" si="56"/>
        <v>-0.31606744696610178</v>
      </c>
      <c r="Y244" s="39">
        <f t="shared" si="52"/>
        <v>89.385388965454624</v>
      </c>
      <c r="AB244">
        <v>239</v>
      </c>
      <c r="AC244" s="7"/>
      <c r="AF244" s="7"/>
      <c r="AG244" s="10"/>
      <c r="AH244" s="1"/>
      <c r="AI244" s="10"/>
      <c r="AJ244" s="32"/>
      <c r="AL244" s="1"/>
    </row>
    <row r="245" spans="1:38" x14ac:dyDescent="0.3">
      <c r="A245">
        <v>22984</v>
      </c>
      <c r="B245">
        <v>29</v>
      </c>
      <c r="C245">
        <v>7</v>
      </c>
      <c r="D245">
        <v>1982</v>
      </c>
      <c r="E245">
        <v>10</v>
      </c>
      <c r="F245">
        <v>5</v>
      </c>
      <c r="G245">
        <v>1988</v>
      </c>
      <c r="H245">
        <v>65</v>
      </c>
      <c r="I245" s="32">
        <f t="shared" si="44"/>
        <v>14.124515496597098</v>
      </c>
      <c r="J245" s="1">
        <v>5.7863013698630104</v>
      </c>
      <c r="K245" s="32">
        <f t="shared" si="45"/>
        <v>15.633376457553048</v>
      </c>
      <c r="L245" s="32">
        <f t="shared" si="46"/>
        <v>77.733991323446517</v>
      </c>
      <c r="M245" s="32">
        <f t="shared" si="47"/>
        <v>0.41322738839670492</v>
      </c>
      <c r="N245">
        <v>-1.3572935131378472</v>
      </c>
      <c r="O245" s="32">
        <f t="shared" si="53"/>
        <v>14.760870657306079</v>
      </c>
      <c r="P245" s="32">
        <f t="shared" si="48"/>
        <v>70.231696297735979</v>
      </c>
      <c r="Q245">
        <v>21</v>
      </c>
      <c r="R245">
        <v>86</v>
      </c>
      <c r="S245" s="1">
        <f t="shared" si="49"/>
        <v>14.125614927041669</v>
      </c>
      <c r="T245" s="1">
        <f t="shared" si="54"/>
        <v>14.760870657306079</v>
      </c>
      <c r="U245" s="1">
        <f t="shared" si="50"/>
        <v>15.731067816502652</v>
      </c>
      <c r="V245" s="1">
        <f t="shared" si="51"/>
        <v>4.6648884854284223</v>
      </c>
      <c r="W245" s="1">
        <f t="shared" si="55"/>
        <v>0.94128252771310039</v>
      </c>
      <c r="X245" s="1">
        <f t="shared" si="56"/>
        <v>-0.97019715919657301</v>
      </c>
      <c r="Y245" s="39">
        <f t="shared" si="52"/>
        <v>78.586234092841195</v>
      </c>
      <c r="AB245">
        <v>240</v>
      </c>
      <c r="AC245" s="7"/>
      <c r="AF245" s="7"/>
      <c r="AG245" s="10"/>
      <c r="AH245" s="1"/>
      <c r="AI245" s="10"/>
      <c r="AJ245" s="32"/>
      <c r="AL245" s="1"/>
    </row>
    <row r="246" spans="1:38" x14ac:dyDescent="0.3">
      <c r="A246">
        <v>78893</v>
      </c>
      <c r="B246">
        <v>27</v>
      </c>
      <c r="C246">
        <v>7</v>
      </c>
      <c r="D246">
        <v>1982</v>
      </c>
      <c r="E246">
        <v>29</v>
      </c>
      <c r="F246">
        <v>7</v>
      </c>
      <c r="G246">
        <v>1984</v>
      </c>
      <c r="H246">
        <v>78</v>
      </c>
      <c r="I246" s="32">
        <f t="shared" si="44"/>
        <v>15.663521732655695</v>
      </c>
      <c r="J246" s="1">
        <v>2.0082191780821899</v>
      </c>
      <c r="K246" s="32">
        <f t="shared" si="45"/>
        <v>16.087977975787936</v>
      </c>
      <c r="L246" s="32">
        <f t="shared" si="46"/>
        <v>81.793736813147362</v>
      </c>
      <c r="M246" s="32">
        <f t="shared" si="47"/>
        <v>0.17185867739246896</v>
      </c>
      <c r="N246">
        <v>1.1003317013091873</v>
      </c>
      <c r="O246" s="32">
        <f t="shared" si="53"/>
        <v>16.544129739129918</v>
      </c>
      <c r="P246" s="32">
        <f t="shared" si="48"/>
        <v>85.971186945420655</v>
      </c>
      <c r="Q246">
        <v>3</v>
      </c>
      <c r="R246">
        <v>81</v>
      </c>
      <c r="S246" s="1">
        <f t="shared" si="49"/>
        <v>15.664805999633327</v>
      </c>
      <c r="T246" s="1">
        <f t="shared" si="54"/>
        <v>16.544129739129918</v>
      </c>
      <c r="U246" s="1">
        <f t="shared" si="50"/>
        <v>16.132481002090699</v>
      </c>
      <c r="V246" s="1">
        <f t="shared" si="51"/>
        <v>1.9163818866489113</v>
      </c>
      <c r="W246" s="1">
        <f t="shared" si="55"/>
        <v>0.16945468270598371</v>
      </c>
      <c r="X246" s="1">
        <f t="shared" si="56"/>
        <v>0.41164873703921856</v>
      </c>
      <c r="Y246" s="39">
        <f t="shared" si="52"/>
        <v>82.184550781466243</v>
      </c>
      <c r="AB246">
        <v>241</v>
      </c>
      <c r="AC246" s="7"/>
      <c r="AF246" s="7"/>
      <c r="AG246" s="10"/>
      <c r="AH246" s="1"/>
      <c r="AI246" s="10"/>
      <c r="AJ246" s="32"/>
      <c r="AL246" s="1"/>
    </row>
    <row r="247" spans="1:38" x14ac:dyDescent="0.3">
      <c r="A247">
        <v>76981</v>
      </c>
      <c r="B247">
        <v>31</v>
      </c>
      <c r="C247">
        <v>7</v>
      </c>
      <c r="D247">
        <v>1982</v>
      </c>
      <c r="E247">
        <v>8</v>
      </c>
      <c r="F247">
        <v>6</v>
      </c>
      <c r="G247">
        <v>1992</v>
      </c>
      <c r="H247">
        <v>69</v>
      </c>
      <c r="I247" s="32">
        <f t="shared" si="44"/>
        <v>14.61324772583615</v>
      </c>
      <c r="J247" s="1">
        <v>9.8630136986301409</v>
      </c>
      <c r="K247" s="32">
        <f t="shared" si="45"/>
        <v>16.752010493336407</v>
      </c>
      <c r="L247" s="32">
        <f t="shared" si="46"/>
        <v>87.909474385549672</v>
      </c>
      <c r="M247" s="32">
        <f t="shared" si="47"/>
        <v>0.5874837469868649</v>
      </c>
      <c r="N247">
        <v>-1.8741138774203137</v>
      </c>
      <c r="O247" s="32">
        <f t="shared" si="53"/>
        <v>15.315549277535423</v>
      </c>
      <c r="P247" s="32">
        <f t="shared" si="48"/>
        <v>74.95706169568939</v>
      </c>
      <c r="Q247">
        <v>70</v>
      </c>
      <c r="R247">
        <v>139</v>
      </c>
      <c r="S247" s="1">
        <f t="shared" si="49"/>
        <v>14.614404993282996</v>
      </c>
      <c r="T247" s="1">
        <f t="shared" si="54"/>
        <v>15.315549277535423</v>
      </c>
      <c r="U247" s="1">
        <f t="shared" si="50"/>
        <v>16.930047371344369</v>
      </c>
      <c r="V247" s="1">
        <f t="shared" si="51"/>
        <v>6.7079074580474902</v>
      </c>
      <c r="W247" s="1">
        <f t="shared" si="55"/>
        <v>2.6066040949127194</v>
      </c>
      <c r="X247" s="1">
        <f t="shared" si="56"/>
        <v>-1.6144980938089457</v>
      </c>
      <c r="Y247" s="39">
        <f t="shared" si="52"/>
        <v>89.573026331904984</v>
      </c>
      <c r="AB247">
        <v>242</v>
      </c>
      <c r="AC247" s="7"/>
      <c r="AF247" s="7"/>
      <c r="AG247" s="10"/>
      <c r="AH247" s="1"/>
      <c r="AI247" s="10"/>
      <c r="AJ247" s="32"/>
      <c r="AL247" s="1"/>
    </row>
    <row r="248" spans="1:38" x14ac:dyDescent="0.3">
      <c r="A248">
        <v>22825</v>
      </c>
      <c r="B248">
        <v>28</v>
      </c>
      <c r="C248">
        <v>7</v>
      </c>
      <c r="D248">
        <v>1982</v>
      </c>
      <c r="E248">
        <v>11</v>
      </c>
      <c r="F248">
        <v>5</v>
      </c>
      <c r="G248">
        <v>1986</v>
      </c>
      <c r="H248">
        <v>73</v>
      </c>
      <c r="I248" s="32">
        <f t="shared" si="44"/>
        <v>15.088007490635061</v>
      </c>
      <c r="J248" s="1">
        <v>3.7890410958904099</v>
      </c>
      <c r="K248" s="32">
        <f t="shared" si="45"/>
        <v>15.955624034729588</v>
      </c>
      <c r="L248" s="32">
        <f t="shared" si="46"/>
        <v>80.601108619139708</v>
      </c>
      <c r="M248" s="32">
        <f t="shared" si="47"/>
        <v>0.29729135428547715</v>
      </c>
      <c r="N248">
        <v>-0.44211446947883815</v>
      </c>
      <c r="O248" s="32">
        <f t="shared" si="53"/>
        <v>15.714563637216266</v>
      </c>
      <c r="P248" s="32">
        <f t="shared" si="48"/>
        <v>78.451441214246188</v>
      </c>
      <c r="Q248">
        <v>13</v>
      </c>
      <c r="R248">
        <v>86</v>
      </c>
      <c r="S248" s="1">
        <f t="shared" si="49"/>
        <v>15.089221716937686</v>
      </c>
      <c r="T248" s="1">
        <f t="shared" si="54"/>
        <v>15.714563637216266</v>
      </c>
      <c r="U248" s="1">
        <f t="shared" si="50"/>
        <v>16.030767976618378</v>
      </c>
      <c r="V248" s="1">
        <f t="shared" si="51"/>
        <v>3.3350642377341968</v>
      </c>
      <c r="W248" s="1">
        <f t="shared" si="55"/>
        <v>9.9985184256726395E-2</v>
      </c>
      <c r="X248" s="1">
        <f t="shared" si="56"/>
        <v>-0.31620433940211257</v>
      </c>
      <c r="Y248" s="39">
        <f t="shared" si="52"/>
        <v>81.265164291785339</v>
      </c>
      <c r="AB248">
        <v>243</v>
      </c>
      <c r="AC248" s="7"/>
      <c r="AF248" s="7"/>
      <c r="AG248" s="10"/>
      <c r="AH248" s="1"/>
      <c r="AI248" s="10"/>
      <c r="AJ248" s="32"/>
      <c r="AL248" s="1"/>
    </row>
    <row r="249" spans="1:38" x14ac:dyDescent="0.3">
      <c r="A249">
        <v>78898</v>
      </c>
      <c r="B249">
        <v>27</v>
      </c>
      <c r="C249">
        <v>7</v>
      </c>
      <c r="D249">
        <v>1982</v>
      </c>
      <c r="E249">
        <v>14</v>
      </c>
      <c r="F249">
        <v>6</v>
      </c>
      <c r="G249">
        <v>1983</v>
      </c>
      <c r="H249">
        <v>71</v>
      </c>
      <c r="I249" s="32">
        <f t="shared" si="44"/>
        <v>14.852299546352718</v>
      </c>
      <c r="J249" s="1">
        <v>0.88219178082191796</v>
      </c>
      <c r="K249" s="32">
        <f t="shared" si="45"/>
        <v>15.080044044235423</v>
      </c>
      <c r="L249" s="32">
        <f t="shared" si="46"/>
        <v>72.931976138255479</v>
      </c>
      <c r="M249" s="32">
        <f t="shared" si="47"/>
        <v>7.9870727151795648E-2</v>
      </c>
      <c r="N249">
        <v>0.45760543798678555</v>
      </c>
      <c r="O249" s="32">
        <f t="shared" si="53"/>
        <v>15.209369791330843</v>
      </c>
      <c r="P249" s="32">
        <f t="shared" si="48"/>
        <v>74.040602153692646</v>
      </c>
      <c r="Q249">
        <v>3</v>
      </c>
      <c r="R249">
        <v>74</v>
      </c>
      <c r="S249" s="1">
        <f t="shared" si="49"/>
        <v>14.853485399691037</v>
      </c>
      <c r="T249" s="1">
        <f t="shared" si="54"/>
        <v>15.209369791330843</v>
      </c>
      <c r="U249" s="1">
        <f t="shared" si="50"/>
        <v>15.097778989763675</v>
      </c>
      <c r="V249" s="1">
        <f t="shared" si="51"/>
        <v>0.88707454299561428</v>
      </c>
      <c r="W249" s="1">
        <f t="shared" si="55"/>
        <v>1.2452506994403026E-2</v>
      </c>
      <c r="X249" s="1">
        <f t="shared" si="56"/>
        <v>0.11159080156716783</v>
      </c>
      <c r="Y249" s="39">
        <f t="shared" si="52"/>
        <v>73.07312284399535</v>
      </c>
      <c r="AB249">
        <v>244</v>
      </c>
      <c r="AC249" s="7"/>
      <c r="AF249" s="7"/>
      <c r="AG249" s="10"/>
      <c r="AH249" s="1"/>
      <c r="AI249" s="10"/>
      <c r="AJ249" s="32"/>
      <c r="AL249" s="1"/>
    </row>
    <row r="250" spans="1:38" x14ac:dyDescent="0.3">
      <c r="A250">
        <v>76983</v>
      </c>
      <c r="B250">
        <v>31</v>
      </c>
      <c r="C250">
        <v>7</v>
      </c>
      <c r="D250">
        <v>1982</v>
      </c>
      <c r="E250">
        <v>22</v>
      </c>
      <c r="F250">
        <v>5</v>
      </c>
      <c r="G250">
        <v>1983</v>
      </c>
      <c r="H250">
        <v>91</v>
      </c>
      <c r="I250" s="32">
        <f t="shared" si="44"/>
        <v>17.078784028338912</v>
      </c>
      <c r="J250" s="1">
        <v>0.80821917808219201</v>
      </c>
      <c r="K250" s="32">
        <f t="shared" si="45"/>
        <v>17.19741071638234</v>
      </c>
      <c r="L250" s="32">
        <f t="shared" si="46"/>
        <v>92.13514455336788</v>
      </c>
      <c r="M250" s="32">
        <f t="shared" si="47"/>
        <v>7.3447634856023028E-2</v>
      </c>
      <c r="N250">
        <v>4.5520209823735058E-3</v>
      </c>
      <c r="O250" s="32">
        <f t="shared" si="53"/>
        <v>17.198644369790557</v>
      </c>
      <c r="P250" s="32">
        <f t="shared" si="48"/>
        <v>92.146986409422666</v>
      </c>
      <c r="Q250">
        <v>8</v>
      </c>
      <c r="R250">
        <v>99</v>
      </c>
      <c r="S250" s="1">
        <f t="shared" si="49"/>
        <v>17.080244956481966</v>
      </c>
      <c r="T250" s="1">
        <f t="shared" si="54"/>
        <v>17.198644369790557</v>
      </c>
      <c r="U250" s="1">
        <f t="shared" si="50"/>
        <v>17.220473128658579</v>
      </c>
      <c r="V250" s="1">
        <f t="shared" si="51"/>
        <v>0.81551836185353266</v>
      </c>
      <c r="W250" s="1">
        <f t="shared" si="55"/>
        <v>4.7649471371824628E-4</v>
      </c>
      <c r="X250" s="1">
        <f t="shared" si="56"/>
        <v>-2.1828758868021936E-2</v>
      </c>
      <c r="Y250" s="39">
        <f t="shared" si="52"/>
        <v>92.342436143060723</v>
      </c>
      <c r="AB250">
        <v>245</v>
      </c>
      <c r="AC250" s="7"/>
      <c r="AF250" s="7"/>
      <c r="AG250" s="10"/>
      <c r="AH250" s="1"/>
      <c r="AI250" s="10"/>
      <c r="AJ250" s="32"/>
      <c r="AL250" s="1"/>
    </row>
    <row r="251" spans="1:38" x14ac:dyDescent="0.3">
      <c r="A251">
        <v>76853</v>
      </c>
      <c r="B251">
        <v>30</v>
      </c>
      <c r="C251">
        <v>7</v>
      </c>
      <c r="D251">
        <v>1982</v>
      </c>
      <c r="E251">
        <v>5</v>
      </c>
      <c r="F251">
        <v>10</v>
      </c>
      <c r="G251">
        <v>1986</v>
      </c>
      <c r="H251">
        <v>56</v>
      </c>
      <c r="I251" s="32">
        <f t="shared" si="44"/>
        <v>12.966629547095765</v>
      </c>
      <c r="J251" s="1">
        <v>4.1863013698630098</v>
      </c>
      <c r="K251" s="32">
        <f t="shared" si="45"/>
        <v>14.32575882423912</v>
      </c>
      <c r="L251" s="32">
        <f t="shared" si="46"/>
        <v>66.632600296805379</v>
      </c>
      <c r="M251" s="32">
        <f t="shared" si="47"/>
        <v>0.32228167313921552</v>
      </c>
      <c r="N251">
        <v>-1.1111887943116017</v>
      </c>
      <c r="O251" s="32">
        <f t="shared" si="53"/>
        <v>13.694938528093344</v>
      </c>
      <c r="P251" s="32">
        <f t="shared" si="48"/>
        <v>61.582773850157217</v>
      </c>
      <c r="Q251">
        <v>19</v>
      </c>
      <c r="R251">
        <v>75</v>
      </c>
      <c r="S251" s="1">
        <f t="shared" si="49"/>
        <v>12.967595328934028</v>
      </c>
      <c r="T251" s="1">
        <f t="shared" si="54"/>
        <v>13.694938528093344</v>
      </c>
      <c r="U251" s="1">
        <f t="shared" si="50"/>
        <v>14.381417223175273</v>
      </c>
      <c r="V251" s="1">
        <f t="shared" si="51"/>
        <v>3.6200720187180897</v>
      </c>
      <c r="W251" s="1">
        <f t="shared" si="55"/>
        <v>0.4712529988013881</v>
      </c>
      <c r="X251" s="1">
        <f t="shared" si="56"/>
        <v>-0.68647869508192905</v>
      </c>
      <c r="Y251" s="39">
        <f t="shared" si="52"/>
        <v>67.078455684796538</v>
      </c>
      <c r="AB251">
        <v>246</v>
      </c>
      <c r="AC251" s="7"/>
      <c r="AF251" s="7"/>
      <c r="AG251" s="10"/>
      <c r="AH251" s="1"/>
      <c r="AI251" s="10"/>
      <c r="AJ251" s="32"/>
      <c r="AL251" s="1"/>
    </row>
    <row r="252" spans="1:38" x14ac:dyDescent="0.3">
      <c r="A252">
        <v>22780</v>
      </c>
      <c r="B252">
        <v>28</v>
      </c>
      <c r="C252">
        <v>7</v>
      </c>
      <c r="D252">
        <v>1982</v>
      </c>
      <c r="E252">
        <v>9</v>
      </c>
      <c r="F252">
        <v>6</v>
      </c>
      <c r="G252">
        <v>1986</v>
      </c>
      <c r="H252">
        <v>67</v>
      </c>
      <c r="I252" s="32">
        <f t="shared" si="44"/>
        <v>14.370705543744901</v>
      </c>
      <c r="J252" s="1">
        <v>3.8684931506849298</v>
      </c>
      <c r="K252" s="32">
        <f t="shared" si="45"/>
        <v>15.383871541978079</v>
      </c>
      <c r="L252" s="32">
        <f t="shared" si="46"/>
        <v>75.54974744699885</v>
      </c>
      <c r="M252" s="32">
        <f t="shared" si="47"/>
        <v>0.30237122387001847</v>
      </c>
      <c r="N252">
        <v>-0.55297732615144923</v>
      </c>
      <c r="O252" s="32">
        <f t="shared" si="53"/>
        <v>15.079798756104152</v>
      </c>
      <c r="P252" s="32">
        <f t="shared" si="48"/>
        <v>72.929881387254255</v>
      </c>
      <c r="Q252">
        <v>18</v>
      </c>
      <c r="R252">
        <v>85</v>
      </c>
      <c r="S252" s="1">
        <f t="shared" si="49"/>
        <v>14.371834005854058</v>
      </c>
      <c r="T252" s="1">
        <f t="shared" si="54"/>
        <v>15.079798756104152</v>
      </c>
      <c r="U252" s="1">
        <f t="shared" si="50"/>
        <v>15.451925882089562</v>
      </c>
      <c r="V252" s="1">
        <f t="shared" si="51"/>
        <v>3.3929306365020566</v>
      </c>
      <c r="W252" s="1">
        <f t="shared" si="55"/>
        <v>0.13847859789416087</v>
      </c>
      <c r="X252" s="1">
        <f t="shared" si="56"/>
        <v>-0.37212712598540953</v>
      </c>
      <c r="Y252" s="39">
        <f t="shared" si="52"/>
        <v>76.131450310165292</v>
      </c>
      <c r="AB252">
        <v>247</v>
      </c>
      <c r="AC252" s="7"/>
      <c r="AF252" s="7"/>
      <c r="AG252" s="10"/>
      <c r="AH252" s="1"/>
      <c r="AI252" s="10"/>
      <c r="AJ252" s="32"/>
      <c r="AL252" s="1"/>
    </row>
    <row r="253" spans="1:38" x14ac:dyDescent="0.3">
      <c r="A253">
        <v>79434</v>
      </c>
      <c r="B253">
        <v>3</v>
      </c>
      <c r="C253">
        <v>9</v>
      </c>
      <c r="D253">
        <v>1982</v>
      </c>
      <c r="E253">
        <v>12</v>
      </c>
      <c r="F253">
        <v>6</v>
      </c>
      <c r="G253">
        <v>1985</v>
      </c>
      <c r="H253">
        <v>74</v>
      </c>
      <c r="I253" s="32">
        <f t="shared" si="44"/>
        <v>15.204650534085253</v>
      </c>
      <c r="J253" s="1">
        <v>2.77534246575342</v>
      </c>
      <c r="K253" s="32">
        <f t="shared" si="45"/>
        <v>15.840935667617586</v>
      </c>
      <c r="L253" s="32">
        <f t="shared" si="46"/>
        <v>79.574746374017337</v>
      </c>
      <c r="M253" s="32">
        <f t="shared" si="47"/>
        <v>0.22871060641088042</v>
      </c>
      <c r="N253">
        <v>-1.7256297724088654</v>
      </c>
      <c r="O253" s="32">
        <f t="shared" si="53"/>
        <v>15.015675701405163</v>
      </c>
      <c r="P253" s="32">
        <f t="shared" si="48"/>
        <v>72.383304893847537</v>
      </c>
      <c r="Q253">
        <v>7</v>
      </c>
      <c r="R253">
        <v>81</v>
      </c>
      <c r="S253" s="1">
        <f t="shared" si="49"/>
        <v>15.205878868967202</v>
      </c>
      <c r="T253" s="1">
        <f t="shared" si="54"/>
        <v>15.015675701405163</v>
      </c>
      <c r="U253" s="1">
        <f t="shared" si="50"/>
        <v>15.89748780885947</v>
      </c>
      <c r="V253" s="1">
        <f t="shared" si="51"/>
        <v>2.5570685795590218</v>
      </c>
      <c r="W253" s="1">
        <f t="shared" si="55"/>
        <v>0.77759259285300597</v>
      </c>
      <c r="X253" s="1">
        <f t="shared" si="56"/>
        <v>-0.88181210745430683</v>
      </c>
      <c r="Y253" s="39">
        <f t="shared" si="52"/>
        <v>80.068269246704617</v>
      </c>
      <c r="AB253">
        <v>248</v>
      </c>
      <c r="AC253" s="7"/>
      <c r="AF253" s="7"/>
      <c r="AG253" s="10"/>
      <c r="AH253" s="1"/>
      <c r="AI253" s="10"/>
      <c r="AJ253" s="32"/>
      <c r="AL253" s="1"/>
    </row>
    <row r="254" spans="1:38" x14ac:dyDescent="0.3">
      <c r="A254">
        <v>79059</v>
      </c>
      <c r="B254">
        <v>2</v>
      </c>
      <c r="C254">
        <v>8</v>
      </c>
      <c r="D254">
        <v>1982</v>
      </c>
      <c r="E254">
        <v>19</v>
      </c>
      <c r="F254">
        <v>8</v>
      </c>
      <c r="G254">
        <v>1988</v>
      </c>
      <c r="H254">
        <v>74</v>
      </c>
      <c r="I254" s="32">
        <f t="shared" si="44"/>
        <v>15.204650534085253</v>
      </c>
      <c r="J254" s="1">
        <v>6.0520547945205498</v>
      </c>
      <c r="K254" s="32">
        <f t="shared" si="45"/>
        <v>16.484376969006249</v>
      </c>
      <c r="L254" s="32">
        <f t="shared" si="46"/>
        <v>85.418047983082161</v>
      </c>
      <c r="M254" s="32">
        <f t="shared" si="47"/>
        <v>0.42693951793363255</v>
      </c>
      <c r="N254">
        <v>-2.9571083359769545E-2</v>
      </c>
      <c r="O254" s="32">
        <f t="shared" si="53"/>
        <v>16.46505504306274</v>
      </c>
      <c r="P254" s="32">
        <f t="shared" si="48"/>
        <v>85.239564435834183</v>
      </c>
      <c r="Q254">
        <v>16</v>
      </c>
      <c r="R254">
        <v>90</v>
      </c>
      <c r="S254" s="1">
        <f t="shared" si="49"/>
        <v>15.205878868967202</v>
      </c>
      <c r="T254" s="1">
        <f t="shared" si="54"/>
        <v>16.46505504306274</v>
      </c>
      <c r="U254" s="1">
        <f t="shared" si="50"/>
        <v>16.604784784964135</v>
      </c>
      <c r="V254" s="1">
        <f t="shared" si="51"/>
        <v>4.8235431865432714</v>
      </c>
      <c r="W254" s="1">
        <f t="shared" si="55"/>
        <v>1.952440077183033E-2</v>
      </c>
      <c r="X254" s="1">
        <f t="shared" si="56"/>
        <v>-0.13972974190139453</v>
      </c>
      <c r="Y254" s="39">
        <f t="shared" si="52"/>
        <v>86.521472955164725</v>
      </c>
      <c r="AB254">
        <v>249</v>
      </c>
      <c r="AC254" s="7"/>
      <c r="AF254" s="7"/>
      <c r="AG254" s="10"/>
      <c r="AH254" s="1"/>
      <c r="AI254" s="10"/>
      <c r="AJ254" s="32"/>
      <c r="AL254" s="1"/>
    </row>
    <row r="255" spans="1:38" x14ac:dyDescent="0.3">
      <c r="A255">
        <v>79339</v>
      </c>
      <c r="B255">
        <v>27</v>
      </c>
      <c r="C255">
        <v>8</v>
      </c>
      <c r="D255">
        <v>1982</v>
      </c>
      <c r="E255">
        <v>27</v>
      </c>
      <c r="F255">
        <v>5</v>
      </c>
      <c r="G255">
        <v>1984</v>
      </c>
      <c r="H255">
        <v>109</v>
      </c>
      <c r="I255" s="32">
        <f t="shared" si="44"/>
        <v>18.880613017821101</v>
      </c>
      <c r="J255" s="1">
        <v>1.75068493150685</v>
      </c>
      <c r="K255" s="32">
        <f t="shared" si="45"/>
        <v>18.976751059921739</v>
      </c>
      <c r="L255" s="32">
        <f t="shared" si="46"/>
        <v>110.00602125748195</v>
      </c>
      <c r="M255" s="32">
        <f t="shared" si="47"/>
        <v>0.15174732524030279</v>
      </c>
      <c r="N255">
        <v>-0.17131128515757155</v>
      </c>
      <c r="O255" s="32">
        <f t="shared" si="53"/>
        <v>18.910017161568437</v>
      </c>
      <c r="P255" s="32">
        <f t="shared" si="48"/>
        <v>109.30720442427163</v>
      </c>
      <c r="Q255">
        <v>3</v>
      </c>
      <c r="R255">
        <v>112</v>
      </c>
      <c r="S255" s="1">
        <f t="shared" si="49"/>
        <v>18.88230736557643</v>
      </c>
      <c r="T255" s="1">
        <f t="shared" si="54"/>
        <v>18.910017161568437</v>
      </c>
      <c r="U255" s="1">
        <f t="shared" si="50"/>
        <v>19.035419345844868</v>
      </c>
      <c r="V255" s="1">
        <f t="shared" si="51"/>
        <v>1.6905969070670721</v>
      </c>
      <c r="W255" s="1">
        <f t="shared" si="55"/>
        <v>1.5725707821300131E-2</v>
      </c>
      <c r="X255" s="1">
        <f t="shared" si="56"/>
        <v>-0.12540218427643168</v>
      </c>
      <c r="Y255" s="39">
        <f t="shared" si="52"/>
        <v>110.60418388924751</v>
      </c>
      <c r="AB255">
        <v>250</v>
      </c>
      <c r="AC255" s="7"/>
      <c r="AF255" s="7"/>
      <c r="AG255" s="10"/>
      <c r="AH255" s="1"/>
      <c r="AI255" s="10"/>
      <c r="AJ255" s="32"/>
      <c r="AL255" s="1"/>
    </row>
    <row r="256" spans="1:38" x14ac:dyDescent="0.3">
      <c r="A256">
        <v>78836</v>
      </c>
      <c r="B256">
        <v>26</v>
      </c>
      <c r="C256">
        <v>7</v>
      </c>
      <c r="D256">
        <v>1982</v>
      </c>
      <c r="E256">
        <v>8</v>
      </c>
      <c r="F256">
        <v>6</v>
      </c>
      <c r="G256">
        <v>1985</v>
      </c>
      <c r="H256">
        <v>84</v>
      </c>
      <c r="I256" s="32">
        <f t="shared" si="44"/>
        <v>16.330302779823359</v>
      </c>
      <c r="J256" s="1">
        <v>2.8712328767123299</v>
      </c>
      <c r="K256" s="32">
        <f t="shared" si="45"/>
        <v>16.832843557129706</v>
      </c>
      <c r="L256" s="32">
        <f t="shared" si="46"/>
        <v>88.668999111830473</v>
      </c>
      <c r="M256" s="32">
        <f t="shared" si="47"/>
        <v>0.23550765027234111</v>
      </c>
      <c r="N256">
        <v>-1.3343969840207137</v>
      </c>
      <c r="O256" s="32">
        <f t="shared" si="53"/>
        <v>16.18527230396602</v>
      </c>
      <c r="P256" s="32">
        <f t="shared" si="48"/>
        <v>82.676032192348401</v>
      </c>
      <c r="Q256">
        <v>8</v>
      </c>
      <c r="R256">
        <v>92</v>
      </c>
      <c r="S256" s="1">
        <f t="shared" si="49"/>
        <v>16.331669512789063</v>
      </c>
      <c r="T256" s="1">
        <f t="shared" si="54"/>
        <v>16.18527230396602</v>
      </c>
      <c r="U256" s="1">
        <f t="shared" si="50"/>
        <v>16.901877988800404</v>
      </c>
      <c r="V256" s="1">
        <f t="shared" si="51"/>
        <v>2.6339169610092741</v>
      </c>
      <c r="W256" s="1">
        <f t="shared" si="55"/>
        <v>0.51352370753695686</v>
      </c>
      <c r="X256" s="1">
        <f t="shared" si="56"/>
        <v>-0.71660568483438425</v>
      </c>
      <c r="Y256" s="39">
        <f t="shared" si="52"/>
        <v>89.306654811825922</v>
      </c>
      <c r="AB256">
        <v>251</v>
      </c>
      <c r="AC256" s="7"/>
      <c r="AF256" s="7"/>
      <c r="AG256" s="10"/>
      <c r="AH256" s="1"/>
      <c r="AI256" s="10"/>
      <c r="AJ256" s="32"/>
      <c r="AL256" s="1"/>
    </row>
    <row r="257" spans="1:38" x14ac:dyDescent="0.3">
      <c r="A257">
        <v>79248</v>
      </c>
      <c r="B257">
        <v>15</v>
      </c>
      <c r="C257">
        <v>8</v>
      </c>
      <c r="D257">
        <v>1982</v>
      </c>
      <c r="E257">
        <v>7</v>
      </c>
      <c r="F257">
        <v>5</v>
      </c>
      <c r="G257">
        <v>1986</v>
      </c>
      <c r="H257">
        <v>66</v>
      </c>
      <c r="I257" s="32">
        <f t="shared" si="44"/>
        <v>14.248076809271922</v>
      </c>
      <c r="J257" s="1">
        <v>3.7287671232876698</v>
      </c>
      <c r="K257" s="32">
        <f t="shared" si="45"/>
        <v>15.249387690116446</v>
      </c>
      <c r="L257" s="32">
        <f t="shared" si="46"/>
        <v>74.385343920985193</v>
      </c>
      <c r="M257" s="32">
        <f t="shared" si="47"/>
        <v>0.29340994600946574</v>
      </c>
      <c r="N257">
        <v>-1.0973940334224608</v>
      </c>
      <c r="O257" s="32">
        <f t="shared" si="53"/>
        <v>14.654958660788024</v>
      </c>
      <c r="P257" s="32">
        <f t="shared" si="48"/>
        <v>69.346911998139518</v>
      </c>
      <c r="Q257">
        <v>13</v>
      </c>
      <c r="R257">
        <v>79</v>
      </c>
      <c r="S257" s="1">
        <f t="shared" si="49"/>
        <v>14.249190784284599</v>
      </c>
      <c r="T257" s="1">
        <f t="shared" si="54"/>
        <v>14.654958660788024</v>
      </c>
      <c r="U257" s="1">
        <f t="shared" si="50"/>
        <v>15.313562164527934</v>
      </c>
      <c r="V257" s="1">
        <f t="shared" si="51"/>
        <v>3.2908729316225904</v>
      </c>
      <c r="W257" s="1">
        <f t="shared" si="55"/>
        <v>0.43375857513848515</v>
      </c>
      <c r="X257" s="1">
        <f t="shared" si="56"/>
        <v>-0.65860350373990961</v>
      </c>
      <c r="Y257" s="39">
        <f t="shared" si="52"/>
        <v>74.929112583596222</v>
      </c>
      <c r="AB257">
        <v>252</v>
      </c>
      <c r="AC257" s="7"/>
      <c r="AF257" s="7"/>
      <c r="AG257" s="10"/>
      <c r="AH257" s="1"/>
      <c r="AI257" s="10"/>
      <c r="AJ257" s="32"/>
      <c r="AL257" s="1"/>
    </row>
    <row r="258" spans="1:38" x14ac:dyDescent="0.3">
      <c r="A258">
        <v>79037</v>
      </c>
      <c r="B258">
        <v>2</v>
      </c>
      <c r="C258">
        <v>8</v>
      </c>
      <c r="D258">
        <v>1982</v>
      </c>
      <c r="E258">
        <v>10</v>
      </c>
      <c r="F258">
        <v>6</v>
      </c>
      <c r="G258">
        <v>1985</v>
      </c>
      <c r="H258">
        <v>80</v>
      </c>
      <c r="I258" s="32">
        <f t="shared" si="44"/>
        <v>15.888543819998318</v>
      </c>
      <c r="J258" s="1">
        <v>2.8575342465753399</v>
      </c>
      <c r="K258" s="32">
        <f t="shared" si="45"/>
        <v>16.449086401281999</v>
      </c>
      <c r="L258" s="32">
        <f t="shared" si="46"/>
        <v>85.0921972604921</v>
      </c>
      <c r="M258" s="32">
        <f t="shared" si="47"/>
        <v>0.23454073286128943</v>
      </c>
      <c r="N258">
        <v>1.6691092241671868</v>
      </c>
      <c r="O258" s="32">
        <f t="shared" si="53"/>
        <v>17.257426077678634</v>
      </c>
      <c r="P258" s="32">
        <f t="shared" si="48"/>
        <v>92.712114784314267</v>
      </c>
      <c r="Q258">
        <v>3</v>
      </c>
      <c r="R258">
        <v>83</v>
      </c>
      <c r="S258" s="1">
        <f t="shared" si="49"/>
        <v>15.889855761403318</v>
      </c>
      <c r="T258" s="1">
        <f t="shared" si="54"/>
        <v>17.257426077678634</v>
      </c>
      <c r="U258" s="1">
        <f t="shared" si="50"/>
        <v>16.513669098963728</v>
      </c>
      <c r="V258" s="1">
        <f t="shared" si="51"/>
        <v>2.6229814902936228</v>
      </c>
      <c r="W258" s="1">
        <f t="shared" si="55"/>
        <v>0.55317444338712496</v>
      </c>
      <c r="X258" s="1">
        <f t="shared" si="56"/>
        <v>0.74375697871490587</v>
      </c>
      <c r="Y258" s="39">
        <f t="shared" si="52"/>
        <v>85.676124184018661</v>
      </c>
      <c r="AB258">
        <v>253</v>
      </c>
      <c r="AC258" s="7"/>
      <c r="AF258" s="7"/>
      <c r="AG258" s="10"/>
      <c r="AH258" s="1"/>
      <c r="AI258" s="10"/>
      <c r="AJ258" s="32"/>
      <c r="AL258" s="1"/>
    </row>
    <row r="259" spans="1:38" x14ac:dyDescent="0.3">
      <c r="A259">
        <v>79140</v>
      </c>
      <c r="B259">
        <v>9</v>
      </c>
      <c r="C259">
        <v>8</v>
      </c>
      <c r="D259">
        <v>1982</v>
      </c>
      <c r="E259">
        <v>14</v>
      </c>
      <c r="F259">
        <v>6</v>
      </c>
      <c r="G259">
        <v>1986</v>
      </c>
      <c r="H259">
        <v>79</v>
      </c>
      <c r="I259" s="32">
        <f t="shared" si="44"/>
        <v>15.776388834631177</v>
      </c>
      <c r="J259" s="1">
        <v>3.8493150684931501</v>
      </c>
      <c r="K259" s="32">
        <f t="shared" si="45"/>
        <v>16.53314987235531</v>
      </c>
      <c r="L259" s="32">
        <f t="shared" si="46"/>
        <v>85.869411047795907</v>
      </c>
      <c r="M259" s="32">
        <f t="shared" si="47"/>
        <v>0.30114883669153852</v>
      </c>
      <c r="N259">
        <v>-1.3336534721020143</v>
      </c>
      <c r="O259" s="32">
        <f t="shared" si="53"/>
        <v>15.801280463021271</v>
      </c>
      <c r="P259" s="32">
        <f t="shared" si="48"/>
        <v>79.221396530785697</v>
      </c>
      <c r="Q259">
        <v>10</v>
      </c>
      <c r="R259">
        <v>89</v>
      </c>
      <c r="S259" s="1">
        <f t="shared" si="49"/>
        <v>15.777686962567273</v>
      </c>
      <c r="T259" s="1">
        <f t="shared" si="54"/>
        <v>15.801280463021271</v>
      </c>
      <c r="U259" s="1">
        <f t="shared" si="50"/>
        <v>16.617703484032013</v>
      </c>
      <c r="V259" s="1">
        <f t="shared" si="51"/>
        <v>3.3790029005858044</v>
      </c>
      <c r="W259" s="1">
        <f t="shared" si="55"/>
        <v>0.66654654923630641</v>
      </c>
      <c r="X259" s="1">
        <f t="shared" si="56"/>
        <v>-0.81642302101074193</v>
      </c>
      <c r="Y259" s="39">
        <f t="shared" si="52"/>
        <v>86.64166533999736</v>
      </c>
      <c r="AB259">
        <v>254</v>
      </c>
      <c r="AC259" s="7"/>
      <c r="AF259" s="7"/>
      <c r="AG259" s="10"/>
      <c r="AH259" s="1"/>
      <c r="AI259" s="10"/>
      <c r="AJ259" s="32"/>
      <c r="AL259" s="1"/>
    </row>
    <row r="260" spans="1:38" x14ac:dyDescent="0.3">
      <c r="A260">
        <v>77017</v>
      </c>
      <c r="B260">
        <v>31</v>
      </c>
      <c r="C260">
        <v>7</v>
      </c>
      <c r="D260">
        <v>1982</v>
      </c>
      <c r="E260">
        <v>23</v>
      </c>
      <c r="F260">
        <v>8</v>
      </c>
      <c r="G260">
        <v>1988</v>
      </c>
      <c r="H260">
        <v>42</v>
      </c>
      <c r="I260" s="32">
        <f t="shared" si="44"/>
        <v>10.961481396815721</v>
      </c>
      <c r="J260" s="1">
        <v>6.0684931506849296</v>
      </c>
      <c r="K260" s="32">
        <f t="shared" si="45"/>
        <v>13.379159775799728</v>
      </c>
      <c r="L260" s="32">
        <f t="shared" si="46"/>
        <v>59.129638852394088</v>
      </c>
      <c r="M260" s="32">
        <f t="shared" si="47"/>
        <v>0.42777547661031157</v>
      </c>
      <c r="N260">
        <v>-1.3755834515905008</v>
      </c>
      <c r="O260" s="32">
        <f t="shared" si="53"/>
        <v>12.479465650908413</v>
      </c>
      <c r="P260" s="32">
        <f t="shared" si="48"/>
        <v>52.413731383959146</v>
      </c>
      <c r="Q260">
        <v>45</v>
      </c>
      <c r="R260">
        <v>87</v>
      </c>
      <c r="S260" s="1">
        <f t="shared" si="49"/>
        <v>10.96222791731145</v>
      </c>
      <c r="T260" s="1">
        <f t="shared" si="54"/>
        <v>12.479465650908413</v>
      </c>
      <c r="U260" s="1">
        <f t="shared" si="50"/>
        <v>13.428329021087347</v>
      </c>
      <c r="V260" s="1">
        <f t="shared" si="51"/>
        <v>4.8332257884133405</v>
      </c>
      <c r="W260" s="1">
        <f t="shared" si="55"/>
        <v>0.90034169526732466</v>
      </c>
      <c r="X260" s="1">
        <f t="shared" si="56"/>
        <v>-0.94886337017893396</v>
      </c>
      <c r="Y260" s="39">
        <f t="shared" si="52"/>
        <v>59.500478461174055</v>
      </c>
      <c r="AB260">
        <v>255</v>
      </c>
      <c r="AC260" s="7"/>
      <c r="AF260" s="7"/>
      <c r="AG260" s="10"/>
      <c r="AH260" s="1"/>
      <c r="AI260" s="10"/>
      <c r="AJ260" s="32"/>
      <c r="AL260" s="1"/>
    </row>
    <row r="261" spans="1:38" x14ac:dyDescent="0.3">
      <c r="A261">
        <v>77028</v>
      </c>
      <c r="B261">
        <v>31</v>
      </c>
      <c r="C261">
        <v>7</v>
      </c>
      <c r="D261">
        <v>1982</v>
      </c>
      <c r="E261">
        <v>23</v>
      </c>
      <c r="F261">
        <v>8</v>
      </c>
      <c r="G261">
        <v>1988</v>
      </c>
      <c r="H261">
        <v>49</v>
      </c>
      <c r="I261" s="32">
        <f t="shared" si="44"/>
        <v>12</v>
      </c>
      <c r="J261" s="1">
        <v>6.0684931506849296</v>
      </c>
      <c r="K261" s="32">
        <f t="shared" si="45"/>
        <v>14.13988905494514</v>
      </c>
      <c r="L261" s="32">
        <f t="shared" si="46"/>
        <v>65.124004676484489</v>
      </c>
      <c r="M261" s="32">
        <f t="shared" si="47"/>
        <v>0.42777547661031157</v>
      </c>
      <c r="N261">
        <v>1.0891881174757145</v>
      </c>
      <c r="O261" s="32">
        <f t="shared" si="53"/>
        <v>14.852267608977099</v>
      </c>
      <c r="P261" s="32">
        <f t="shared" si="48"/>
        <v>70.999730891144694</v>
      </c>
      <c r="Q261">
        <v>43</v>
      </c>
      <c r="R261">
        <v>92</v>
      </c>
      <c r="S261" s="1">
        <f t="shared" si="49"/>
        <v>12.000858058108191</v>
      </c>
      <c r="T261" s="1">
        <f t="shared" si="54"/>
        <v>14.852267608977099</v>
      </c>
      <c r="U261" s="1">
        <f t="shared" si="50"/>
        <v>14.206566220487415</v>
      </c>
      <c r="V261" s="1">
        <f t="shared" si="51"/>
        <v>4.8332257884133405</v>
      </c>
      <c r="W261" s="1">
        <f t="shared" si="55"/>
        <v>0.41693028309750563</v>
      </c>
      <c r="X261" s="1">
        <f t="shared" si="56"/>
        <v>0.64570138848968384</v>
      </c>
      <c r="Y261" s="39">
        <f t="shared" si="52"/>
        <v>65.654211318471511</v>
      </c>
      <c r="AB261">
        <v>256</v>
      </c>
      <c r="AC261" s="7"/>
      <c r="AF261" s="7"/>
      <c r="AG261" s="10"/>
      <c r="AH261" s="1"/>
      <c r="AI261" s="10"/>
      <c r="AJ261" s="32"/>
      <c r="AL261" s="1"/>
    </row>
    <row r="262" spans="1:38" x14ac:dyDescent="0.3">
      <c r="A262">
        <v>79431</v>
      </c>
      <c r="B262">
        <v>3</v>
      </c>
      <c r="C262">
        <v>9</v>
      </c>
      <c r="D262">
        <v>1982</v>
      </c>
      <c r="E262">
        <v>20</v>
      </c>
      <c r="F262">
        <v>6</v>
      </c>
      <c r="G262">
        <v>1983</v>
      </c>
      <c r="H262">
        <v>96</v>
      </c>
      <c r="I262" s="32">
        <f t="shared" si="44"/>
        <v>17.595917942265423</v>
      </c>
      <c r="J262" s="1">
        <v>0.79452054794520499</v>
      </c>
      <c r="K262" s="32">
        <f t="shared" si="45"/>
        <v>17.691923315622574</v>
      </c>
      <c r="L262" s="32">
        <f t="shared" si="46"/>
        <v>96.942960967089988</v>
      </c>
      <c r="M262" s="32">
        <f t="shared" si="47"/>
        <v>7.2252815098634751E-2</v>
      </c>
      <c r="N262">
        <v>0.84111889009363949</v>
      </c>
      <c r="O262" s="32">
        <f t="shared" si="53"/>
        <v>17.918015095568659</v>
      </c>
      <c r="P262" s="32">
        <f t="shared" si="48"/>
        <v>99.18183133682524</v>
      </c>
      <c r="Q262">
        <v>4</v>
      </c>
      <c r="R262">
        <v>100</v>
      </c>
      <c r="S262" s="1">
        <f t="shared" si="49"/>
        <v>17.597444920630032</v>
      </c>
      <c r="T262" s="1">
        <f t="shared" si="54"/>
        <v>17.918015095568659</v>
      </c>
      <c r="U262" s="1">
        <f t="shared" si="50"/>
        <v>17.716161386314905</v>
      </c>
      <c r="V262" s="1">
        <f t="shared" si="51"/>
        <v>0.80221187406106309</v>
      </c>
      <c r="W262" s="1">
        <f t="shared" si="55"/>
        <v>4.074491993949915E-2</v>
      </c>
      <c r="X262" s="1">
        <f t="shared" si="56"/>
        <v>0.20185370925375423</v>
      </c>
      <c r="Y262" s="39">
        <f t="shared" si="52"/>
        <v>97.166551937529249</v>
      </c>
      <c r="AB262">
        <v>257</v>
      </c>
      <c r="AC262" s="7"/>
      <c r="AF262" s="7"/>
      <c r="AG262" s="10"/>
      <c r="AH262" s="1"/>
      <c r="AI262" s="10"/>
      <c r="AJ262" s="32"/>
      <c r="AL262" s="1"/>
    </row>
    <row r="263" spans="1:38" x14ac:dyDescent="0.3">
      <c r="A263">
        <v>78982</v>
      </c>
      <c r="B263">
        <v>30</v>
      </c>
      <c r="C263">
        <v>7</v>
      </c>
      <c r="D263">
        <v>1982</v>
      </c>
      <c r="E263">
        <v>28</v>
      </c>
      <c r="F263">
        <v>5</v>
      </c>
      <c r="G263">
        <v>1984</v>
      </c>
      <c r="H263">
        <v>82</v>
      </c>
      <c r="I263" s="32">
        <f t="shared" si="44"/>
        <v>16.110770276274835</v>
      </c>
      <c r="J263" s="1">
        <v>1.8301369863013699</v>
      </c>
      <c r="K263" s="32">
        <f t="shared" si="45"/>
        <v>16.459254251602246</v>
      </c>
      <c r="L263" s="32">
        <f t="shared" si="46"/>
        <v>85.186016881323894</v>
      </c>
      <c r="M263" s="32">
        <f t="shared" si="47"/>
        <v>0.15800866132587904</v>
      </c>
      <c r="N263">
        <v>-1.6660396795487031</v>
      </c>
      <c r="O263" s="32">
        <f t="shared" si="53"/>
        <v>15.796998425712118</v>
      </c>
      <c r="P263" s="32">
        <f t="shared" si="48"/>
        <v>79.183288241199904</v>
      </c>
      <c r="Q263">
        <v>5</v>
      </c>
      <c r="R263">
        <v>87</v>
      </c>
      <c r="S263" s="1">
        <f t="shared" si="49"/>
        <v>16.112109704694813</v>
      </c>
      <c r="T263" s="1">
        <f t="shared" si="54"/>
        <v>15.796998425712118</v>
      </c>
      <c r="U263" s="1">
        <f t="shared" si="50"/>
        <v>16.50280533688808</v>
      </c>
      <c r="V263" s="1">
        <f t="shared" si="51"/>
        <v>1.7608448767189055</v>
      </c>
      <c r="W263" s="1">
        <f t="shared" si="55"/>
        <v>0.49816339586375258</v>
      </c>
      <c r="X263" s="1">
        <f t="shared" si="56"/>
        <v>-0.70580691117596217</v>
      </c>
      <c r="Y263" s="39">
        <f t="shared" si="52"/>
        <v>85.575609774848289</v>
      </c>
      <c r="AB263">
        <v>258</v>
      </c>
      <c r="AC263" s="7"/>
      <c r="AF263" s="7"/>
      <c r="AG263" s="10"/>
      <c r="AH263" s="1"/>
      <c r="AI263" s="10"/>
      <c r="AJ263" s="32"/>
      <c r="AL263" s="1"/>
    </row>
    <row r="264" spans="1:38" x14ac:dyDescent="0.3">
      <c r="A264">
        <v>79493</v>
      </c>
      <c r="B264">
        <v>5</v>
      </c>
      <c r="C264">
        <v>9</v>
      </c>
      <c r="D264">
        <v>1982</v>
      </c>
      <c r="E264">
        <v>29</v>
      </c>
      <c r="F264">
        <v>11</v>
      </c>
      <c r="G264">
        <v>1982</v>
      </c>
      <c r="H264">
        <v>64</v>
      </c>
      <c r="I264" s="32">
        <f t="shared" ref="I264:I327" si="57">(H264^gamma_T-1)/gamma_T</f>
        <v>14</v>
      </c>
      <c r="J264" s="1">
        <v>0.232876712328767</v>
      </c>
      <c r="K264" s="32">
        <f t="shared" ref="K264:K327" si="58">alpha_T*(1-rho_T^J264)/(1-rho_T)+I264*rho_T^J264</f>
        <v>14.071243731784744</v>
      </c>
      <c r="L264" s="32">
        <f t="shared" ref="L264:L327" si="59">(gamma_T*K264+1)^(1/gamma_T)</f>
        <v>64.571218771607604</v>
      </c>
      <c r="M264" s="32">
        <f t="shared" ref="M264:M327" si="60">sigma_eps_T^2*(1-rho_T^(2*J264))/(1-rho_T^2)</f>
        <v>2.1791002874315783E-2</v>
      </c>
      <c r="N264">
        <v>-3.1263334676623344</v>
      </c>
      <c r="O264" s="32">
        <f t="shared" si="53"/>
        <v>13.609741390320208</v>
      </c>
      <c r="P264" s="32">
        <f t="shared" ref="P264:P327" si="61">(gamma_T*O264+1)^(1/gamma_T)</f>
        <v>60.91600656816896</v>
      </c>
      <c r="Q264">
        <v>-1</v>
      </c>
      <c r="R264">
        <v>63</v>
      </c>
      <c r="S264" s="1">
        <f t="shared" ref="S264:S327" si="62">(H264^gamma-1)/gamma</f>
        <v>14.001084827483453</v>
      </c>
      <c r="T264" s="1">
        <f t="shared" si="54"/>
        <v>13.609741390320208</v>
      </c>
      <c r="U264" s="1">
        <f t="shared" ref="U264:U327" si="63">alpha*(1-rho^J264)/(1-rho)+(rho^J264)*S264</f>
        <v>14.075960353194588</v>
      </c>
      <c r="V264" s="1">
        <f t="shared" ref="V264:V327" si="64">(1-rho^(2*J264))/(1-rho^2)</f>
        <v>0.24144414647732523</v>
      </c>
      <c r="W264" s="1">
        <f t="shared" si="55"/>
        <v>0.21736012134366317</v>
      </c>
      <c r="X264" s="1">
        <f t="shared" si="56"/>
        <v>-0.46621896287438069</v>
      </c>
      <c r="Y264" s="39">
        <f t="shared" ref="Y264:Y327" si="65">(U264*gamma+1)^(1/gamma)</f>
        <v>64.600335273484689</v>
      </c>
      <c r="AB264">
        <v>259</v>
      </c>
      <c r="AC264" s="7"/>
      <c r="AF264" s="7"/>
      <c r="AG264" s="10"/>
      <c r="AH264" s="1"/>
      <c r="AI264" s="10"/>
      <c r="AJ264" s="32"/>
      <c r="AL264" s="1"/>
    </row>
    <row r="265" spans="1:38" x14ac:dyDescent="0.3">
      <c r="A265">
        <v>22561</v>
      </c>
      <c r="B265">
        <v>24</v>
      </c>
      <c r="C265">
        <v>7</v>
      </c>
      <c r="D265">
        <v>1982</v>
      </c>
      <c r="E265">
        <v>2</v>
      </c>
      <c r="F265">
        <v>5</v>
      </c>
      <c r="G265">
        <v>1984</v>
      </c>
      <c r="H265">
        <v>61</v>
      </c>
      <c r="I265" s="32">
        <f t="shared" si="57"/>
        <v>13.620499351813308</v>
      </c>
      <c r="J265" s="1">
        <v>1.77534246575342</v>
      </c>
      <c r="K265" s="32">
        <f t="shared" si="58"/>
        <v>14.175770813197451</v>
      </c>
      <c r="L265" s="32">
        <f t="shared" si="59"/>
        <v>65.413890350272638</v>
      </c>
      <c r="M265" s="32">
        <f t="shared" si="60"/>
        <v>0.15369596278213893</v>
      </c>
      <c r="N265">
        <v>1.3028306966589298</v>
      </c>
      <c r="O265" s="32">
        <f t="shared" ref="O265:O327" si="66">K265+N265*SQRT(M265)</f>
        <v>14.686533558441466</v>
      </c>
      <c r="P265" s="32">
        <f t="shared" si="61"/>
        <v>69.610100549248315</v>
      </c>
      <c r="Q265">
        <v>14</v>
      </c>
      <c r="R265">
        <v>75</v>
      </c>
      <c r="S265" s="1">
        <f t="shared" si="62"/>
        <v>13.621540010438929</v>
      </c>
      <c r="T265" s="1">
        <f t="shared" ref="T265:T327" si="67">O265</f>
        <v>14.686533558441466</v>
      </c>
      <c r="U265" s="1">
        <f t="shared" si="63"/>
        <v>14.202689967931494</v>
      </c>
      <c r="V265" s="1">
        <f t="shared" si="64"/>
        <v>1.7124548442159837</v>
      </c>
      <c r="W265" s="1">
        <f t="shared" ref="W265:W327" si="68">(T265-U265)^2</f>
        <v>0.23410462007758132</v>
      </c>
      <c r="X265" s="1">
        <f t="shared" ref="X265:X327" si="69">T265-U265</f>
        <v>0.48384359050997183</v>
      </c>
      <c r="Y265" s="39">
        <f t="shared" si="65"/>
        <v>65.622810549895632</v>
      </c>
      <c r="AB265">
        <v>260</v>
      </c>
      <c r="AC265" s="7"/>
      <c r="AF265" s="7"/>
      <c r="AG265" s="10"/>
      <c r="AH265" s="1"/>
      <c r="AI265" s="10"/>
      <c r="AJ265" s="32"/>
      <c r="AL265" s="1"/>
    </row>
    <row r="266" spans="1:38" x14ac:dyDescent="0.3">
      <c r="A266">
        <v>78795</v>
      </c>
      <c r="B266">
        <v>25</v>
      </c>
      <c r="C266">
        <v>7</v>
      </c>
      <c r="D266">
        <v>1982</v>
      </c>
      <c r="E266">
        <v>7</v>
      </c>
      <c r="F266">
        <v>5</v>
      </c>
      <c r="G266">
        <v>1983</v>
      </c>
      <c r="H266">
        <v>84</v>
      </c>
      <c r="I266" s="32">
        <f t="shared" si="57"/>
        <v>16.330302779823359</v>
      </c>
      <c r="J266" s="1">
        <v>0.783561643835616</v>
      </c>
      <c r="K266" s="32">
        <f t="shared" si="58"/>
        <v>16.474868645419495</v>
      </c>
      <c r="L266" s="32">
        <f t="shared" si="59"/>
        <v>85.330192866376095</v>
      </c>
      <c r="M266" s="32">
        <f t="shared" si="60"/>
        <v>7.1295749622163299E-2</v>
      </c>
      <c r="N266">
        <v>1.0398480299045332</v>
      </c>
      <c r="O266" s="32">
        <f t="shared" si="66"/>
        <v>16.752521212503606</v>
      </c>
      <c r="P266" s="32">
        <f t="shared" si="61"/>
        <v>87.914262956349418</v>
      </c>
      <c r="Q266">
        <v>1</v>
      </c>
      <c r="R266">
        <v>85</v>
      </c>
      <c r="S266" s="1">
        <f t="shared" si="62"/>
        <v>16.331669512789063</v>
      </c>
      <c r="T266" s="1">
        <f t="shared" si="67"/>
        <v>16.752521212503606</v>
      </c>
      <c r="U266" s="1">
        <f t="shared" si="63"/>
        <v>16.495082772549825</v>
      </c>
      <c r="V266" s="1">
        <f t="shared" si="64"/>
        <v>0.79155419263775073</v>
      </c>
      <c r="W266" s="1">
        <f t="shared" si="68"/>
        <v>6.6274550365836279E-2</v>
      </c>
      <c r="X266" s="1">
        <f t="shared" si="69"/>
        <v>0.25743843995378057</v>
      </c>
      <c r="Y266" s="39">
        <f t="shared" si="65"/>
        <v>85.5041944331076</v>
      </c>
      <c r="AB266">
        <v>261</v>
      </c>
      <c r="AC266" s="7"/>
      <c r="AF266" s="7"/>
      <c r="AG266" s="10"/>
      <c r="AH266" s="1"/>
      <c r="AI266" s="10"/>
      <c r="AJ266" s="32"/>
      <c r="AL266" s="1"/>
    </row>
    <row r="267" spans="1:38" x14ac:dyDescent="0.3">
      <c r="A267">
        <v>78991</v>
      </c>
      <c r="B267">
        <v>31</v>
      </c>
      <c r="C267">
        <v>7</v>
      </c>
      <c r="D267">
        <v>1982</v>
      </c>
      <c r="E267">
        <v>11</v>
      </c>
      <c r="F267">
        <v>6</v>
      </c>
      <c r="G267">
        <v>1986</v>
      </c>
      <c r="H267">
        <v>99</v>
      </c>
      <c r="I267" s="32">
        <f t="shared" si="57"/>
        <v>17.899748742132399</v>
      </c>
      <c r="J267" s="1">
        <v>3.8657534246575298</v>
      </c>
      <c r="K267" s="32">
        <f t="shared" si="58"/>
        <v>18.277512002631699</v>
      </c>
      <c r="L267" s="32">
        <f t="shared" si="59"/>
        <v>102.79437325421816</v>
      </c>
      <c r="M267" s="32">
        <f t="shared" si="60"/>
        <v>0.30219674433707111</v>
      </c>
      <c r="N267">
        <v>0.58363639254821464</v>
      </c>
      <c r="O267" s="32">
        <f t="shared" si="66"/>
        <v>18.598351077240785</v>
      </c>
      <c r="P267" s="32">
        <f t="shared" si="61"/>
        <v>106.07301677531666</v>
      </c>
      <c r="Q267">
        <v>24</v>
      </c>
      <c r="R267">
        <v>123</v>
      </c>
      <c r="S267" s="1">
        <f t="shared" si="62"/>
        <v>17.901314886506334</v>
      </c>
      <c r="T267" s="1">
        <f t="shared" si="67"/>
        <v>18.598351077240785</v>
      </c>
      <c r="U267" s="1">
        <f t="shared" si="63"/>
        <v>18.387938795880462</v>
      </c>
      <c r="V267" s="1">
        <f t="shared" si="64"/>
        <v>3.3909425151989971</v>
      </c>
      <c r="W267" s="1">
        <f t="shared" si="68"/>
        <v>4.4273328147255861E-2</v>
      </c>
      <c r="X267" s="1">
        <f t="shared" si="69"/>
        <v>0.21041228136032331</v>
      </c>
      <c r="Y267" s="39">
        <f t="shared" si="65"/>
        <v>103.90040261496048</v>
      </c>
      <c r="AB267">
        <v>262</v>
      </c>
      <c r="AC267" s="7"/>
      <c r="AF267" s="7"/>
      <c r="AG267" s="10"/>
      <c r="AH267" s="1"/>
      <c r="AI267" s="10"/>
      <c r="AJ267" s="32"/>
      <c r="AL267" s="1"/>
    </row>
    <row r="268" spans="1:38" x14ac:dyDescent="0.3">
      <c r="A268">
        <v>78706</v>
      </c>
      <c r="B268">
        <v>24</v>
      </c>
      <c r="C268">
        <v>7</v>
      </c>
      <c r="D268">
        <v>1982</v>
      </c>
      <c r="E268">
        <v>29</v>
      </c>
      <c r="F268">
        <v>5</v>
      </c>
      <c r="G268">
        <v>1984</v>
      </c>
      <c r="H268">
        <v>83</v>
      </c>
      <c r="I268" s="32">
        <f t="shared" si="57"/>
        <v>16.220867158288598</v>
      </c>
      <c r="J268" s="1">
        <v>1.8493150684931501</v>
      </c>
      <c r="K268" s="32">
        <f t="shared" si="58"/>
        <v>16.562868991890845</v>
      </c>
      <c r="L268" s="32">
        <f t="shared" si="59"/>
        <v>86.145026302525665</v>
      </c>
      <c r="M268" s="32">
        <f t="shared" si="60"/>
        <v>0.1595123876477787</v>
      </c>
      <c r="N268">
        <v>-0.13207454685471021</v>
      </c>
      <c r="O268" s="32">
        <f t="shared" si="66"/>
        <v>16.510119736051788</v>
      </c>
      <c r="P268" s="32">
        <f t="shared" si="61"/>
        <v>85.656133160743479</v>
      </c>
      <c r="Q268">
        <v>9</v>
      </c>
      <c r="R268">
        <v>92</v>
      </c>
      <c r="S268" s="1">
        <f t="shared" si="62"/>
        <v>16.222220261490186</v>
      </c>
      <c r="T268" s="1">
        <f t="shared" si="67"/>
        <v>16.510119736051788</v>
      </c>
      <c r="U268" s="1">
        <f t="shared" si="63"/>
        <v>16.607561424935266</v>
      </c>
      <c r="V268" s="1">
        <f t="shared" si="64"/>
        <v>1.7777218891920412</v>
      </c>
      <c r="W268" s="1">
        <f t="shared" si="68"/>
        <v>9.4948827324645487E-3</v>
      </c>
      <c r="X268" s="1">
        <f t="shared" si="69"/>
        <v>-9.744168888347815E-2</v>
      </c>
      <c r="Y268" s="39">
        <f t="shared" si="65"/>
        <v>86.547299089497344</v>
      </c>
      <c r="AB268">
        <v>263</v>
      </c>
      <c r="AC268" s="7"/>
      <c r="AF268" s="7"/>
      <c r="AG268" s="10"/>
      <c r="AH268" s="1"/>
      <c r="AI268" s="10"/>
      <c r="AJ268" s="32"/>
      <c r="AL268" s="1"/>
    </row>
    <row r="269" spans="1:38" x14ac:dyDescent="0.3">
      <c r="A269">
        <v>78716</v>
      </c>
      <c r="B269">
        <v>24</v>
      </c>
      <c r="C269">
        <v>7</v>
      </c>
      <c r="D269">
        <v>1982</v>
      </c>
      <c r="E269">
        <v>25</v>
      </c>
      <c r="F269">
        <v>5</v>
      </c>
      <c r="G269">
        <v>1984</v>
      </c>
      <c r="H269">
        <v>76</v>
      </c>
      <c r="I269" s="32">
        <f t="shared" si="57"/>
        <v>15.435595774162696</v>
      </c>
      <c r="J269" s="1">
        <v>1.83835616438356</v>
      </c>
      <c r="K269" s="32">
        <f t="shared" si="58"/>
        <v>15.846328456170621</v>
      </c>
      <c r="L269" s="32">
        <f t="shared" si="59"/>
        <v>79.622859841381313</v>
      </c>
      <c r="M269" s="32">
        <f t="shared" si="60"/>
        <v>0.15865347774023775</v>
      </c>
      <c r="N269">
        <v>-0.37392965168692172</v>
      </c>
      <c r="O269" s="32">
        <f t="shared" si="66"/>
        <v>15.697387306026787</v>
      </c>
      <c r="P269" s="32">
        <f t="shared" si="61"/>
        <v>78.299379364879513</v>
      </c>
      <c r="Q269">
        <v>8</v>
      </c>
      <c r="R269">
        <v>84</v>
      </c>
      <c r="S269" s="1">
        <f t="shared" si="62"/>
        <v>15.436852174114659</v>
      </c>
      <c r="T269" s="1">
        <f t="shared" si="67"/>
        <v>15.697387306026787</v>
      </c>
      <c r="U269" s="1">
        <f t="shared" si="63"/>
        <v>15.88576044119408</v>
      </c>
      <c r="V269" s="1">
        <f t="shared" si="64"/>
        <v>1.7680816522283369</v>
      </c>
      <c r="W269" s="1">
        <f t="shared" si="68"/>
        <v>3.5484438052755168E-2</v>
      </c>
      <c r="X269" s="1">
        <f t="shared" si="69"/>
        <v>-0.18837313516729282</v>
      </c>
      <c r="Y269" s="39">
        <f t="shared" si="65"/>
        <v>79.963379051511907</v>
      </c>
      <c r="AB269">
        <v>264</v>
      </c>
      <c r="AC269" s="7"/>
      <c r="AF269" s="7"/>
      <c r="AG269" s="10"/>
      <c r="AH269" s="1"/>
      <c r="AI269" s="10"/>
      <c r="AJ269" s="32"/>
      <c r="AL269" s="1"/>
    </row>
    <row r="270" spans="1:38" x14ac:dyDescent="0.3">
      <c r="A270">
        <v>22660</v>
      </c>
      <c r="B270">
        <v>26</v>
      </c>
      <c r="C270">
        <v>7</v>
      </c>
      <c r="D270">
        <v>1982</v>
      </c>
      <c r="E270">
        <v>8</v>
      </c>
      <c r="F270">
        <v>6</v>
      </c>
      <c r="G270">
        <v>1986</v>
      </c>
      <c r="H270">
        <v>68</v>
      </c>
      <c r="I270" s="32">
        <f t="shared" si="57"/>
        <v>14.492422502470642</v>
      </c>
      <c r="J270" s="1">
        <v>3.8712328767123299</v>
      </c>
      <c r="K270" s="32">
        <f t="shared" si="58"/>
        <v>15.484316393461333</v>
      </c>
      <c r="L270" s="32">
        <f t="shared" si="59"/>
        <v>76.425329936665193</v>
      </c>
      <c r="M270" s="32">
        <f t="shared" si="60"/>
        <v>0.3025456543707879</v>
      </c>
      <c r="N270">
        <v>0.20995230443077162</v>
      </c>
      <c r="O270" s="32">
        <f t="shared" si="66"/>
        <v>15.599798874424367</v>
      </c>
      <c r="P270" s="32">
        <f t="shared" si="61"/>
        <v>77.438230105047296</v>
      </c>
      <c r="Q270">
        <v>45</v>
      </c>
      <c r="R270">
        <v>113</v>
      </c>
      <c r="S270" s="1">
        <f t="shared" si="62"/>
        <v>14.49356539510066</v>
      </c>
      <c r="T270" s="1">
        <f t="shared" si="67"/>
        <v>15.599798874424367</v>
      </c>
      <c r="U270" s="1">
        <f t="shared" si="63"/>
        <v>15.553882945943085</v>
      </c>
      <c r="V270" s="1">
        <f t="shared" si="64"/>
        <v>3.3949182397465103</v>
      </c>
      <c r="W270" s="1">
        <f t="shared" si="68"/>
        <v>2.1082724882982044E-3</v>
      </c>
      <c r="X270" s="1">
        <f t="shared" si="69"/>
        <v>4.5915928481282009E-2</v>
      </c>
      <c r="Y270" s="39">
        <f t="shared" si="65"/>
        <v>77.023549287136333</v>
      </c>
      <c r="AB270">
        <v>265</v>
      </c>
      <c r="AC270" s="7"/>
      <c r="AF270" s="7"/>
      <c r="AG270" s="10"/>
      <c r="AH270" s="1"/>
      <c r="AI270" s="10"/>
      <c r="AJ270" s="32"/>
      <c r="AL270" s="1"/>
    </row>
    <row r="271" spans="1:38" x14ac:dyDescent="0.3">
      <c r="A271">
        <v>22887</v>
      </c>
      <c r="B271">
        <v>28</v>
      </c>
      <c r="C271">
        <v>7</v>
      </c>
      <c r="D271">
        <v>1982</v>
      </c>
      <c r="E271">
        <v>28</v>
      </c>
      <c r="F271">
        <v>4</v>
      </c>
      <c r="G271">
        <v>1985</v>
      </c>
      <c r="H271">
        <v>59</v>
      </c>
      <c r="I271" s="32">
        <f t="shared" si="57"/>
        <v>13.362291495737216</v>
      </c>
      <c r="J271" s="1">
        <v>2.75342465753425</v>
      </c>
      <c r="K271" s="32">
        <f t="shared" si="58"/>
        <v>14.236559660247307</v>
      </c>
      <c r="L271" s="32">
        <f t="shared" si="59"/>
        <v>65.906467400192554</v>
      </c>
      <c r="M271" s="32">
        <f t="shared" si="60"/>
        <v>0.22714758582528416</v>
      </c>
      <c r="N271">
        <v>1.3152657629689202</v>
      </c>
      <c r="O271" s="32">
        <f t="shared" si="66"/>
        <v>14.863415358513116</v>
      </c>
      <c r="P271" s="32">
        <f t="shared" si="61"/>
        <v>71.093694388434017</v>
      </c>
      <c r="Q271">
        <v>10</v>
      </c>
      <c r="R271">
        <v>69</v>
      </c>
      <c r="S271" s="1">
        <f t="shared" si="62"/>
        <v>13.363302398360892</v>
      </c>
      <c r="T271" s="1">
        <f t="shared" si="67"/>
        <v>14.863415358513116</v>
      </c>
      <c r="U271" s="1">
        <f t="shared" si="63"/>
        <v>14.275965473036425</v>
      </c>
      <c r="V271" s="1">
        <f t="shared" si="64"/>
        <v>2.5394045960239682</v>
      </c>
      <c r="W271" s="1">
        <f t="shared" si="68"/>
        <v>0.34509736794657681</v>
      </c>
      <c r="X271" s="1">
        <f t="shared" si="69"/>
        <v>0.58744988547669053</v>
      </c>
      <c r="Y271" s="39">
        <f t="shared" si="65"/>
        <v>66.217672120259465</v>
      </c>
      <c r="AB271">
        <v>266</v>
      </c>
      <c r="AC271" s="7"/>
      <c r="AF271" s="7"/>
      <c r="AG271" s="10"/>
      <c r="AH271" s="1"/>
      <c r="AI271" s="10"/>
      <c r="AJ271" s="32"/>
      <c r="AL271" s="1"/>
    </row>
    <row r="272" spans="1:38" x14ac:dyDescent="0.3">
      <c r="A272">
        <v>79186</v>
      </c>
      <c r="B272">
        <v>13</v>
      </c>
      <c r="C272">
        <v>8</v>
      </c>
      <c r="D272">
        <v>1982</v>
      </c>
      <c r="E272">
        <v>7</v>
      </c>
      <c r="F272">
        <v>5</v>
      </c>
      <c r="G272">
        <v>1987</v>
      </c>
      <c r="H272">
        <v>92</v>
      </c>
      <c r="I272" s="32">
        <f t="shared" si="57"/>
        <v>17.183326093250876</v>
      </c>
      <c r="J272" s="1">
        <v>4.7342465753424703</v>
      </c>
      <c r="K272" s="32">
        <f t="shared" si="58"/>
        <v>17.790598598372071</v>
      </c>
      <c r="L272" s="32">
        <f t="shared" si="59"/>
        <v>97.916948220471653</v>
      </c>
      <c r="M272" s="32">
        <f t="shared" si="60"/>
        <v>0.35512182397247721</v>
      </c>
      <c r="N272">
        <v>0.99091721494914964</v>
      </c>
      <c r="O272" s="32">
        <f t="shared" si="66"/>
        <v>18.381106964158697</v>
      </c>
      <c r="P272" s="32">
        <f t="shared" si="61"/>
        <v>103.84738027111953</v>
      </c>
      <c r="Q272">
        <v>48</v>
      </c>
      <c r="R272">
        <v>140</v>
      </c>
      <c r="S272" s="1">
        <f t="shared" si="62"/>
        <v>17.18480031092902</v>
      </c>
      <c r="T272" s="1">
        <f t="shared" si="67"/>
        <v>18.381106964158697</v>
      </c>
      <c r="U272" s="1">
        <f t="shared" si="63"/>
        <v>17.91344150824143</v>
      </c>
      <c r="V272" s="1">
        <f t="shared" si="64"/>
        <v>3.9959251348308995</v>
      </c>
      <c r="W272" s="1">
        <f t="shared" si="68"/>
        <v>0.21871097865830505</v>
      </c>
      <c r="X272" s="1">
        <f t="shared" si="69"/>
        <v>0.46766545591726683</v>
      </c>
      <c r="Y272" s="39">
        <f t="shared" si="65"/>
        <v>99.120679511121779</v>
      </c>
      <c r="AB272">
        <v>267</v>
      </c>
      <c r="AC272" s="7"/>
      <c r="AF272" s="7"/>
      <c r="AG272" s="10"/>
      <c r="AH272" s="1"/>
      <c r="AI272" s="10"/>
      <c r="AJ272" s="32"/>
      <c r="AL272" s="1"/>
    </row>
    <row r="273" spans="1:38" x14ac:dyDescent="0.3">
      <c r="A273">
        <v>22702</v>
      </c>
      <c r="B273">
        <v>27</v>
      </c>
      <c r="C273">
        <v>7</v>
      </c>
      <c r="D273">
        <v>1982</v>
      </c>
      <c r="E273">
        <v>8</v>
      </c>
      <c r="F273">
        <v>5</v>
      </c>
      <c r="G273">
        <v>1988</v>
      </c>
      <c r="H273">
        <v>84</v>
      </c>
      <c r="I273" s="32">
        <f t="shared" si="57"/>
        <v>16.330302779823359</v>
      </c>
      <c r="J273" s="1">
        <v>5.7863013698630104</v>
      </c>
      <c r="K273" s="32">
        <f t="shared" si="58"/>
        <v>17.272703848338846</v>
      </c>
      <c r="L273" s="32">
        <f t="shared" si="59"/>
        <v>92.85927840644375</v>
      </c>
      <c r="M273" s="32">
        <f t="shared" si="60"/>
        <v>0.41322738839670492</v>
      </c>
      <c r="N273">
        <v>-1.66849531524349</v>
      </c>
      <c r="O273" s="32">
        <f t="shared" si="66"/>
        <v>16.200148924776787</v>
      </c>
      <c r="P273" s="32">
        <f t="shared" si="61"/>
        <v>82.811355221013415</v>
      </c>
      <c r="Q273">
        <v>20</v>
      </c>
      <c r="R273">
        <v>104</v>
      </c>
      <c r="S273" s="1">
        <f t="shared" si="62"/>
        <v>16.331669512789063</v>
      </c>
      <c r="T273" s="1">
        <f t="shared" si="67"/>
        <v>16.200148924776787</v>
      </c>
      <c r="U273" s="1">
        <f t="shared" si="63"/>
        <v>17.406381692917382</v>
      </c>
      <c r="V273" s="1">
        <f t="shared" si="64"/>
        <v>4.6648884854284223</v>
      </c>
      <c r="W273" s="1">
        <f t="shared" si="68"/>
        <v>1.4549974909361216</v>
      </c>
      <c r="X273" s="1">
        <f t="shared" si="69"/>
        <v>-1.2062327681405947</v>
      </c>
      <c r="Y273" s="39">
        <f t="shared" si="65"/>
        <v>94.137334243024611</v>
      </c>
      <c r="AB273">
        <v>268</v>
      </c>
      <c r="AC273" s="7"/>
      <c r="AF273" s="7"/>
      <c r="AG273" s="10"/>
      <c r="AH273" s="1"/>
      <c r="AI273" s="10"/>
      <c r="AJ273" s="32"/>
      <c r="AL273" s="1"/>
    </row>
    <row r="274" spans="1:38" x14ac:dyDescent="0.3">
      <c r="A274">
        <v>22701</v>
      </c>
      <c r="B274">
        <v>27</v>
      </c>
      <c r="C274">
        <v>7</v>
      </c>
      <c r="D274">
        <v>1982</v>
      </c>
      <c r="E274">
        <v>7</v>
      </c>
      <c r="F274">
        <v>5</v>
      </c>
      <c r="G274">
        <v>1986</v>
      </c>
      <c r="H274">
        <v>73</v>
      </c>
      <c r="I274" s="32">
        <f t="shared" si="57"/>
        <v>15.088007490635061</v>
      </c>
      <c r="J274" s="1">
        <v>3.7808219178082201</v>
      </c>
      <c r="K274" s="32">
        <f t="shared" si="58"/>
        <v>15.953918611970934</v>
      </c>
      <c r="L274" s="32">
        <f t="shared" si="59"/>
        <v>80.58579838131908</v>
      </c>
      <c r="M274" s="32">
        <f t="shared" si="60"/>
        <v>0.2967634834972549</v>
      </c>
      <c r="N274">
        <v>0.70385794970206916</v>
      </c>
      <c r="O274" s="32">
        <f t="shared" si="66"/>
        <v>16.337352285380927</v>
      </c>
      <c r="P274" s="32">
        <f t="shared" si="61"/>
        <v>84.06462220954127</v>
      </c>
      <c r="Q274">
        <v>14</v>
      </c>
      <c r="R274">
        <v>87</v>
      </c>
      <c r="S274" s="1">
        <f t="shared" si="62"/>
        <v>15.089221716937686</v>
      </c>
      <c r="T274" s="1">
        <f t="shared" si="67"/>
        <v>16.337352285380927</v>
      </c>
      <c r="U274" s="1">
        <f t="shared" si="63"/>
        <v>16.028903720973471</v>
      </c>
      <c r="V274" s="1">
        <f t="shared" si="64"/>
        <v>3.3290530595729622</v>
      </c>
      <c r="W274" s="1">
        <f t="shared" si="68"/>
        <v>9.5140516885020635E-2</v>
      </c>
      <c r="X274" s="1">
        <f t="shared" si="69"/>
        <v>0.30844856440745616</v>
      </c>
      <c r="Y274" s="39">
        <f t="shared" si="65"/>
        <v>81.248361499018756</v>
      </c>
      <c r="AB274">
        <v>269</v>
      </c>
      <c r="AC274" s="7"/>
      <c r="AF274" s="7"/>
      <c r="AG274" s="10"/>
      <c r="AH274" s="1"/>
      <c r="AI274" s="10"/>
      <c r="AJ274" s="32"/>
      <c r="AL274" s="1"/>
    </row>
    <row r="275" spans="1:38" x14ac:dyDescent="0.3">
      <c r="A275">
        <v>22635</v>
      </c>
      <c r="B275">
        <v>26</v>
      </c>
      <c r="C275">
        <v>7</v>
      </c>
      <c r="D275">
        <v>1982</v>
      </c>
      <c r="E275">
        <v>6</v>
      </c>
      <c r="F275">
        <v>10</v>
      </c>
      <c r="G275">
        <v>1983</v>
      </c>
      <c r="H275">
        <v>72</v>
      </c>
      <c r="I275" s="32">
        <f t="shared" si="57"/>
        <v>14.970562748477139</v>
      </c>
      <c r="J275" s="1">
        <v>1.1972602739725999</v>
      </c>
      <c r="K275" s="32">
        <f t="shared" si="58"/>
        <v>15.270134929684888</v>
      </c>
      <c r="L275" s="32">
        <f t="shared" si="59"/>
        <v>74.564390122380502</v>
      </c>
      <c r="M275" s="32">
        <f t="shared" si="60"/>
        <v>0.10668892979149837</v>
      </c>
      <c r="N275">
        <v>-1.9637263903860003</v>
      </c>
      <c r="O275" s="32">
        <f t="shared" si="66"/>
        <v>14.628717649430589</v>
      </c>
      <c r="P275" s="32">
        <f t="shared" si="61"/>
        <v>69.128562666121113</v>
      </c>
      <c r="Q275">
        <v>8</v>
      </c>
      <c r="R275">
        <v>80</v>
      </c>
      <c r="S275" s="1">
        <f t="shared" si="62"/>
        <v>14.971762814519451</v>
      </c>
      <c r="T275" s="1">
        <f t="shared" si="67"/>
        <v>14.628717649430589</v>
      </c>
      <c r="U275" s="1">
        <f t="shared" si="63"/>
        <v>15.29430266828936</v>
      </c>
      <c r="V275" s="1">
        <f t="shared" si="64"/>
        <v>1.1862739131657567</v>
      </c>
      <c r="W275" s="1">
        <f t="shared" si="68"/>
        <v>0.44300341732923004</v>
      </c>
      <c r="X275" s="1">
        <f t="shared" si="69"/>
        <v>-0.66558501885877064</v>
      </c>
      <c r="Y275" s="39">
        <f t="shared" si="65"/>
        <v>74.762512252370882</v>
      </c>
      <c r="AB275">
        <v>270</v>
      </c>
      <c r="AC275" s="7"/>
      <c r="AF275" s="7"/>
      <c r="AG275" s="10"/>
      <c r="AH275" s="1"/>
      <c r="AI275" s="10"/>
      <c r="AJ275" s="32"/>
      <c r="AL275" s="1"/>
    </row>
    <row r="276" spans="1:38" x14ac:dyDescent="0.3">
      <c r="A276">
        <v>79387</v>
      </c>
      <c r="B276">
        <v>31</v>
      </c>
      <c r="C276">
        <v>8</v>
      </c>
      <c r="D276">
        <v>1982</v>
      </c>
      <c r="E276">
        <v>16</v>
      </c>
      <c r="F276">
        <v>6</v>
      </c>
      <c r="G276">
        <v>1984</v>
      </c>
      <c r="H276">
        <v>94</v>
      </c>
      <c r="I276" s="32">
        <f t="shared" si="57"/>
        <v>17.390719429665317</v>
      </c>
      <c r="J276" s="1">
        <v>1.79452054794521</v>
      </c>
      <c r="K276" s="32">
        <f t="shared" si="58"/>
        <v>17.620173302066732</v>
      </c>
      <c r="L276" s="32">
        <f t="shared" si="59"/>
        <v>96.237800100783048</v>
      </c>
      <c r="M276" s="32">
        <f t="shared" si="60"/>
        <v>0.15520816562651832</v>
      </c>
      <c r="N276">
        <v>-0.54728161558159627</v>
      </c>
      <c r="O276" s="32">
        <f t="shared" si="66"/>
        <v>17.404563677918183</v>
      </c>
      <c r="P276" s="32">
        <f t="shared" si="61"/>
        <v>94.134272882595411</v>
      </c>
      <c r="Q276">
        <v>2</v>
      </c>
      <c r="R276">
        <v>96</v>
      </c>
      <c r="S276" s="1">
        <f t="shared" si="62"/>
        <v>17.392220106237751</v>
      </c>
      <c r="T276" s="1">
        <f t="shared" si="67"/>
        <v>17.404563677918183</v>
      </c>
      <c r="U276" s="1">
        <f t="shared" si="63"/>
        <v>17.670907508811606</v>
      </c>
      <c r="V276" s="1">
        <f t="shared" si="64"/>
        <v>1.7294200530125663</v>
      </c>
      <c r="W276" s="1">
        <f t="shared" si="68"/>
        <v>7.0939036254984045E-2</v>
      </c>
      <c r="X276" s="1">
        <f t="shared" si="69"/>
        <v>-0.26634383089342251</v>
      </c>
      <c r="Y276" s="39">
        <f t="shared" si="65"/>
        <v>96.721039729234619</v>
      </c>
      <c r="AB276">
        <v>271</v>
      </c>
      <c r="AC276" s="7"/>
      <c r="AF276" s="7"/>
      <c r="AG276" s="10"/>
      <c r="AH276" s="1"/>
      <c r="AI276" s="10"/>
      <c r="AJ276" s="32"/>
      <c r="AL276" s="1"/>
    </row>
    <row r="277" spans="1:38" x14ac:dyDescent="0.3">
      <c r="A277">
        <v>20627</v>
      </c>
      <c r="B277">
        <v>21</v>
      </c>
      <c r="C277">
        <v>1</v>
      </c>
      <c r="D277">
        <v>1982</v>
      </c>
      <c r="E277">
        <v>7</v>
      </c>
      <c r="F277">
        <v>5</v>
      </c>
      <c r="G277">
        <v>1986</v>
      </c>
      <c r="H277">
        <v>130</v>
      </c>
      <c r="I277" s="32">
        <f t="shared" si="57"/>
        <v>20.803508501982758</v>
      </c>
      <c r="J277" s="1">
        <v>4.2931506849315104</v>
      </c>
      <c r="K277" s="32">
        <f t="shared" si="58"/>
        <v>20.644695378844652</v>
      </c>
      <c r="L277" s="32">
        <f t="shared" si="59"/>
        <v>128.19555720016709</v>
      </c>
      <c r="M277" s="32">
        <f t="shared" si="60"/>
        <v>0.32883121283114991</v>
      </c>
      <c r="N277">
        <v>-2.7730129659175873</v>
      </c>
      <c r="O277" s="32">
        <f t="shared" si="66"/>
        <v>19.054544193220362</v>
      </c>
      <c r="P277" s="32">
        <f t="shared" si="61"/>
        <v>110.82345779606732</v>
      </c>
      <c r="Q277">
        <v>7</v>
      </c>
      <c r="R277">
        <v>137</v>
      </c>
      <c r="S277" s="1">
        <f t="shared" si="62"/>
        <v>20.805461602537171</v>
      </c>
      <c r="T277" s="1">
        <f t="shared" si="67"/>
        <v>19.054544193220362</v>
      </c>
      <c r="U277" s="1">
        <f t="shared" si="63"/>
        <v>20.804226295642199</v>
      </c>
      <c r="V277" s="1">
        <f t="shared" si="64"/>
        <v>3.6949090615130227</v>
      </c>
      <c r="W277" s="1">
        <f t="shared" si="68"/>
        <v>3.0613874595352972</v>
      </c>
      <c r="X277" s="1">
        <f t="shared" si="69"/>
        <v>-1.7496821024218363</v>
      </c>
      <c r="Y277" s="39">
        <f t="shared" si="65"/>
        <v>129.98591764516908</v>
      </c>
      <c r="AB277">
        <v>272</v>
      </c>
      <c r="AC277" s="7"/>
      <c r="AF277" s="7"/>
      <c r="AG277" s="10"/>
      <c r="AH277" s="1"/>
      <c r="AI277" s="10"/>
      <c r="AJ277" s="32"/>
      <c r="AL277" s="1"/>
    </row>
    <row r="278" spans="1:38" x14ac:dyDescent="0.3">
      <c r="A278">
        <v>79299</v>
      </c>
      <c r="B278">
        <v>23</v>
      </c>
      <c r="C278">
        <v>8</v>
      </c>
      <c r="D278">
        <v>1982</v>
      </c>
      <c r="E278">
        <v>30</v>
      </c>
      <c r="F278">
        <v>5</v>
      </c>
      <c r="G278">
        <v>1985</v>
      </c>
      <c r="H278">
        <v>88</v>
      </c>
      <c r="I278" s="32">
        <f t="shared" si="57"/>
        <v>16.761663039293719</v>
      </c>
      <c r="J278" s="1">
        <v>2.7698630136986302</v>
      </c>
      <c r="K278" s="32">
        <f t="shared" si="58"/>
        <v>17.190561853969339</v>
      </c>
      <c r="L278" s="32">
        <f t="shared" si="59"/>
        <v>92.069416067755768</v>
      </c>
      <c r="M278" s="32">
        <f t="shared" si="60"/>
        <v>0.22832018067864554</v>
      </c>
      <c r="N278">
        <v>0.5801018687634496</v>
      </c>
      <c r="O278" s="32">
        <f t="shared" si="66"/>
        <v>17.46775112366646</v>
      </c>
      <c r="P278" s="32">
        <f t="shared" si="61"/>
        <v>94.748333453254176</v>
      </c>
      <c r="Q278">
        <v>8</v>
      </c>
      <c r="R278">
        <v>96</v>
      </c>
      <c r="S278" s="1">
        <f t="shared" si="62"/>
        <v>16.763083852596107</v>
      </c>
      <c r="T278" s="1">
        <f t="shared" si="67"/>
        <v>17.46775112366646</v>
      </c>
      <c r="U278" s="1">
        <f t="shared" si="63"/>
        <v>17.261209344876271</v>
      </c>
      <c r="V278" s="1">
        <f t="shared" si="64"/>
        <v>2.5526560356453825</v>
      </c>
      <c r="W278" s="1">
        <f t="shared" si="68"/>
        <v>4.2659506385815497E-2</v>
      </c>
      <c r="X278" s="1">
        <f t="shared" si="69"/>
        <v>0.20654177879018931</v>
      </c>
      <c r="Y278" s="39">
        <f t="shared" si="65"/>
        <v>92.734255571896981</v>
      </c>
      <c r="AB278">
        <v>273</v>
      </c>
      <c r="AC278" s="7"/>
      <c r="AF278" s="7"/>
      <c r="AG278" s="10"/>
      <c r="AH278" s="1"/>
      <c r="AI278" s="10"/>
      <c r="AJ278" s="32"/>
      <c r="AL278" s="1"/>
    </row>
    <row r="279" spans="1:38" x14ac:dyDescent="0.3">
      <c r="A279">
        <v>76750</v>
      </c>
      <c r="B279">
        <v>30</v>
      </c>
      <c r="C279">
        <v>7</v>
      </c>
      <c r="D279">
        <v>1982</v>
      </c>
      <c r="E279">
        <v>23</v>
      </c>
      <c r="F279">
        <v>8</v>
      </c>
      <c r="G279">
        <v>1988</v>
      </c>
      <c r="H279">
        <v>72</v>
      </c>
      <c r="I279" s="32">
        <f t="shared" si="57"/>
        <v>14.970562748477139</v>
      </c>
      <c r="J279" s="1">
        <v>6.0712328767123296</v>
      </c>
      <c r="K279" s="32">
        <f t="shared" si="58"/>
        <v>16.316385157558631</v>
      </c>
      <c r="L279" s="32">
        <f t="shared" si="59"/>
        <v>83.872491310008527</v>
      </c>
      <c r="M279" s="32">
        <f t="shared" si="60"/>
        <v>0.42791466605137746</v>
      </c>
      <c r="N279">
        <v>-0.34130835047108121</v>
      </c>
      <c r="O279" s="32">
        <f t="shared" si="66"/>
        <v>16.09311766262698</v>
      </c>
      <c r="P279" s="32">
        <f t="shared" si="61"/>
        <v>81.840226688416095</v>
      </c>
      <c r="Q279">
        <v>13</v>
      </c>
      <c r="R279">
        <v>85</v>
      </c>
      <c r="S279" s="1">
        <f t="shared" si="62"/>
        <v>14.971762814519451</v>
      </c>
      <c r="T279" s="1">
        <f t="shared" si="67"/>
        <v>16.09311766262698</v>
      </c>
      <c r="U279" s="1">
        <f t="shared" si="63"/>
        <v>16.433210120631195</v>
      </c>
      <c r="V279" s="1">
        <f t="shared" si="64"/>
        <v>4.8348380839245921</v>
      </c>
      <c r="W279" s="1">
        <f t="shared" si="68"/>
        <v>0.11566287999134833</v>
      </c>
      <c r="X279" s="1">
        <f t="shared" si="69"/>
        <v>-0.34009245800421439</v>
      </c>
      <c r="Y279" s="39">
        <f t="shared" si="65"/>
        <v>84.933095829382125</v>
      </c>
      <c r="AB279">
        <v>274</v>
      </c>
      <c r="AC279" s="7"/>
      <c r="AF279" s="7"/>
      <c r="AG279" s="10"/>
      <c r="AH279" s="1"/>
      <c r="AI279" s="10"/>
      <c r="AJ279" s="32"/>
      <c r="AL279" s="1"/>
    </row>
    <row r="280" spans="1:38" x14ac:dyDescent="0.3">
      <c r="A280">
        <v>79412</v>
      </c>
      <c r="B280">
        <v>2</v>
      </c>
      <c r="C280">
        <v>9</v>
      </c>
      <c r="D280">
        <v>1982</v>
      </c>
      <c r="E280">
        <v>10</v>
      </c>
      <c r="F280">
        <v>7</v>
      </c>
      <c r="G280">
        <v>1984</v>
      </c>
      <c r="H280">
        <v>80</v>
      </c>
      <c r="I280" s="32">
        <f t="shared" si="57"/>
        <v>15.888543819998318</v>
      </c>
      <c r="J280" s="1">
        <v>1.8547945205479499</v>
      </c>
      <c r="K280" s="32">
        <f t="shared" si="58"/>
        <v>16.261670902993153</v>
      </c>
      <c r="L280" s="32">
        <f t="shared" si="59"/>
        <v>83.372156042306685</v>
      </c>
      <c r="M280" s="32">
        <f t="shared" si="60"/>
        <v>0.15994148063048946</v>
      </c>
      <c r="N280">
        <v>2.9417606128845364E-2</v>
      </c>
      <c r="O280" s="32">
        <f t="shared" si="66"/>
        <v>16.273435793373192</v>
      </c>
      <c r="P280" s="32">
        <f t="shared" si="61"/>
        <v>83.479613923633138</v>
      </c>
      <c r="Q280">
        <v>4</v>
      </c>
      <c r="R280">
        <v>84</v>
      </c>
      <c r="S280" s="1">
        <f t="shared" si="62"/>
        <v>15.889855761403318</v>
      </c>
      <c r="T280" s="1">
        <f t="shared" si="67"/>
        <v>16.273435793373192</v>
      </c>
      <c r="U280" s="1">
        <f t="shared" si="63"/>
        <v>16.304353130210448</v>
      </c>
      <c r="V280" s="1">
        <f t="shared" si="64"/>
        <v>1.7825382404566446</v>
      </c>
      <c r="W280" s="1">
        <f t="shared" si="68"/>
        <v>9.558817171083162E-4</v>
      </c>
      <c r="X280" s="1">
        <f t="shared" si="69"/>
        <v>-3.0917336837255505E-2</v>
      </c>
      <c r="Y280" s="39">
        <f t="shared" si="65"/>
        <v>83.749858926860682</v>
      </c>
      <c r="AB280">
        <v>275</v>
      </c>
      <c r="AC280" s="7"/>
      <c r="AF280" s="7"/>
      <c r="AG280" s="10"/>
      <c r="AH280" s="1"/>
      <c r="AI280" s="10"/>
      <c r="AJ280" s="32"/>
      <c r="AL280" s="1"/>
    </row>
    <row r="281" spans="1:38" x14ac:dyDescent="0.3">
      <c r="A281">
        <v>20575</v>
      </c>
      <c r="B281">
        <v>18</v>
      </c>
      <c r="C281">
        <v>1</v>
      </c>
      <c r="D281">
        <v>1982</v>
      </c>
      <c r="E281">
        <v>5</v>
      </c>
      <c r="F281">
        <v>5</v>
      </c>
      <c r="G281">
        <v>1983</v>
      </c>
      <c r="H281">
        <v>118</v>
      </c>
      <c r="I281" s="32">
        <f t="shared" si="57"/>
        <v>19.725560982400431</v>
      </c>
      <c r="J281" s="1">
        <v>1.29315068493151</v>
      </c>
      <c r="K281" s="32">
        <f t="shared" si="58"/>
        <v>19.743173921258354</v>
      </c>
      <c r="L281" s="32">
        <f t="shared" si="59"/>
        <v>118.19140304252234</v>
      </c>
      <c r="M281" s="32">
        <f t="shared" si="60"/>
        <v>0.11468042486426373</v>
      </c>
      <c r="N281">
        <v>1.2022792361676693</v>
      </c>
      <c r="O281" s="32">
        <f t="shared" si="66"/>
        <v>20.150319753378572</v>
      </c>
      <c r="P281" s="32">
        <f t="shared" si="61"/>
        <v>122.65916629422824</v>
      </c>
      <c r="Q281">
        <v>19</v>
      </c>
      <c r="R281">
        <v>137</v>
      </c>
      <c r="S281" s="1">
        <f t="shared" si="62"/>
        <v>19.727367853578269</v>
      </c>
      <c r="T281" s="1">
        <f t="shared" si="67"/>
        <v>20.150319753378572</v>
      </c>
      <c r="U281" s="1">
        <f t="shared" si="63"/>
        <v>19.791278228879783</v>
      </c>
      <c r="V281" s="1">
        <f t="shared" si="64"/>
        <v>1.275568984726704</v>
      </c>
      <c r="W281" s="1">
        <f t="shared" si="68"/>
        <v>0.12891081631441434</v>
      </c>
      <c r="X281" s="1">
        <f t="shared" si="69"/>
        <v>0.35904152449878879</v>
      </c>
      <c r="Y281" s="39">
        <f t="shared" si="65"/>
        <v>118.69517196877571</v>
      </c>
      <c r="AB281">
        <v>276</v>
      </c>
      <c r="AC281" s="7"/>
      <c r="AF281" s="7"/>
      <c r="AG281" s="10"/>
      <c r="AH281" s="1"/>
      <c r="AI281" s="10"/>
      <c r="AJ281" s="32"/>
      <c r="AL281" s="1"/>
    </row>
    <row r="282" spans="1:38" x14ac:dyDescent="0.3">
      <c r="A282">
        <v>79619</v>
      </c>
      <c r="B282">
        <v>6</v>
      </c>
      <c r="C282">
        <v>9</v>
      </c>
      <c r="D282">
        <v>1982</v>
      </c>
      <c r="E282">
        <v>7</v>
      </c>
      <c r="F282">
        <v>5</v>
      </c>
      <c r="G282">
        <v>1986</v>
      </c>
      <c r="H282">
        <v>75</v>
      </c>
      <c r="I282" s="32">
        <f t="shared" si="57"/>
        <v>15.320508075688775</v>
      </c>
      <c r="J282" s="1">
        <v>3.6684931506849301</v>
      </c>
      <c r="K282" s="32">
        <f t="shared" si="58"/>
        <v>16.123159794902644</v>
      </c>
      <c r="L282" s="32">
        <f t="shared" si="59"/>
        <v>82.112230237893911</v>
      </c>
      <c r="M282" s="32">
        <f t="shared" si="60"/>
        <v>0.28950446346431746</v>
      </c>
      <c r="N282">
        <v>0.30712158149981406</v>
      </c>
      <c r="O282" s="32">
        <f t="shared" si="66"/>
        <v>16.28840846287325</v>
      </c>
      <c r="P282" s="32">
        <f t="shared" si="61"/>
        <v>83.616471026223479</v>
      </c>
      <c r="Q282">
        <v>32</v>
      </c>
      <c r="R282">
        <v>107</v>
      </c>
      <c r="S282" s="1">
        <f t="shared" si="62"/>
        <v>15.321750468212322</v>
      </c>
      <c r="T282" s="1">
        <f t="shared" si="67"/>
        <v>16.28840846287325</v>
      </c>
      <c r="U282" s="1">
        <f t="shared" si="63"/>
        <v>16.19865200239493</v>
      </c>
      <c r="V282" s="1">
        <f t="shared" si="64"/>
        <v>3.2464275295755369</v>
      </c>
      <c r="W282" s="1">
        <f t="shared" si="68"/>
        <v>8.0562221975961964E-3</v>
      </c>
      <c r="X282" s="1">
        <f t="shared" si="69"/>
        <v>8.9756460478319866E-2</v>
      </c>
      <c r="Y282" s="39">
        <f t="shared" si="65"/>
        <v>82.785448466892518</v>
      </c>
      <c r="AB282">
        <v>277</v>
      </c>
      <c r="AC282" s="7"/>
      <c r="AF282" s="7"/>
      <c r="AG282" s="10"/>
      <c r="AH282" s="1"/>
      <c r="AI282" s="10"/>
      <c r="AJ282" s="32"/>
      <c r="AL282" s="1"/>
    </row>
    <row r="283" spans="1:38" x14ac:dyDescent="0.3">
      <c r="A283">
        <v>79394</v>
      </c>
      <c r="B283">
        <v>31</v>
      </c>
      <c r="C283">
        <v>8</v>
      </c>
      <c r="D283">
        <v>1982</v>
      </c>
      <c r="E283">
        <v>28</v>
      </c>
      <c r="F283">
        <v>5</v>
      </c>
      <c r="G283">
        <v>1985</v>
      </c>
      <c r="H283">
        <v>78</v>
      </c>
      <c r="I283" s="32">
        <f t="shared" si="57"/>
        <v>15.663521732655695</v>
      </c>
      <c r="J283" s="1">
        <v>2.7424657534246601</v>
      </c>
      <c r="K283" s="32">
        <f t="shared" si="58"/>
        <v>16.23257231719489</v>
      </c>
      <c r="L283" s="32">
        <f t="shared" si="59"/>
        <v>83.106673325435366</v>
      </c>
      <c r="M283" s="32">
        <f t="shared" si="60"/>
        <v>0.22636475664061292</v>
      </c>
      <c r="N283">
        <v>-1.8781065591610968E-2</v>
      </c>
      <c r="O283" s="32">
        <f t="shared" si="66"/>
        <v>16.223636698356209</v>
      </c>
      <c r="P283" s="32">
        <f t="shared" si="61"/>
        <v>83.025233628418803</v>
      </c>
      <c r="Q283">
        <v>24</v>
      </c>
      <c r="R283">
        <v>102</v>
      </c>
      <c r="S283" s="1">
        <f t="shared" si="62"/>
        <v>15.664805999633327</v>
      </c>
      <c r="T283" s="1">
        <f t="shared" si="67"/>
        <v>16.223636698356209</v>
      </c>
      <c r="U283" s="1">
        <f t="shared" si="63"/>
        <v>16.292624092965163</v>
      </c>
      <c r="V283" s="1">
        <f t="shared" si="64"/>
        <v>2.5305587843742301</v>
      </c>
      <c r="W283" s="1">
        <f t="shared" si="68"/>
        <v>4.759260614931456E-3</v>
      </c>
      <c r="X283" s="1">
        <f t="shared" si="69"/>
        <v>-6.8987394608953423E-2</v>
      </c>
      <c r="Y283" s="39">
        <f t="shared" si="65"/>
        <v>83.642568460325705</v>
      </c>
      <c r="AB283">
        <v>278</v>
      </c>
      <c r="AC283" s="7"/>
      <c r="AF283" s="7"/>
      <c r="AG283" s="10"/>
      <c r="AH283" s="1"/>
      <c r="AI283" s="10"/>
      <c r="AJ283" s="32"/>
      <c r="AL283" s="1"/>
    </row>
    <row r="284" spans="1:38" x14ac:dyDescent="0.3">
      <c r="A284">
        <v>79383</v>
      </c>
      <c r="B284">
        <v>30</v>
      </c>
      <c r="C284">
        <v>8</v>
      </c>
      <c r="D284">
        <v>1982</v>
      </c>
      <c r="E284">
        <v>24</v>
      </c>
      <c r="F284">
        <v>8</v>
      </c>
      <c r="G284">
        <v>1987</v>
      </c>
      <c r="H284">
        <v>82</v>
      </c>
      <c r="I284" s="32">
        <f t="shared" si="57"/>
        <v>16.110770276274835</v>
      </c>
      <c r="J284" s="1">
        <v>4.9863013698630096</v>
      </c>
      <c r="K284" s="32">
        <f t="shared" si="58"/>
        <v>16.988472878353154</v>
      </c>
      <c r="L284" s="32">
        <f t="shared" si="59"/>
        <v>90.14052556298833</v>
      </c>
      <c r="M284" s="32">
        <f t="shared" si="60"/>
        <v>0.36961944628324417</v>
      </c>
      <c r="N284">
        <v>-0.82102133092121221</v>
      </c>
      <c r="O284" s="32">
        <f t="shared" si="66"/>
        <v>16.489321991927795</v>
      </c>
      <c r="P284" s="32">
        <f t="shared" si="61"/>
        <v>85.463756930296199</v>
      </c>
      <c r="Q284">
        <v>8</v>
      </c>
      <c r="R284">
        <v>90</v>
      </c>
      <c r="S284" s="1">
        <f t="shared" si="62"/>
        <v>16.112109704694813</v>
      </c>
      <c r="T284" s="1">
        <f t="shared" si="67"/>
        <v>16.489321991927795</v>
      </c>
      <c r="U284" s="1">
        <f t="shared" si="63"/>
        <v>17.101613072830933</v>
      </c>
      <c r="V284" s="1">
        <f t="shared" si="64"/>
        <v>4.1623478774118166</v>
      </c>
      <c r="W284" s="1">
        <f t="shared" si="68"/>
        <v>0.37490036775353242</v>
      </c>
      <c r="X284" s="1">
        <f t="shared" si="69"/>
        <v>-0.61229108090313744</v>
      </c>
      <c r="Y284" s="39">
        <f t="shared" si="65"/>
        <v>91.203927074534093</v>
      </c>
      <c r="AB284">
        <v>279</v>
      </c>
      <c r="AC284" s="7"/>
      <c r="AF284" s="7"/>
      <c r="AG284" s="10"/>
      <c r="AH284" s="1"/>
      <c r="AI284" s="10"/>
      <c r="AJ284" s="32"/>
      <c r="AL284" s="1"/>
    </row>
    <row r="285" spans="1:38" x14ac:dyDescent="0.3">
      <c r="A285">
        <v>79190</v>
      </c>
      <c r="B285">
        <v>13</v>
      </c>
      <c r="C285">
        <v>8</v>
      </c>
      <c r="D285">
        <v>1982</v>
      </c>
      <c r="E285">
        <v>20</v>
      </c>
      <c r="F285">
        <v>6</v>
      </c>
      <c r="G285">
        <v>1987</v>
      </c>
      <c r="H285">
        <v>101</v>
      </c>
      <c r="I285" s="32">
        <f t="shared" si="57"/>
        <v>18.09975124224178</v>
      </c>
      <c r="J285" s="1">
        <v>4.8547945205479497</v>
      </c>
      <c r="K285" s="32">
        <f t="shared" si="58"/>
        <v>18.518631388151718</v>
      </c>
      <c r="L285" s="32">
        <f t="shared" si="59"/>
        <v>105.25355851071123</v>
      </c>
      <c r="M285" s="32">
        <f t="shared" si="60"/>
        <v>0.36210224788602835</v>
      </c>
      <c r="N285">
        <v>1.2423220141499769</v>
      </c>
      <c r="O285" s="32">
        <f t="shared" si="66"/>
        <v>19.266197819274534</v>
      </c>
      <c r="P285" s="32">
        <f t="shared" si="61"/>
        <v>113.06279242212923</v>
      </c>
      <c r="Q285">
        <v>5</v>
      </c>
      <c r="R285">
        <v>106</v>
      </c>
      <c r="S285" s="1">
        <f t="shared" si="62"/>
        <v>18.101343311190931</v>
      </c>
      <c r="T285" s="1">
        <f t="shared" si="67"/>
        <v>19.266197819274534</v>
      </c>
      <c r="U285" s="1">
        <f t="shared" si="63"/>
        <v>18.657505230311418</v>
      </c>
      <c r="V285" s="1">
        <f t="shared" si="64"/>
        <v>4.076016531304143</v>
      </c>
      <c r="W285" s="1">
        <f t="shared" si="68"/>
        <v>0.37050666785862096</v>
      </c>
      <c r="X285" s="1">
        <f t="shared" si="69"/>
        <v>0.60869258896311607</v>
      </c>
      <c r="Y285" s="39">
        <f t="shared" si="65"/>
        <v>106.66593663835597</v>
      </c>
      <c r="AB285">
        <v>280</v>
      </c>
      <c r="AC285" s="7"/>
      <c r="AF285" s="7"/>
      <c r="AG285" s="10"/>
      <c r="AH285" s="1"/>
      <c r="AI285" s="10"/>
      <c r="AJ285" s="32"/>
      <c r="AL285" s="1"/>
    </row>
    <row r="286" spans="1:38" x14ac:dyDescent="0.3">
      <c r="A286">
        <v>20603</v>
      </c>
      <c r="B286">
        <v>19</v>
      </c>
      <c r="C286">
        <v>1</v>
      </c>
      <c r="D286">
        <v>1982</v>
      </c>
      <c r="E286">
        <v>12</v>
      </c>
      <c r="F286">
        <v>6</v>
      </c>
      <c r="G286">
        <v>1985</v>
      </c>
      <c r="H286">
        <v>77</v>
      </c>
      <c r="I286" s="32">
        <f t="shared" si="57"/>
        <v>15.549928774784245</v>
      </c>
      <c r="J286" s="1">
        <v>3.3972602739725999</v>
      </c>
      <c r="K286" s="32">
        <f t="shared" si="58"/>
        <v>16.261578623885686</v>
      </c>
      <c r="L286" s="32">
        <f t="shared" si="59"/>
        <v>83.371313459089663</v>
      </c>
      <c r="M286" s="32">
        <f t="shared" si="60"/>
        <v>0.27162784750228869</v>
      </c>
      <c r="N286">
        <v>-0.23095935830497183</v>
      </c>
      <c r="O286" s="32">
        <f t="shared" si="66"/>
        <v>16.14120739057401</v>
      </c>
      <c r="P286" s="32">
        <f t="shared" si="61"/>
        <v>82.275851396954266</v>
      </c>
      <c r="Q286">
        <v>22</v>
      </c>
      <c r="R286">
        <v>99</v>
      </c>
      <c r="S286" s="1">
        <f t="shared" si="62"/>
        <v>15.551199132657898</v>
      </c>
      <c r="T286" s="1">
        <f t="shared" si="67"/>
        <v>16.14120739057401</v>
      </c>
      <c r="U286" s="1">
        <f t="shared" si="63"/>
        <v>16.334139727598949</v>
      </c>
      <c r="V286" s="1">
        <f t="shared" si="64"/>
        <v>3.0432394116864701</v>
      </c>
      <c r="W286" s="1">
        <f t="shared" si="68"/>
        <v>3.7222886669904455E-2</v>
      </c>
      <c r="X286" s="1">
        <f t="shared" si="69"/>
        <v>-0.19293233702493851</v>
      </c>
      <c r="Y286" s="39">
        <f t="shared" si="65"/>
        <v>84.022638594554877</v>
      </c>
      <c r="AB286">
        <v>281</v>
      </c>
      <c r="AC286" s="7"/>
      <c r="AF286" s="7"/>
      <c r="AG286" s="10"/>
      <c r="AH286" s="1"/>
      <c r="AI286" s="10"/>
      <c r="AJ286" s="32"/>
      <c r="AL286" s="1"/>
    </row>
    <row r="287" spans="1:38" x14ac:dyDescent="0.3">
      <c r="A287">
        <v>79526</v>
      </c>
      <c r="B287">
        <v>5</v>
      </c>
      <c r="C287">
        <v>9</v>
      </c>
      <c r="D287">
        <v>1982</v>
      </c>
      <c r="E287">
        <v>15</v>
      </c>
      <c r="F287">
        <v>6</v>
      </c>
      <c r="G287">
        <v>1985</v>
      </c>
      <c r="H287">
        <v>81</v>
      </c>
      <c r="I287" s="32">
        <f t="shared" si="57"/>
        <v>16</v>
      </c>
      <c r="J287" s="1">
        <v>2.7780821917808201</v>
      </c>
      <c r="K287" s="32">
        <f t="shared" si="58"/>
        <v>16.531239333884479</v>
      </c>
      <c r="L287" s="32">
        <f t="shared" si="59"/>
        <v>85.85170781242681</v>
      </c>
      <c r="M287" s="32">
        <f t="shared" si="60"/>
        <v>0.22890573699287478</v>
      </c>
      <c r="N287">
        <v>-0.11095835361629725</v>
      </c>
      <c r="O287" s="32">
        <f t="shared" si="66"/>
        <v>16.478152314424332</v>
      </c>
      <c r="P287" s="32">
        <f t="shared" si="61"/>
        <v>85.360528238766321</v>
      </c>
      <c r="Q287">
        <v>11</v>
      </c>
      <c r="R287">
        <v>92</v>
      </c>
      <c r="S287" s="1">
        <f t="shared" si="62"/>
        <v>16.001325708024599</v>
      </c>
      <c r="T287" s="1">
        <f t="shared" si="67"/>
        <v>16.478152314424332</v>
      </c>
      <c r="U287" s="1">
        <f t="shared" si="63"/>
        <v>16.595118675931158</v>
      </c>
      <c r="V287" s="1">
        <f t="shared" si="64"/>
        <v>2.5592739891978411</v>
      </c>
      <c r="W287" s="1">
        <f t="shared" si="68"/>
        <v>1.3681129724145492E-2</v>
      </c>
      <c r="X287" s="1">
        <f t="shared" si="69"/>
        <v>-0.11696636150682593</v>
      </c>
      <c r="Y287" s="39">
        <f t="shared" si="65"/>
        <v>86.431596424563693</v>
      </c>
      <c r="AB287">
        <v>282</v>
      </c>
      <c r="AC287" s="7"/>
      <c r="AF287" s="7"/>
      <c r="AG287" s="10"/>
      <c r="AH287" s="1"/>
      <c r="AI287" s="10"/>
      <c r="AJ287" s="32"/>
      <c r="AL287" s="1"/>
    </row>
    <row r="288" spans="1:38" x14ac:dyDescent="0.3">
      <c r="A288">
        <v>78702</v>
      </c>
      <c r="B288">
        <v>24</v>
      </c>
      <c r="C288">
        <v>7</v>
      </c>
      <c r="D288">
        <v>1982</v>
      </c>
      <c r="E288">
        <v>11</v>
      </c>
      <c r="F288">
        <v>5</v>
      </c>
      <c r="G288">
        <v>1988</v>
      </c>
      <c r="H288">
        <v>74</v>
      </c>
      <c r="I288" s="32">
        <f t="shared" si="57"/>
        <v>15.204650534085253</v>
      </c>
      <c r="J288" s="1">
        <v>5.8027397260273998</v>
      </c>
      <c r="K288" s="32">
        <f t="shared" si="58"/>
        <v>16.439129811469069</v>
      </c>
      <c r="L288" s="32">
        <f t="shared" si="59"/>
        <v>85.000377051051842</v>
      </c>
      <c r="M288" s="32">
        <f t="shared" si="60"/>
        <v>0.41408645110372638</v>
      </c>
      <c r="N288">
        <v>-1.6051399143179879</v>
      </c>
      <c r="O288" s="32">
        <f t="shared" si="66"/>
        <v>15.406229508984975</v>
      </c>
      <c r="P288" s="32">
        <f t="shared" si="61"/>
        <v>75.744206429864832</v>
      </c>
      <c r="Q288">
        <v>12</v>
      </c>
      <c r="R288">
        <v>86</v>
      </c>
      <c r="S288" s="1">
        <f t="shared" si="62"/>
        <v>15.205878868967202</v>
      </c>
      <c r="T288" s="1">
        <f t="shared" si="67"/>
        <v>15.406229508984975</v>
      </c>
      <c r="U288" s="1">
        <f t="shared" si="63"/>
        <v>16.554757302278929</v>
      </c>
      <c r="V288" s="1">
        <f t="shared" si="64"/>
        <v>4.6748189763228822</v>
      </c>
      <c r="W288" s="1">
        <f t="shared" si="68"/>
        <v>1.3191160919686808</v>
      </c>
      <c r="X288" s="1">
        <f t="shared" si="69"/>
        <v>-1.1485277932939546</v>
      </c>
      <c r="Y288" s="39">
        <f t="shared" si="65"/>
        <v>86.056816632377107</v>
      </c>
      <c r="AB288">
        <v>283</v>
      </c>
      <c r="AC288" s="7"/>
      <c r="AF288" s="7"/>
      <c r="AG288" s="10"/>
      <c r="AH288" s="1"/>
      <c r="AI288" s="10"/>
      <c r="AJ288" s="32"/>
      <c r="AL288" s="1"/>
    </row>
    <row r="289" spans="1:38" x14ac:dyDescent="0.3">
      <c r="A289">
        <v>22667</v>
      </c>
      <c r="B289">
        <v>26</v>
      </c>
      <c r="C289">
        <v>7</v>
      </c>
      <c r="D289">
        <v>1982</v>
      </c>
      <c r="E289">
        <v>16</v>
      </c>
      <c r="F289">
        <v>6</v>
      </c>
      <c r="G289">
        <v>1986</v>
      </c>
      <c r="H289">
        <v>57</v>
      </c>
      <c r="I289" s="32">
        <f t="shared" si="57"/>
        <v>13.0996688705415</v>
      </c>
      <c r="J289" s="1">
        <v>3.8931506849315101</v>
      </c>
      <c r="K289" s="32">
        <f t="shared" si="58"/>
        <v>14.348749342056729</v>
      </c>
      <c r="L289" s="32">
        <f t="shared" si="59"/>
        <v>66.820401262350074</v>
      </c>
      <c r="M289" s="32">
        <f t="shared" si="60"/>
        <v>0.30393933487120284</v>
      </c>
      <c r="N289">
        <v>1.8893842934630811</v>
      </c>
      <c r="O289" s="32">
        <f t="shared" si="66"/>
        <v>15.390380002996444</v>
      </c>
      <c r="P289" s="32">
        <f t="shared" si="61"/>
        <v>75.606329162154651</v>
      </c>
      <c r="Q289">
        <v>14</v>
      </c>
      <c r="R289">
        <v>71</v>
      </c>
      <c r="S289" s="1">
        <f t="shared" si="62"/>
        <v>13.100649759066076</v>
      </c>
      <c r="T289" s="1">
        <f t="shared" si="67"/>
        <v>15.390380002996444</v>
      </c>
      <c r="U289" s="1">
        <f t="shared" si="63"/>
        <v>14.401879353154952</v>
      </c>
      <c r="V289" s="1">
        <f t="shared" si="64"/>
        <v>3.4108004317841965</v>
      </c>
      <c r="W289" s="1">
        <f t="shared" si="68"/>
        <v>0.97713353473705356</v>
      </c>
      <c r="X289" s="1">
        <f t="shared" si="69"/>
        <v>0.98850064984149277</v>
      </c>
      <c r="Y289" s="39">
        <f t="shared" si="65"/>
        <v>67.24612827901538</v>
      </c>
      <c r="AB289">
        <v>284</v>
      </c>
      <c r="AC289" s="7"/>
      <c r="AF289" s="7"/>
      <c r="AG289" s="10"/>
      <c r="AH289" s="1"/>
      <c r="AI289" s="10"/>
      <c r="AJ289" s="32"/>
      <c r="AL289" s="1"/>
    </row>
    <row r="290" spans="1:38" x14ac:dyDescent="0.3">
      <c r="A290">
        <v>22742</v>
      </c>
      <c r="B290">
        <v>28</v>
      </c>
      <c r="C290">
        <v>7</v>
      </c>
      <c r="D290">
        <v>1982</v>
      </c>
      <c r="E290">
        <v>10</v>
      </c>
      <c r="F290">
        <v>5</v>
      </c>
      <c r="G290">
        <v>1984</v>
      </c>
      <c r="H290">
        <v>56</v>
      </c>
      <c r="I290" s="32">
        <f t="shared" si="57"/>
        <v>12.966629547095765</v>
      </c>
      <c r="J290" s="1">
        <v>1.7863013698630099</v>
      </c>
      <c r="K290" s="32">
        <f t="shared" si="58"/>
        <v>13.58242226004122</v>
      </c>
      <c r="L290" s="32">
        <f t="shared" si="59"/>
        <v>60.702970872557032</v>
      </c>
      <c r="M290" s="32">
        <f t="shared" si="60"/>
        <v>0.15456044297764038</v>
      </c>
      <c r="N290">
        <v>0.81866573964362033</v>
      </c>
      <c r="O290" s="32">
        <f t="shared" si="66"/>
        <v>13.90427394927846</v>
      </c>
      <c r="P290" s="32">
        <f t="shared" si="61"/>
        <v>63.236482463424366</v>
      </c>
      <c r="Q290">
        <v>4</v>
      </c>
      <c r="R290">
        <v>60</v>
      </c>
      <c r="S290" s="1">
        <f t="shared" si="62"/>
        <v>12.967595328934028</v>
      </c>
      <c r="T290" s="1">
        <f t="shared" si="67"/>
        <v>13.90427394927846</v>
      </c>
      <c r="U290" s="1">
        <f t="shared" si="63"/>
        <v>13.60544633939076</v>
      </c>
      <c r="V290" s="1">
        <f t="shared" si="64"/>
        <v>1.7221530387794068</v>
      </c>
      <c r="W290" s="1">
        <f t="shared" si="68"/>
        <v>8.9297940431195724E-2</v>
      </c>
      <c r="X290" s="1">
        <f t="shared" si="69"/>
        <v>0.29882760988770052</v>
      </c>
      <c r="Y290" s="39">
        <f t="shared" si="65"/>
        <v>60.874383686200659</v>
      </c>
      <c r="AB290">
        <v>285</v>
      </c>
      <c r="AC290" s="7"/>
      <c r="AF290" s="7"/>
      <c r="AG290" s="10"/>
      <c r="AH290" s="1"/>
      <c r="AI290" s="10"/>
      <c r="AJ290" s="32"/>
      <c r="AL290" s="1"/>
    </row>
    <row r="291" spans="1:38" x14ac:dyDescent="0.3">
      <c r="A291">
        <v>22716</v>
      </c>
      <c r="B291">
        <v>28</v>
      </c>
      <c r="C291">
        <v>7</v>
      </c>
      <c r="D291">
        <v>1982</v>
      </c>
      <c r="E291">
        <v>18</v>
      </c>
      <c r="F291">
        <v>6</v>
      </c>
      <c r="G291">
        <v>1987</v>
      </c>
      <c r="H291">
        <v>66</v>
      </c>
      <c r="I291" s="32">
        <f t="shared" si="57"/>
        <v>14.248076809271922</v>
      </c>
      <c r="J291" s="1">
        <v>4.8931506849315101</v>
      </c>
      <c r="K291" s="32">
        <f t="shared" si="58"/>
        <v>15.524811613980837</v>
      </c>
      <c r="L291" s="32">
        <f t="shared" si="59"/>
        <v>76.779755526379418</v>
      </c>
      <c r="M291" s="32">
        <f t="shared" si="60"/>
        <v>0.36430524972126055</v>
      </c>
      <c r="N291">
        <v>2.3015127226244658</v>
      </c>
      <c r="O291" s="32">
        <f t="shared" si="66"/>
        <v>16.913951863029126</v>
      </c>
      <c r="P291" s="32">
        <f t="shared" si="61"/>
        <v>89.434393769245744</v>
      </c>
      <c r="Q291">
        <v>23</v>
      </c>
      <c r="R291">
        <v>89</v>
      </c>
      <c r="S291" s="1">
        <f t="shared" si="62"/>
        <v>14.249190784284599</v>
      </c>
      <c r="T291" s="1">
        <f t="shared" si="67"/>
        <v>16.913951863029126</v>
      </c>
      <c r="U291" s="1">
        <f t="shared" si="63"/>
        <v>15.609073941838128</v>
      </c>
      <c r="V291" s="1">
        <f t="shared" si="64"/>
        <v>4.101308160863649</v>
      </c>
      <c r="W291" s="1">
        <f t="shared" si="68"/>
        <v>1.7027063892117416</v>
      </c>
      <c r="X291" s="1">
        <f t="shared" si="69"/>
        <v>1.3048779211909984</v>
      </c>
      <c r="Y291" s="39">
        <f t="shared" si="65"/>
        <v>77.508624426257043</v>
      </c>
      <c r="AB291">
        <v>286</v>
      </c>
      <c r="AC291" s="7"/>
      <c r="AF291" s="7"/>
      <c r="AG291" s="10"/>
      <c r="AH291" s="1"/>
      <c r="AI291" s="10"/>
      <c r="AJ291" s="32"/>
      <c r="AL291" s="1"/>
    </row>
    <row r="292" spans="1:38" x14ac:dyDescent="0.3">
      <c r="A292">
        <v>76681</v>
      </c>
      <c r="B292">
        <v>30</v>
      </c>
      <c r="C292">
        <v>7</v>
      </c>
      <c r="D292">
        <v>1982</v>
      </c>
      <c r="E292">
        <v>29</v>
      </c>
      <c r="F292">
        <v>7</v>
      </c>
      <c r="G292">
        <v>1984</v>
      </c>
      <c r="H292">
        <v>58</v>
      </c>
      <c r="I292" s="32">
        <f t="shared" si="57"/>
        <v>13.231546211727817</v>
      </c>
      <c r="J292" s="1">
        <v>2</v>
      </c>
      <c r="K292" s="32">
        <f t="shared" si="58"/>
        <v>13.891470456084354</v>
      </c>
      <c r="L292" s="32">
        <f t="shared" si="59"/>
        <v>63.134708314150465</v>
      </c>
      <c r="M292" s="32">
        <f t="shared" si="60"/>
        <v>0.17122499999999993</v>
      </c>
      <c r="N292">
        <v>0.72867351263994351</v>
      </c>
      <c r="O292" s="32">
        <f t="shared" si="66"/>
        <v>14.192990765842659</v>
      </c>
      <c r="P292" s="32">
        <f t="shared" si="61"/>
        <v>65.553237485666401</v>
      </c>
      <c r="Q292">
        <v>9</v>
      </c>
      <c r="R292">
        <v>67</v>
      </c>
      <c r="S292" s="1">
        <f t="shared" si="62"/>
        <v>13.232542140125398</v>
      </c>
      <c r="T292" s="1">
        <f t="shared" si="67"/>
        <v>14.192990765842659</v>
      </c>
      <c r="U292" s="1">
        <f t="shared" si="63"/>
        <v>13.919093597144105</v>
      </c>
      <c r="V292" s="1">
        <f t="shared" si="64"/>
        <v>1.9092611024566302</v>
      </c>
      <c r="W292" s="1">
        <f t="shared" si="68"/>
        <v>7.5019659021083943E-2</v>
      </c>
      <c r="X292" s="1">
        <f t="shared" si="69"/>
        <v>0.27389716869855363</v>
      </c>
      <c r="Y292" s="39">
        <f t="shared" si="65"/>
        <v>63.345827084097635</v>
      </c>
      <c r="AB292">
        <v>287</v>
      </c>
      <c r="AC292" s="7"/>
      <c r="AF292" s="7"/>
      <c r="AG292" s="10"/>
      <c r="AH292" s="1"/>
      <c r="AI292" s="10"/>
      <c r="AJ292" s="32"/>
      <c r="AL292" s="1"/>
    </row>
    <row r="293" spans="1:38" x14ac:dyDescent="0.3">
      <c r="A293">
        <v>22695</v>
      </c>
      <c r="B293">
        <v>27</v>
      </c>
      <c r="C293">
        <v>7</v>
      </c>
      <c r="D293">
        <v>1982</v>
      </c>
      <c r="E293">
        <v>4</v>
      </c>
      <c r="F293">
        <v>5</v>
      </c>
      <c r="G293">
        <v>1984</v>
      </c>
      <c r="H293">
        <v>67</v>
      </c>
      <c r="I293" s="32">
        <f t="shared" si="57"/>
        <v>14.370705543744901</v>
      </c>
      <c r="J293" s="1">
        <v>1.77260273972603</v>
      </c>
      <c r="K293" s="32">
        <f t="shared" si="58"/>
        <v>14.859956813200519</v>
      </c>
      <c r="L293" s="32">
        <f t="shared" si="59"/>
        <v>71.064535935746648</v>
      </c>
      <c r="M293" s="32">
        <f t="shared" si="60"/>
        <v>0.15347969083428695</v>
      </c>
      <c r="N293">
        <v>0.71438307713833638</v>
      </c>
      <c r="O293" s="32">
        <f t="shared" si="66"/>
        <v>15.139826986002427</v>
      </c>
      <c r="P293" s="32">
        <f t="shared" si="61"/>
        <v>73.443417277524247</v>
      </c>
      <c r="Q293">
        <v>10</v>
      </c>
      <c r="R293">
        <v>77</v>
      </c>
      <c r="S293" s="1">
        <f t="shared" si="62"/>
        <v>14.371834005854058</v>
      </c>
      <c r="T293" s="1">
        <f t="shared" si="67"/>
        <v>15.139826986002427</v>
      </c>
      <c r="U293" s="1">
        <f t="shared" si="63"/>
        <v>14.891461971854941</v>
      </c>
      <c r="V293" s="1">
        <f t="shared" si="64"/>
        <v>1.7100287155038034</v>
      </c>
      <c r="W293" s="1">
        <f t="shared" si="68"/>
        <v>6.1685180252481153E-2</v>
      </c>
      <c r="X293" s="1">
        <f t="shared" si="69"/>
        <v>0.24836501414748646</v>
      </c>
      <c r="Y293" s="39">
        <f t="shared" si="65"/>
        <v>71.320318344077251</v>
      </c>
      <c r="AB293">
        <v>288</v>
      </c>
      <c r="AC293" s="7"/>
      <c r="AF293" s="7"/>
      <c r="AG293" s="10"/>
      <c r="AH293" s="1"/>
      <c r="AI293" s="10"/>
      <c r="AJ293" s="32"/>
      <c r="AL293" s="1"/>
    </row>
    <row r="294" spans="1:38" x14ac:dyDescent="0.3">
      <c r="A294">
        <v>79530</v>
      </c>
      <c r="B294">
        <v>5</v>
      </c>
      <c r="C294">
        <v>9</v>
      </c>
      <c r="D294">
        <v>1982</v>
      </c>
      <c r="E294">
        <v>13</v>
      </c>
      <c r="F294">
        <v>9</v>
      </c>
      <c r="G294">
        <v>1982</v>
      </c>
      <c r="H294">
        <v>57</v>
      </c>
      <c r="I294" s="32">
        <f t="shared" si="57"/>
        <v>13.0996688705415</v>
      </c>
      <c r="J294" s="1">
        <v>2.19178082191781E-2</v>
      </c>
      <c r="K294" s="32">
        <f t="shared" si="58"/>
        <v>13.10742211621778</v>
      </c>
      <c r="L294" s="32">
        <f t="shared" si="59"/>
        <v>57.058550749396524</v>
      </c>
      <c r="M294" s="32">
        <f t="shared" si="60"/>
        <v>2.0731820827621407E-3</v>
      </c>
      <c r="N294">
        <v>-2.0433617464732379</v>
      </c>
      <c r="O294" s="32">
        <f t="shared" si="66"/>
        <v>13.014383341523667</v>
      </c>
      <c r="P294" s="32">
        <f t="shared" si="61"/>
        <v>56.357926781555847</v>
      </c>
      <c r="Q294">
        <v>0</v>
      </c>
      <c r="R294">
        <v>57</v>
      </c>
      <c r="S294" s="1">
        <f t="shared" si="62"/>
        <v>13.100649759066076</v>
      </c>
      <c r="T294" s="1">
        <f t="shared" si="67"/>
        <v>13.014383341523667</v>
      </c>
      <c r="U294" s="1">
        <f t="shared" si="63"/>
        <v>13.108670437725666</v>
      </c>
      <c r="V294" s="1">
        <f t="shared" si="64"/>
        <v>2.2952840762287593E-2</v>
      </c>
      <c r="W294" s="1">
        <f t="shared" si="68"/>
        <v>8.890056510204981E-3</v>
      </c>
      <c r="X294" s="1">
        <f t="shared" si="69"/>
        <v>-9.4287096201998821E-2</v>
      </c>
      <c r="Y294" s="39">
        <f t="shared" si="65"/>
        <v>57.060563983886944</v>
      </c>
      <c r="AB294">
        <v>289</v>
      </c>
      <c r="AC294" s="7"/>
      <c r="AF294" s="7"/>
      <c r="AG294" s="10"/>
      <c r="AH294" s="1"/>
      <c r="AI294" s="10"/>
      <c r="AJ294" s="32"/>
      <c r="AL294" s="1"/>
    </row>
    <row r="295" spans="1:38" x14ac:dyDescent="0.3">
      <c r="A295">
        <v>79330</v>
      </c>
      <c r="B295">
        <v>25</v>
      </c>
      <c r="C295">
        <v>8</v>
      </c>
      <c r="D295">
        <v>1982</v>
      </c>
      <c r="E295">
        <v>10</v>
      </c>
      <c r="F295">
        <v>6</v>
      </c>
      <c r="G295">
        <v>1985</v>
      </c>
      <c r="H295">
        <v>118</v>
      </c>
      <c r="I295" s="32">
        <f t="shared" si="57"/>
        <v>19.725560982400431</v>
      </c>
      <c r="J295" s="1">
        <v>2.79452054794521</v>
      </c>
      <c r="K295" s="32">
        <f t="shared" si="58"/>
        <v>19.762209766538618</v>
      </c>
      <c r="L295" s="32">
        <f t="shared" si="59"/>
        <v>118.3984434807072</v>
      </c>
      <c r="M295" s="32">
        <f t="shared" si="60"/>
        <v>0.23007536947793278</v>
      </c>
      <c r="N295">
        <v>-0.46202558223740198</v>
      </c>
      <c r="O295" s="32">
        <f t="shared" si="66"/>
        <v>19.540593779227017</v>
      </c>
      <c r="P295" s="32">
        <f t="shared" si="61"/>
        <v>115.99929509041841</v>
      </c>
      <c r="Q295">
        <v>13</v>
      </c>
      <c r="R295">
        <v>131</v>
      </c>
      <c r="S295" s="1">
        <f t="shared" si="62"/>
        <v>19.727367853578269</v>
      </c>
      <c r="T295" s="1">
        <f t="shared" si="67"/>
        <v>19.540593779227017</v>
      </c>
      <c r="U295" s="1">
        <f t="shared" si="63"/>
        <v>19.860712257503991</v>
      </c>
      <c r="V295" s="1">
        <f t="shared" si="64"/>
        <v>2.5724943840128103</v>
      </c>
      <c r="W295" s="1">
        <f t="shared" si="68"/>
        <v>0.10247584013436571</v>
      </c>
      <c r="X295" s="1">
        <f t="shared" si="69"/>
        <v>-0.32011847827697437</v>
      </c>
      <c r="Y295" s="39">
        <f t="shared" si="65"/>
        <v>119.45274024826597</v>
      </c>
      <c r="AB295">
        <v>290</v>
      </c>
      <c r="AC295" s="7"/>
      <c r="AF295" s="7"/>
      <c r="AG295" s="10"/>
      <c r="AH295" s="1"/>
      <c r="AI295" s="10"/>
      <c r="AJ295" s="32"/>
      <c r="AL295" s="1"/>
    </row>
    <row r="296" spans="1:38" x14ac:dyDescent="0.3">
      <c r="A296">
        <v>77041</v>
      </c>
      <c r="B296">
        <v>1</v>
      </c>
      <c r="C296">
        <v>8</v>
      </c>
      <c r="D296">
        <v>1982</v>
      </c>
      <c r="E296">
        <v>8</v>
      </c>
      <c r="F296">
        <v>5</v>
      </c>
      <c r="G296">
        <v>1983</v>
      </c>
      <c r="H296">
        <v>82</v>
      </c>
      <c r="I296" s="32">
        <f t="shared" si="57"/>
        <v>16.110770276274835</v>
      </c>
      <c r="J296" s="1">
        <v>0.76712328767123295</v>
      </c>
      <c r="K296" s="32">
        <f t="shared" si="58"/>
        <v>16.260833061382215</v>
      </c>
      <c r="L296" s="32">
        <f t="shared" si="59"/>
        <v>83.364506023917443</v>
      </c>
      <c r="M296" s="32">
        <f t="shared" si="60"/>
        <v>6.9858132454555105E-2</v>
      </c>
      <c r="N296">
        <v>-0.64178607317444403</v>
      </c>
      <c r="O296" s="32">
        <f t="shared" si="66"/>
        <v>16.09120457990749</v>
      </c>
      <c r="P296" s="32">
        <f t="shared" si="61"/>
        <v>81.822920788016432</v>
      </c>
      <c r="Q296">
        <v>3</v>
      </c>
      <c r="R296">
        <v>85</v>
      </c>
      <c r="S296" s="1">
        <f t="shared" si="62"/>
        <v>16.112109704694813</v>
      </c>
      <c r="T296" s="1">
        <f t="shared" si="67"/>
        <v>16.09120457990749</v>
      </c>
      <c r="U296" s="1">
        <f t="shared" si="63"/>
        <v>16.280023261209848</v>
      </c>
      <c r="V296" s="1">
        <f t="shared" si="64"/>
        <v>0.77554682470777903</v>
      </c>
      <c r="W296" s="1">
        <f t="shared" si="68"/>
        <v>3.5652494408761441E-2</v>
      </c>
      <c r="X296" s="1">
        <f t="shared" si="69"/>
        <v>-0.18881868130235802</v>
      </c>
      <c r="Y296" s="39">
        <f t="shared" si="65"/>
        <v>83.52737994126727</v>
      </c>
      <c r="AB296">
        <v>291</v>
      </c>
      <c r="AC296" s="7"/>
      <c r="AF296" s="7"/>
      <c r="AG296" s="10"/>
      <c r="AH296" s="1"/>
      <c r="AI296" s="10"/>
      <c r="AJ296" s="32"/>
      <c r="AL296" s="1"/>
    </row>
    <row r="297" spans="1:38" x14ac:dyDescent="0.3">
      <c r="A297">
        <v>79123</v>
      </c>
      <c r="B297">
        <v>9</v>
      </c>
      <c r="C297">
        <v>8</v>
      </c>
      <c r="D297">
        <v>1982</v>
      </c>
      <c r="E297">
        <v>12</v>
      </c>
      <c r="F297">
        <v>5</v>
      </c>
      <c r="G297">
        <v>1983</v>
      </c>
      <c r="H297">
        <v>92</v>
      </c>
      <c r="I297" s="32">
        <f t="shared" si="57"/>
        <v>17.183326093250876</v>
      </c>
      <c r="J297" s="1">
        <v>0.75616438356164395</v>
      </c>
      <c r="K297" s="32">
        <f t="shared" si="58"/>
        <v>17.290482537796862</v>
      </c>
      <c r="L297" s="32">
        <f t="shared" si="59"/>
        <v>93.030679135261423</v>
      </c>
      <c r="M297" s="32">
        <f t="shared" si="60"/>
        <v>6.889837327433887E-2</v>
      </c>
      <c r="N297">
        <v>-0.81834514276124537</v>
      </c>
      <c r="O297" s="32">
        <f t="shared" si="66"/>
        <v>17.075679216039948</v>
      </c>
      <c r="P297" s="32">
        <f t="shared" si="61"/>
        <v>90.970384388314613</v>
      </c>
      <c r="Q297">
        <v>1</v>
      </c>
      <c r="R297">
        <v>93</v>
      </c>
      <c r="S297" s="1">
        <f t="shared" si="62"/>
        <v>17.18480031092902</v>
      </c>
      <c r="T297" s="1">
        <f t="shared" si="67"/>
        <v>17.075679216039948</v>
      </c>
      <c r="U297" s="1">
        <f t="shared" si="63"/>
        <v>17.312464892295164</v>
      </c>
      <c r="V297" s="1">
        <f t="shared" si="64"/>
        <v>0.7648613319792934</v>
      </c>
      <c r="W297" s="1">
        <f t="shared" si="68"/>
        <v>5.6067456479640204E-2</v>
      </c>
      <c r="X297" s="1">
        <f t="shared" si="69"/>
        <v>-0.23678567625521652</v>
      </c>
      <c r="Y297" s="39">
        <f t="shared" si="65"/>
        <v>93.228433110976823</v>
      </c>
      <c r="AB297">
        <v>292</v>
      </c>
      <c r="AC297" s="7"/>
      <c r="AF297" s="7"/>
      <c r="AG297" s="10"/>
      <c r="AH297" s="1"/>
      <c r="AI297" s="10"/>
      <c r="AJ297" s="32"/>
      <c r="AL297" s="1"/>
    </row>
    <row r="298" spans="1:38" x14ac:dyDescent="0.3">
      <c r="A298">
        <v>76963</v>
      </c>
      <c r="B298">
        <v>31</v>
      </c>
      <c r="C298">
        <v>7</v>
      </c>
      <c r="D298">
        <v>1982</v>
      </c>
      <c r="E298">
        <v>27</v>
      </c>
      <c r="F298">
        <v>9</v>
      </c>
      <c r="G298">
        <v>1984</v>
      </c>
      <c r="H298">
        <v>59</v>
      </c>
      <c r="I298" s="32">
        <f t="shared" si="57"/>
        <v>13.362291495737216</v>
      </c>
      <c r="J298" s="1">
        <v>2.1616438356164398</v>
      </c>
      <c r="K298" s="32">
        <f t="shared" si="58"/>
        <v>14.058931700972119</v>
      </c>
      <c r="L298" s="32">
        <f t="shared" si="59"/>
        <v>64.472321844121808</v>
      </c>
      <c r="M298" s="32">
        <f t="shared" si="60"/>
        <v>0.1835897740590213</v>
      </c>
      <c r="N298">
        <v>0.55985310609685257</v>
      </c>
      <c r="O298" s="32">
        <f t="shared" si="66"/>
        <v>14.298814073608517</v>
      </c>
      <c r="P298" s="32">
        <f t="shared" si="61"/>
        <v>66.412835051514776</v>
      </c>
      <c r="Q298">
        <v>6</v>
      </c>
      <c r="R298">
        <v>65</v>
      </c>
      <c r="S298" s="1">
        <f t="shared" si="62"/>
        <v>13.363302398360892</v>
      </c>
      <c r="T298" s="1">
        <f t="shared" si="67"/>
        <v>14.298814073608517</v>
      </c>
      <c r="U298" s="1">
        <f t="shared" si="63"/>
        <v>14.089766583091471</v>
      </c>
      <c r="V298" s="1">
        <f t="shared" si="64"/>
        <v>2.0482863750400555</v>
      </c>
      <c r="W298" s="1">
        <f t="shared" si="68"/>
        <v>4.370085329147428E-2</v>
      </c>
      <c r="X298" s="1">
        <f t="shared" si="69"/>
        <v>0.20904749051704563</v>
      </c>
      <c r="Y298" s="39">
        <f t="shared" si="65"/>
        <v>64.711336548220814</v>
      </c>
      <c r="AB298">
        <v>293</v>
      </c>
      <c r="AC298" s="7"/>
      <c r="AF298" s="7"/>
      <c r="AG298" s="10"/>
      <c r="AH298" s="1"/>
      <c r="AI298" s="10"/>
      <c r="AJ298" s="32"/>
      <c r="AL298" s="1"/>
    </row>
    <row r="299" spans="1:38" x14ac:dyDescent="0.3">
      <c r="A299">
        <v>79466</v>
      </c>
      <c r="B299">
        <v>4</v>
      </c>
      <c r="C299">
        <v>9</v>
      </c>
      <c r="D299">
        <v>1982</v>
      </c>
      <c r="E299">
        <v>14</v>
      </c>
      <c r="F299">
        <v>5</v>
      </c>
      <c r="G299">
        <v>1988</v>
      </c>
      <c r="H299">
        <v>81</v>
      </c>
      <c r="I299" s="32">
        <f t="shared" si="57"/>
        <v>16</v>
      </c>
      <c r="J299" s="1">
        <v>5.6958904109589001</v>
      </c>
      <c r="K299" s="32">
        <f t="shared" si="58"/>
        <v>17.01340668749668</v>
      </c>
      <c r="L299" s="32">
        <f t="shared" si="59"/>
        <v>90.377408466035874</v>
      </c>
      <c r="M299" s="32">
        <f t="shared" si="60"/>
        <v>0.40847656071406563</v>
      </c>
      <c r="N299">
        <v>0.76733158493880183</v>
      </c>
      <c r="O299" s="32">
        <f t="shared" si="66"/>
        <v>17.503824962512379</v>
      </c>
      <c r="P299" s="32">
        <f t="shared" si="61"/>
        <v>95.099797042080255</v>
      </c>
      <c r="Q299">
        <v>13</v>
      </c>
      <c r="R299">
        <v>94</v>
      </c>
      <c r="S299" s="1">
        <f t="shared" si="62"/>
        <v>16.001325708024599</v>
      </c>
      <c r="T299" s="1">
        <f t="shared" si="67"/>
        <v>17.503824962512379</v>
      </c>
      <c r="U299" s="1">
        <f t="shared" si="63"/>
        <v>17.139813172179327</v>
      </c>
      <c r="V299" s="1">
        <f t="shared" si="64"/>
        <v>4.6099923530613029</v>
      </c>
      <c r="W299" s="1">
        <f t="shared" si="68"/>
        <v>0.13250458350147379</v>
      </c>
      <c r="X299" s="1">
        <f t="shared" si="69"/>
        <v>0.36401179033305198</v>
      </c>
      <c r="Y299" s="39">
        <f t="shared" si="65"/>
        <v>91.569059239549603</v>
      </c>
      <c r="AB299">
        <v>294</v>
      </c>
      <c r="AC299" s="7"/>
      <c r="AF299" s="7"/>
      <c r="AG299" s="10"/>
      <c r="AH299" s="1"/>
      <c r="AI299" s="10"/>
      <c r="AJ299" s="32"/>
      <c r="AL299" s="1"/>
    </row>
    <row r="300" spans="1:38" x14ac:dyDescent="0.3">
      <c r="A300">
        <v>76736</v>
      </c>
      <c r="B300">
        <v>30</v>
      </c>
      <c r="C300">
        <v>7</v>
      </c>
      <c r="D300">
        <v>1982</v>
      </c>
      <c r="E300">
        <v>8</v>
      </c>
      <c r="F300">
        <v>5</v>
      </c>
      <c r="G300">
        <v>1988</v>
      </c>
      <c r="H300">
        <v>65</v>
      </c>
      <c r="I300" s="32">
        <f t="shared" si="57"/>
        <v>14.124515496597098</v>
      </c>
      <c r="J300" s="1">
        <v>5.7780821917808201</v>
      </c>
      <c r="K300" s="32">
        <f t="shared" si="58"/>
        <v>15.631535150208794</v>
      </c>
      <c r="L300" s="32">
        <f t="shared" si="59"/>
        <v>77.717757938262068</v>
      </c>
      <c r="M300" s="32">
        <f t="shared" si="60"/>
        <v>0.41279731348100135</v>
      </c>
      <c r="N300">
        <v>-3.5388438845984638E-2</v>
      </c>
      <c r="O300" s="32">
        <f t="shared" si="66"/>
        <v>15.608798324360107</v>
      </c>
      <c r="P300" s="32">
        <f t="shared" si="61"/>
        <v>77.517444606996847</v>
      </c>
      <c r="Q300">
        <v>13</v>
      </c>
      <c r="R300">
        <v>78</v>
      </c>
      <c r="S300" s="1">
        <f t="shared" si="62"/>
        <v>14.125614927041669</v>
      </c>
      <c r="T300" s="1">
        <f t="shared" si="67"/>
        <v>15.608798324360107</v>
      </c>
      <c r="U300" s="1">
        <f t="shared" si="63"/>
        <v>15.729086380255101</v>
      </c>
      <c r="V300" s="1">
        <f t="shared" si="64"/>
        <v>4.65991741395798</v>
      </c>
      <c r="W300" s="1">
        <f t="shared" si="68"/>
        <v>1.4469216390997181E-2</v>
      </c>
      <c r="X300" s="1">
        <f t="shared" si="69"/>
        <v>-0.12028805589499392</v>
      </c>
      <c r="Y300" s="39">
        <f t="shared" si="65"/>
        <v>78.56867202165914</v>
      </c>
      <c r="AB300">
        <v>295</v>
      </c>
      <c r="AC300" s="7"/>
      <c r="AF300" s="7"/>
      <c r="AG300" s="10"/>
      <c r="AH300" s="1"/>
      <c r="AI300" s="10"/>
      <c r="AJ300" s="32"/>
      <c r="AL300" s="1"/>
    </row>
    <row r="301" spans="1:38" x14ac:dyDescent="0.3">
      <c r="A301">
        <v>79583</v>
      </c>
      <c r="B301">
        <v>5</v>
      </c>
      <c r="C301">
        <v>9</v>
      </c>
      <c r="D301">
        <v>1982</v>
      </c>
      <c r="E301">
        <v>7</v>
      </c>
      <c r="F301">
        <v>5</v>
      </c>
      <c r="G301">
        <v>1986</v>
      </c>
      <c r="H301">
        <v>77</v>
      </c>
      <c r="I301" s="32">
        <f t="shared" si="57"/>
        <v>15.549928774784245</v>
      </c>
      <c r="J301" s="1">
        <v>3.6712328767123301</v>
      </c>
      <c r="K301" s="32">
        <f t="shared" si="58"/>
        <v>16.313747081009662</v>
      </c>
      <c r="L301" s="32">
        <f t="shared" si="59"/>
        <v>83.848333036797484</v>
      </c>
      <c r="M301" s="32">
        <f t="shared" si="60"/>
        <v>0.28968250977764304</v>
      </c>
      <c r="N301">
        <v>-0.92495156422955915</v>
      </c>
      <c r="O301" s="32">
        <f t="shared" si="66"/>
        <v>15.815918153800384</v>
      </c>
      <c r="P301" s="32">
        <f t="shared" si="61"/>
        <v>79.3517349157285</v>
      </c>
      <c r="Q301">
        <v>4</v>
      </c>
      <c r="R301">
        <v>81</v>
      </c>
      <c r="S301" s="1">
        <f t="shared" si="62"/>
        <v>15.551199132657898</v>
      </c>
      <c r="T301" s="1">
        <f t="shared" si="67"/>
        <v>15.815918153800384</v>
      </c>
      <c r="U301" s="1">
        <f t="shared" si="63"/>
        <v>16.391938942088739</v>
      </c>
      <c r="V301" s="1">
        <f t="shared" si="64"/>
        <v>3.2484533081543265</v>
      </c>
      <c r="W301" s="1">
        <f t="shared" si="68"/>
        <v>0.33179994854033817</v>
      </c>
      <c r="X301" s="1">
        <f t="shared" si="69"/>
        <v>-0.57602078828835523</v>
      </c>
      <c r="Y301" s="39">
        <f t="shared" si="65"/>
        <v>84.553217386135728</v>
      </c>
      <c r="AB301">
        <v>296</v>
      </c>
      <c r="AC301" s="7"/>
      <c r="AF301" s="7"/>
      <c r="AG301" s="10"/>
      <c r="AH301" s="1"/>
      <c r="AI301" s="10"/>
      <c r="AJ301" s="32"/>
      <c r="AL301" s="1"/>
    </row>
    <row r="302" spans="1:38" x14ac:dyDescent="0.3">
      <c r="A302">
        <v>79331</v>
      </c>
      <c r="B302">
        <v>25</v>
      </c>
      <c r="C302">
        <v>8</v>
      </c>
      <c r="D302">
        <v>1982</v>
      </c>
      <c r="E302">
        <v>10</v>
      </c>
      <c r="F302">
        <v>6</v>
      </c>
      <c r="G302">
        <v>1986</v>
      </c>
      <c r="H302">
        <v>79</v>
      </c>
      <c r="I302" s="32">
        <f t="shared" si="57"/>
        <v>15.776388834631177</v>
      </c>
      <c r="J302" s="1">
        <v>3.79452054794521</v>
      </c>
      <c r="K302" s="32">
        <f t="shared" si="58"/>
        <v>16.52339226704953</v>
      </c>
      <c r="L302" s="32">
        <f t="shared" si="59"/>
        <v>85.779015269747589</v>
      </c>
      <c r="M302" s="32">
        <f t="shared" si="60"/>
        <v>0.29764302095383433</v>
      </c>
      <c r="N302">
        <v>0.15983346202119719</v>
      </c>
      <c r="O302" s="32">
        <f t="shared" si="66"/>
        <v>16.610592081005986</v>
      </c>
      <c r="P302" s="32">
        <f t="shared" si="61"/>
        <v>86.588534401400679</v>
      </c>
      <c r="Q302">
        <v>4</v>
      </c>
      <c r="R302">
        <v>83</v>
      </c>
      <c r="S302" s="1">
        <f t="shared" si="62"/>
        <v>15.777686962567273</v>
      </c>
      <c r="T302" s="1">
        <f t="shared" si="67"/>
        <v>16.610592081005986</v>
      </c>
      <c r="U302" s="1">
        <f t="shared" si="63"/>
        <v>16.606792949294224</v>
      </c>
      <c r="V302" s="1">
        <f t="shared" si="64"/>
        <v>3.3390690796709781</v>
      </c>
      <c r="W302" s="1">
        <f t="shared" si="68"/>
        <v>1.4433401763317726E-5</v>
      </c>
      <c r="X302" s="1">
        <f t="shared" si="69"/>
        <v>3.7991317117622714E-3</v>
      </c>
      <c r="Y302" s="39">
        <f t="shared" si="65"/>
        <v>86.540150944163585</v>
      </c>
      <c r="AB302">
        <v>297</v>
      </c>
      <c r="AC302" s="7"/>
      <c r="AF302" s="7"/>
      <c r="AG302" s="10"/>
      <c r="AH302" s="1"/>
      <c r="AI302" s="10"/>
      <c r="AJ302" s="32"/>
      <c r="AL302" s="1"/>
    </row>
    <row r="303" spans="1:38" x14ac:dyDescent="0.3">
      <c r="A303">
        <v>79443</v>
      </c>
      <c r="B303">
        <v>4</v>
      </c>
      <c r="C303">
        <v>9</v>
      </c>
      <c r="D303">
        <v>1982</v>
      </c>
      <c r="E303">
        <v>21</v>
      </c>
      <c r="F303">
        <v>5</v>
      </c>
      <c r="G303">
        <v>1984</v>
      </c>
      <c r="H303">
        <v>76</v>
      </c>
      <c r="I303" s="32">
        <f t="shared" si="57"/>
        <v>15.435595774162696</v>
      </c>
      <c r="J303" s="1">
        <v>1.7123287671232901</v>
      </c>
      <c r="K303" s="32">
        <f t="shared" si="58"/>
        <v>15.819390652345815</v>
      </c>
      <c r="L303" s="32">
        <f t="shared" si="59"/>
        <v>79.382670805227363</v>
      </c>
      <c r="M303" s="32">
        <f t="shared" si="60"/>
        <v>0.14870629685495482</v>
      </c>
      <c r="N303">
        <v>0.90552930487319827</v>
      </c>
      <c r="O303" s="32">
        <f t="shared" si="66"/>
        <v>16.168584986914812</v>
      </c>
      <c r="P303" s="32">
        <f t="shared" si="61"/>
        <v>82.524370106686575</v>
      </c>
      <c r="Q303">
        <v>1</v>
      </c>
      <c r="R303">
        <v>77</v>
      </c>
      <c r="S303" s="1">
        <f t="shared" si="62"/>
        <v>15.436852174114659</v>
      </c>
      <c r="T303" s="1">
        <f t="shared" si="67"/>
        <v>16.168584986914812</v>
      </c>
      <c r="U303" s="1">
        <f t="shared" si="63"/>
        <v>15.856223156694854</v>
      </c>
      <c r="V303" s="1">
        <f t="shared" si="64"/>
        <v>1.6564936049770429</v>
      </c>
      <c r="W303" s="1">
        <f t="shared" si="68"/>
        <v>9.7569912978361734E-2</v>
      </c>
      <c r="X303" s="1">
        <f t="shared" si="69"/>
        <v>0.31236183021995778</v>
      </c>
      <c r="Y303" s="39">
        <f t="shared" si="65"/>
        <v>79.699500639579767</v>
      </c>
      <c r="AB303">
        <v>298</v>
      </c>
      <c r="AC303" s="7"/>
      <c r="AF303" s="7"/>
      <c r="AG303" s="10"/>
      <c r="AH303" s="1"/>
      <c r="AI303" s="10"/>
      <c r="AJ303" s="32"/>
      <c r="AL303" s="1"/>
    </row>
    <row r="304" spans="1:38" x14ac:dyDescent="0.3">
      <c r="A304">
        <v>79285</v>
      </c>
      <c r="B304">
        <v>18</v>
      </c>
      <c r="C304">
        <v>8</v>
      </c>
      <c r="D304">
        <v>1982</v>
      </c>
      <c r="E304">
        <v>12</v>
      </c>
      <c r="F304">
        <v>9</v>
      </c>
      <c r="G304">
        <v>1984</v>
      </c>
      <c r="H304">
        <v>86</v>
      </c>
      <c r="I304" s="32">
        <f t="shared" si="57"/>
        <v>16.547236990991408</v>
      </c>
      <c r="J304" s="1">
        <v>2.07123287671233</v>
      </c>
      <c r="K304" s="32">
        <f t="shared" si="58"/>
        <v>16.895246186879415</v>
      </c>
      <c r="L304" s="32">
        <f t="shared" si="59"/>
        <v>89.257582115695271</v>
      </c>
      <c r="M304" s="32">
        <f t="shared" si="60"/>
        <v>0.17669916069264122</v>
      </c>
      <c r="N304">
        <v>1.5286695997929201</v>
      </c>
      <c r="O304" s="32">
        <f t="shared" si="66"/>
        <v>17.537831614181307</v>
      </c>
      <c r="P304" s="32">
        <f t="shared" si="61"/>
        <v>95.431716046025642</v>
      </c>
      <c r="Q304">
        <v>7</v>
      </c>
      <c r="R304">
        <v>93</v>
      </c>
      <c r="S304" s="1">
        <f t="shared" si="62"/>
        <v>16.54863085074988</v>
      </c>
      <c r="T304" s="1">
        <f t="shared" si="67"/>
        <v>17.537831614181307</v>
      </c>
      <c r="U304" s="1">
        <f t="shared" si="63"/>
        <v>16.947354584849244</v>
      </c>
      <c r="V304" s="1">
        <f t="shared" si="64"/>
        <v>1.9707900016540261</v>
      </c>
      <c r="W304" s="1">
        <f t="shared" si="68"/>
        <v>0.34866312216881895</v>
      </c>
      <c r="X304" s="1">
        <f t="shared" si="69"/>
        <v>0.59047702933206381</v>
      </c>
      <c r="Y304" s="39">
        <f t="shared" si="65"/>
        <v>89.736881179965778</v>
      </c>
      <c r="AB304">
        <v>299</v>
      </c>
      <c r="AC304" s="7"/>
      <c r="AF304" s="7"/>
      <c r="AG304" s="10"/>
      <c r="AH304" s="1"/>
      <c r="AI304" s="10"/>
      <c r="AJ304" s="32"/>
      <c r="AL304" s="1"/>
    </row>
    <row r="305" spans="1:38" x14ac:dyDescent="0.3">
      <c r="A305">
        <v>78899</v>
      </c>
      <c r="B305">
        <v>27</v>
      </c>
      <c r="C305">
        <v>7</v>
      </c>
      <c r="D305">
        <v>1982</v>
      </c>
      <c r="E305">
        <v>7</v>
      </c>
      <c r="F305">
        <v>5</v>
      </c>
      <c r="G305">
        <v>1988</v>
      </c>
      <c r="H305">
        <v>74</v>
      </c>
      <c r="I305" s="32">
        <f t="shared" si="57"/>
        <v>15.204650534085253</v>
      </c>
      <c r="J305" s="1">
        <v>5.7835616438356201</v>
      </c>
      <c r="K305" s="32">
        <f t="shared" si="58"/>
        <v>16.435625235027182</v>
      </c>
      <c r="L305" s="32">
        <f t="shared" si="59"/>
        <v>84.968069451592754</v>
      </c>
      <c r="M305" s="32">
        <f t="shared" si="60"/>
        <v>0.41308407038174577</v>
      </c>
      <c r="N305">
        <v>-1.3728322301176377</v>
      </c>
      <c r="O305" s="32">
        <f t="shared" si="66"/>
        <v>15.553283767157348</v>
      </c>
      <c r="P305" s="32">
        <f t="shared" si="61"/>
        <v>77.0294427525874</v>
      </c>
      <c r="Q305">
        <v>15</v>
      </c>
      <c r="R305">
        <v>89</v>
      </c>
      <c r="S305" s="1">
        <f t="shared" si="62"/>
        <v>15.205878868967202</v>
      </c>
      <c r="T305" s="1">
        <f t="shared" si="67"/>
        <v>15.553283767157348</v>
      </c>
      <c r="U305" s="1">
        <f t="shared" si="63"/>
        <v>16.550884407260483</v>
      </c>
      <c r="V305" s="1">
        <f t="shared" si="64"/>
        <v>4.6632318934246815</v>
      </c>
      <c r="W305" s="1">
        <f t="shared" si="68"/>
        <v>0.99520703713418512</v>
      </c>
      <c r="X305" s="1">
        <f t="shared" si="69"/>
        <v>-0.99760064010313521</v>
      </c>
      <c r="Y305" s="39">
        <f t="shared" si="65"/>
        <v>86.020897272704786</v>
      </c>
      <c r="AB305">
        <v>300</v>
      </c>
      <c r="AC305" s="7"/>
      <c r="AF305" s="7"/>
      <c r="AG305" s="10"/>
      <c r="AH305" s="1"/>
      <c r="AI305" s="10"/>
      <c r="AJ305" s="32"/>
      <c r="AL305" s="1"/>
    </row>
    <row r="306" spans="1:38" x14ac:dyDescent="0.3">
      <c r="A306">
        <v>78930</v>
      </c>
      <c r="B306">
        <v>28</v>
      </c>
      <c r="C306">
        <v>7</v>
      </c>
      <c r="D306">
        <v>1982</v>
      </c>
      <c r="E306">
        <v>7</v>
      </c>
      <c r="F306">
        <v>5</v>
      </c>
      <c r="G306">
        <v>1983</v>
      </c>
      <c r="H306">
        <v>74</v>
      </c>
      <c r="I306" s="32">
        <f t="shared" si="57"/>
        <v>15.204650534085253</v>
      </c>
      <c r="J306" s="1">
        <v>0.77534246575342503</v>
      </c>
      <c r="K306" s="32">
        <f t="shared" si="58"/>
        <v>15.391618468274336</v>
      </c>
      <c r="L306" s="32">
        <f t="shared" si="59"/>
        <v>75.617098236505257</v>
      </c>
      <c r="M306" s="32">
        <f t="shared" si="60"/>
        <v>7.0577244079932724E-2</v>
      </c>
      <c r="N306">
        <v>-0.94628148872288875</v>
      </c>
      <c r="O306" s="32">
        <f t="shared" si="66"/>
        <v>15.140225750900752</v>
      </c>
      <c r="P306" s="32">
        <f t="shared" si="61"/>
        <v>73.446834697960327</v>
      </c>
      <c r="Q306">
        <v>0</v>
      </c>
      <c r="R306">
        <v>74</v>
      </c>
      <c r="S306" s="1">
        <f t="shared" si="62"/>
        <v>15.205878868967202</v>
      </c>
      <c r="T306" s="1">
        <f t="shared" si="67"/>
        <v>15.140225750900752</v>
      </c>
      <c r="U306" s="1">
        <f t="shared" si="63"/>
        <v>15.408368430692722</v>
      </c>
      <c r="V306" s="1">
        <f t="shared" si="64"/>
        <v>0.7835536374437293</v>
      </c>
      <c r="W306" s="1">
        <f t="shared" si="68"/>
        <v>7.1900496726018684E-2</v>
      </c>
      <c r="X306" s="1">
        <f t="shared" si="69"/>
        <v>-0.26814267979196948</v>
      </c>
      <c r="Y306" s="39">
        <f t="shared" si="65"/>
        <v>75.751917517105312</v>
      </c>
      <c r="AB306">
        <v>301</v>
      </c>
      <c r="AC306" s="7"/>
      <c r="AF306" s="7"/>
      <c r="AG306" s="10"/>
      <c r="AH306" s="1"/>
      <c r="AI306" s="10"/>
      <c r="AJ306" s="32"/>
      <c r="AL306" s="1"/>
    </row>
    <row r="307" spans="1:38" x14ac:dyDescent="0.3">
      <c r="A307">
        <v>79486</v>
      </c>
      <c r="B307">
        <v>4</v>
      </c>
      <c r="C307">
        <v>9</v>
      </c>
      <c r="D307">
        <v>1982</v>
      </c>
      <c r="E307">
        <v>9</v>
      </c>
      <c r="F307">
        <v>6</v>
      </c>
      <c r="G307">
        <v>1985</v>
      </c>
      <c r="H307">
        <v>81</v>
      </c>
      <c r="I307" s="32">
        <f t="shared" si="57"/>
        <v>16</v>
      </c>
      <c r="J307" s="1">
        <v>2.7643835616438399</v>
      </c>
      <c r="K307" s="32">
        <f t="shared" si="58"/>
        <v>16.528801160108223</v>
      </c>
      <c r="L307" s="32">
        <f t="shared" si="59"/>
        <v>85.829118107706961</v>
      </c>
      <c r="M307" s="32">
        <f t="shared" si="60"/>
        <v>0.22792953541926947</v>
      </c>
      <c r="N307">
        <v>0.42823785406653769</v>
      </c>
      <c r="O307" s="32">
        <f t="shared" si="66"/>
        <v>16.733250332439411</v>
      </c>
      <c r="P307" s="32">
        <f t="shared" si="61"/>
        <v>87.73366700446033</v>
      </c>
      <c r="Q307">
        <v>13</v>
      </c>
      <c r="R307">
        <v>94</v>
      </c>
      <c r="S307" s="1">
        <f t="shared" si="62"/>
        <v>16.001325708024599</v>
      </c>
      <c r="T307" s="1">
        <f t="shared" si="67"/>
        <v>16.733250332439411</v>
      </c>
      <c r="U307" s="1">
        <f t="shared" si="63"/>
        <v>16.592378987945796</v>
      </c>
      <c r="V307" s="1">
        <f t="shared" si="64"/>
        <v>2.5482411912180249</v>
      </c>
      <c r="W307" s="1">
        <f t="shared" si="68"/>
        <v>1.9844735699438672E-2</v>
      </c>
      <c r="X307" s="1">
        <f t="shared" si="69"/>
        <v>0.14087134449361471</v>
      </c>
      <c r="Y307" s="39">
        <f t="shared" si="65"/>
        <v>86.406131002800663</v>
      </c>
      <c r="AB307">
        <v>302</v>
      </c>
      <c r="AC307" s="7"/>
      <c r="AF307" s="7"/>
      <c r="AG307" s="10"/>
      <c r="AH307" s="1"/>
      <c r="AI307" s="10"/>
      <c r="AJ307" s="32"/>
      <c r="AL307" s="1"/>
    </row>
    <row r="308" spans="1:38" x14ac:dyDescent="0.3">
      <c r="A308">
        <v>76933</v>
      </c>
      <c r="B308">
        <v>31</v>
      </c>
      <c r="C308">
        <v>7</v>
      </c>
      <c r="D308">
        <v>1982</v>
      </c>
      <c r="E308">
        <v>24</v>
      </c>
      <c r="F308">
        <v>8</v>
      </c>
      <c r="G308">
        <v>1987</v>
      </c>
      <c r="H308">
        <v>65</v>
      </c>
      <c r="I308" s="32">
        <f t="shared" si="57"/>
        <v>14.124515496597098</v>
      </c>
      <c r="J308" s="1">
        <v>5.0684931506849296</v>
      </c>
      <c r="K308" s="32">
        <f t="shared" si="58"/>
        <v>15.469606441330058</v>
      </c>
      <c r="L308" s="32">
        <f t="shared" si="59"/>
        <v>76.29678730374016</v>
      </c>
      <c r="M308" s="32">
        <f t="shared" si="60"/>
        <v>0.37426645607790759</v>
      </c>
      <c r="N308">
        <v>-0.3266677595092915</v>
      </c>
      <c r="O308" s="32">
        <f t="shared" si="66"/>
        <v>15.269759858665159</v>
      </c>
      <c r="P308" s="32">
        <f t="shared" si="61"/>
        <v>74.561151393990627</v>
      </c>
      <c r="Q308">
        <v>32</v>
      </c>
      <c r="R308">
        <v>97</v>
      </c>
      <c r="S308" s="1">
        <f t="shared" si="62"/>
        <v>14.125614927041669</v>
      </c>
      <c r="T308" s="1">
        <f t="shared" si="67"/>
        <v>15.269759858665159</v>
      </c>
      <c r="U308" s="1">
        <f t="shared" si="63"/>
        <v>15.555068996823177</v>
      </c>
      <c r="V308" s="1">
        <f t="shared" si="64"/>
        <v>4.2157591235969258</v>
      </c>
      <c r="W308" s="1">
        <f t="shared" si="68"/>
        <v>8.1401304316471107E-2</v>
      </c>
      <c r="X308" s="1">
        <f t="shared" si="69"/>
        <v>-0.28530913815801817</v>
      </c>
      <c r="Y308" s="39">
        <f t="shared" si="65"/>
        <v>77.033957511710113</v>
      </c>
      <c r="AB308">
        <v>303</v>
      </c>
      <c r="AC308" s="7"/>
      <c r="AF308" s="7"/>
      <c r="AG308" s="10"/>
      <c r="AH308" s="1"/>
      <c r="AI308" s="10"/>
      <c r="AJ308" s="32"/>
      <c r="AL308" s="1"/>
    </row>
    <row r="309" spans="1:38" x14ac:dyDescent="0.3">
      <c r="A309">
        <v>22982</v>
      </c>
      <c r="B309">
        <v>29</v>
      </c>
      <c r="C309">
        <v>7</v>
      </c>
      <c r="D309">
        <v>1982</v>
      </c>
      <c r="E309">
        <v>21</v>
      </c>
      <c r="F309">
        <v>5</v>
      </c>
      <c r="G309">
        <v>1984</v>
      </c>
      <c r="H309">
        <v>66</v>
      </c>
      <c r="I309" s="32">
        <f t="shared" si="57"/>
        <v>14.248076809271922</v>
      </c>
      <c r="J309" s="1">
        <v>1.81369863013699</v>
      </c>
      <c r="K309" s="32">
        <f t="shared" si="58"/>
        <v>14.75904523354412</v>
      </c>
      <c r="L309" s="32">
        <f t="shared" si="59"/>
        <v>70.21639928499448</v>
      </c>
      <c r="M309" s="32">
        <f t="shared" si="60"/>
        <v>0.15671739626653966</v>
      </c>
      <c r="N309">
        <v>0.96646544989198446</v>
      </c>
      <c r="O309" s="32">
        <f t="shared" si="66"/>
        <v>15.141645208157524</v>
      </c>
      <c r="P309" s="32">
        <f t="shared" si="61"/>
        <v>73.459000110587453</v>
      </c>
      <c r="Q309">
        <v>5</v>
      </c>
      <c r="R309">
        <v>71</v>
      </c>
      <c r="S309" s="1">
        <f t="shared" si="62"/>
        <v>14.249190784284599</v>
      </c>
      <c r="T309" s="1">
        <f t="shared" si="67"/>
        <v>15.141645208157524</v>
      </c>
      <c r="U309" s="1">
        <f t="shared" si="63"/>
        <v>14.790489810538411</v>
      </c>
      <c r="V309" s="1">
        <f t="shared" si="64"/>
        <v>1.7463543407916318</v>
      </c>
      <c r="W309" s="1">
        <f t="shared" si="68"/>
        <v>0.12331011327703741</v>
      </c>
      <c r="X309" s="1">
        <f t="shared" si="69"/>
        <v>0.35115539761911307</v>
      </c>
      <c r="Y309" s="39">
        <f t="shared" si="65"/>
        <v>70.470245227867906</v>
      </c>
      <c r="AB309">
        <v>304</v>
      </c>
      <c r="AC309" s="7"/>
      <c r="AF309" s="7"/>
      <c r="AG309" s="10"/>
      <c r="AH309" s="1"/>
      <c r="AI309" s="10"/>
      <c r="AJ309" s="32"/>
      <c r="AL309" s="1"/>
    </row>
    <row r="310" spans="1:38" x14ac:dyDescent="0.3">
      <c r="A310">
        <v>22654</v>
      </c>
      <c r="B310">
        <v>26</v>
      </c>
      <c r="C310">
        <v>7</v>
      </c>
      <c r="D310">
        <v>1982</v>
      </c>
      <c r="E310">
        <v>8</v>
      </c>
      <c r="F310">
        <v>5</v>
      </c>
      <c r="G310">
        <v>1986</v>
      </c>
      <c r="H310">
        <v>72</v>
      </c>
      <c r="I310" s="32">
        <f t="shared" si="57"/>
        <v>14.970562748477139</v>
      </c>
      <c r="J310" s="1">
        <v>3.7863013698630099</v>
      </c>
      <c r="K310" s="32">
        <f t="shared" si="58"/>
        <v>15.858341843169981</v>
      </c>
      <c r="L310" s="32">
        <f t="shared" si="59"/>
        <v>79.730093346878945</v>
      </c>
      <c r="M310" s="32">
        <f t="shared" si="60"/>
        <v>0.29711544680805679</v>
      </c>
      <c r="N310">
        <v>0.78688572102691978</v>
      </c>
      <c r="O310" s="32">
        <f t="shared" si="66"/>
        <v>16.287259850931964</v>
      </c>
      <c r="P310" s="32">
        <f t="shared" si="61"/>
        <v>83.605968213877034</v>
      </c>
      <c r="Q310">
        <v>6</v>
      </c>
      <c r="R310">
        <v>78</v>
      </c>
      <c r="S310" s="1">
        <f t="shared" si="62"/>
        <v>14.971762814519451</v>
      </c>
      <c r="T310" s="1">
        <f t="shared" si="67"/>
        <v>16.287259850931964</v>
      </c>
      <c r="U310" s="1">
        <f t="shared" si="63"/>
        <v>15.932044775548341</v>
      </c>
      <c r="V310" s="1">
        <f t="shared" si="64"/>
        <v>3.3330610338506452</v>
      </c>
      <c r="W310" s="1">
        <f t="shared" si="68"/>
        <v>0.12617774977979246</v>
      </c>
      <c r="X310" s="1">
        <f t="shared" si="69"/>
        <v>0.35521507538362229</v>
      </c>
      <c r="Y310" s="39">
        <f t="shared" si="65"/>
        <v>80.377748320553536</v>
      </c>
      <c r="AB310">
        <v>305</v>
      </c>
      <c r="AC310" s="7"/>
      <c r="AF310" s="7"/>
      <c r="AG310" s="10"/>
      <c r="AH310" s="1"/>
      <c r="AI310" s="10"/>
      <c r="AJ310" s="32"/>
      <c r="AL310" s="1"/>
    </row>
    <row r="311" spans="1:38" x14ac:dyDescent="0.3">
      <c r="A311">
        <v>22709</v>
      </c>
      <c r="B311">
        <v>27</v>
      </c>
      <c r="C311">
        <v>7</v>
      </c>
      <c r="D311">
        <v>1982</v>
      </c>
      <c r="E311">
        <v>27</v>
      </c>
      <c r="F311">
        <v>6</v>
      </c>
      <c r="G311">
        <v>1988</v>
      </c>
      <c r="H311">
        <v>67</v>
      </c>
      <c r="I311" s="32">
        <f t="shared" si="57"/>
        <v>14.370705543744901</v>
      </c>
      <c r="J311" s="1">
        <v>5.9232876712328801</v>
      </c>
      <c r="K311" s="32">
        <f t="shared" si="58"/>
        <v>15.845636708601784</v>
      </c>
      <c r="L311" s="32">
        <f t="shared" si="59"/>
        <v>79.616687383848884</v>
      </c>
      <c r="M311" s="32">
        <f t="shared" si="60"/>
        <v>0.42034217319854289</v>
      </c>
      <c r="N311">
        <v>-0.82198766904184595</v>
      </c>
      <c r="O311" s="32">
        <f t="shared" si="66"/>
        <v>15.312710860286238</v>
      </c>
      <c r="P311" s="32">
        <f t="shared" si="61"/>
        <v>74.93248933296826</v>
      </c>
      <c r="Q311">
        <v>21</v>
      </c>
      <c r="R311">
        <v>88</v>
      </c>
      <c r="S311" s="1">
        <f t="shared" si="62"/>
        <v>14.371834005854058</v>
      </c>
      <c r="T311" s="1">
        <f t="shared" si="67"/>
        <v>15.312710860286238</v>
      </c>
      <c r="U311" s="1">
        <f t="shared" si="63"/>
        <v>15.949746479037595</v>
      </c>
      <c r="V311" s="1">
        <f t="shared" si="64"/>
        <v>4.7471700418915601</v>
      </c>
      <c r="W311" s="1">
        <f t="shared" si="68"/>
        <v>0.40581437955792404</v>
      </c>
      <c r="X311" s="1">
        <f t="shared" si="69"/>
        <v>-0.63703561875135684</v>
      </c>
      <c r="Y311" s="39">
        <f t="shared" si="65"/>
        <v>80.536509253180341</v>
      </c>
      <c r="AB311">
        <v>306</v>
      </c>
      <c r="AC311" s="7"/>
      <c r="AF311" s="7"/>
      <c r="AG311" s="10"/>
      <c r="AH311" s="1"/>
      <c r="AI311" s="10"/>
      <c r="AJ311" s="32"/>
      <c r="AL311" s="1"/>
    </row>
    <row r="312" spans="1:38" x14ac:dyDescent="0.3">
      <c r="A312">
        <v>79147</v>
      </c>
      <c r="B312">
        <v>10</v>
      </c>
      <c r="C312">
        <v>8</v>
      </c>
      <c r="D312">
        <v>1982</v>
      </c>
      <c r="E312">
        <v>14</v>
      </c>
      <c r="F312">
        <v>3</v>
      </c>
      <c r="G312">
        <v>1993</v>
      </c>
      <c r="H312">
        <v>65</v>
      </c>
      <c r="I312" s="32">
        <f t="shared" si="57"/>
        <v>14.124515496597098</v>
      </c>
      <c r="J312" s="1">
        <v>10.6</v>
      </c>
      <c r="K312" s="32">
        <f t="shared" si="58"/>
        <v>16.588747230931194</v>
      </c>
      <c r="L312" s="32">
        <f t="shared" si="59"/>
        <v>86.385380903863037</v>
      </c>
      <c r="M312" s="32">
        <f t="shared" si="60"/>
        <v>0.61192081847890678</v>
      </c>
      <c r="N312">
        <v>0.77443473855964839</v>
      </c>
      <c r="O312" s="32">
        <f t="shared" si="66"/>
        <v>17.194551654398968</v>
      </c>
      <c r="P312" s="32">
        <f t="shared" si="61"/>
        <v>92.107703303347535</v>
      </c>
      <c r="Q312">
        <v>29</v>
      </c>
      <c r="R312">
        <v>94</v>
      </c>
      <c r="S312" s="1">
        <f t="shared" si="62"/>
        <v>14.125614927041669</v>
      </c>
      <c r="T312" s="1">
        <f t="shared" si="67"/>
        <v>17.194551654398968</v>
      </c>
      <c r="U312" s="1">
        <f t="shared" si="63"/>
        <v>16.768067621648342</v>
      </c>
      <c r="V312" s="1">
        <f t="shared" si="64"/>
        <v>6.9998938237760804</v>
      </c>
      <c r="W312" s="1">
        <f t="shared" si="68"/>
        <v>0.18188863019123672</v>
      </c>
      <c r="X312" s="1">
        <f t="shared" si="69"/>
        <v>0.42648403275062563</v>
      </c>
      <c r="Y312" s="39">
        <f t="shared" si="65"/>
        <v>88.046752214275344</v>
      </c>
      <c r="AB312">
        <v>307</v>
      </c>
      <c r="AC312" s="7"/>
      <c r="AF312" s="7"/>
      <c r="AG312" s="10"/>
      <c r="AH312" s="1"/>
      <c r="AI312" s="10"/>
      <c r="AJ312" s="32"/>
      <c r="AL312" s="1"/>
    </row>
    <row r="313" spans="1:38" x14ac:dyDescent="0.3">
      <c r="A313">
        <v>79524</v>
      </c>
      <c r="B313">
        <v>5</v>
      </c>
      <c r="C313">
        <v>9</v>
      </c>
      <c r="D313">
        <v>1982</v>
      </c>
      <c r="E313">
        <v>18</v>
      </c>
      <c r="F313">
        <v>6</v>
      </c>
      <c r="G313">
        <v>1990</v>
      </c>
      <c r="H313">
        <v>72</v>
      </c>
      <c r="I313" s="32">
        <f t="shared" si="57"/>
        <v>14.970562748477139</v>
      </c>
      <c r="J313" s="1">
        <v>7.7890410958904104</v>
      </c>
      <c r="K313" s="32">
        <f t="shared" si="58"/>
        <v>16.627067575960858</v>
      </c>
      <c r="L313" s="32">
        <f t="shared" si="59"/>
        <v>86.741911619853084</v>
      </c>
      <c r="M313" s="32">
        <f t="shared" si="60"/>
        <v>0.50791799113483072</v>
      </c>
      <c r="N313">
        <v>-1.6629792298772372</v>
      </c>
      <c r="O313" s="32">
        <f t="shared" si="66"/>
        <v>15.441889461353782</v>
      </c>
      <c r="P313" s="32">
        <f t="shared" si="61"/>
        <v>76.054876995521028</v>
      </c>
      <c r="Q313">
        <v>47</v>
      </c>
      <c r="R313">
        <v>119</v>
      </c>
      <c r="S313" s="1">
        <f t="shared" si="62"/>
        <v>14.971762814519451</v>
      </c>
      <c r="T313" s="1">
        <f t="shared" si="67"/>
        <v>15.441889461353782</v>
      </c>
      <c r="U313" s="1">
        <f t="shared" si="63"/>
        <v>16.775701726728219</v>
      </c>
      <c r="V313" s="1">
        <f t="shared" si="64"/>
        <v>5.7673537323618449</v>
      </c>
      <c r="W313" s="1">
        <f t="shared" si="68"/>
        <v>1.7790551592632877</v>
      </c>
      <c r="X313" s="1">
        <f t="shared" si="69"/>
        <v>-1.3338122653744371</v>
      </c>
      <c r="Y313" s="39">
        <f t="shared" si="65"/>
        <v>88.118391026709233</v>
      </c>
      <c r="AB313">
        <v>308</v>
      </c>
      <c r="AC313" s="7"/>
      <c r="AF313" s="7"/>
      <c r="AG313" s="10"/>
      <c r="AH313" s="1"/>
      <c r="AI313" s="10"/>
      <c r="AJ313" s="32"/>
      <c r="AL313" s="1"/>
    </row>
    <row r="314" spans="1:38" x14ac:dyDescent="0.3">
      <c r="A314">
        <v>76800</v>
      </c>
      <c r="B314">
        <v>30</v>
      </c>
      <c r="C314">
        <v>7</v>
      </c>
      <c r="D314">
        <v>1982</v>
      </c>
      <c r="E314">
        <v>12</v>
      </c>
      <c r="F314">
        <v>6</v>
      </c>
      <c r="G314">
        <v>1985</v>
      </c>
      <c r="H314">
        <v>65</v>
      </c>
      <c r="I314" s="32">
        <f t="shared" si="57"/>
        <v>14.124515496597098</v>
      </c>
      <c r="J314" s="1">
        <v>2.8712328767123299</v>
      </c>
      <c r="K314" s="32">
        <f t="shared" si="58"/>
        <v>14.929124261908088</v>
      </c>
      <c r="L314" s="32">
        <f t="shared" si="59"/>
        <v>71.648812068781254</v>
      </c>
      <c r="M314" s="32">
        <f t="shared" si="60"/>
        <v>0.23550765027234111</v>
      </c>
      <c r="N314">
        <v>-0.70847136157681234</v>
      </c>
      <c r="O314" s="32">
        <f t="shared" si="66"/>
        <v>14.585309270611797</v>
      </c>
      <c r="P314" s="32">
        <f t="shared" si="61"/>
        <v>68.768120900460389</v>
      </c>
      <c r="Q314">
        <v>9</v>
      </c>
      <c r="R314">
        <v>74</v>
      </c>
      <c r="S314" s="1">
        <f t="shared" si="62"/>
        <v>14.125614927041669</v>
      </c>
      <c r="T314" s="1">
        <f t="shared" si="67"/>
        <v>14.585309270611797</v>
      </c>
      <c r="U314" s="1">
        <f t="shared" si="63"/>
        <v>14.977417728139773</v>
      </c>
      <c r="V314" s="1">
        <f t="shared" si="64"/>
        <v>2.6339169610092741</v>
      </c>
      <c r="W314" s="1">
        <f t="shared" si="68"/>
        <v>0.15374904246496915</v>
      </c>
      <c r="X314" s="1">
        <f t="shared" si="69"/>
        <v>-0.39210845752797674</v>
      </c>
      <c r="Y314" s="39">
        <f t="shared" si="65"/>
        <v>72.047985750020871</v>
      </c>
      <c r="AB314">
        <v>309</v>
      </c>
      <c r="AC314" s="7"/>
      <c r="AF314" s="7"/>
      <c r="AG314" s="10"/>
      <c r="AH314" s="1"/>
      <c r="AI314" s="10"/>
      <c r="AJ314" s="32"/>
      <c r="AL314" s="1"/>
    </row>
    <row r="315" spans="1:38" x14ac:dyDescent="0.3">
      <c r="A315">
        <v>77010</v>
      </c>
      <c r="B315">
        <v>31</v>
      </c>
      <c r="C315">
        <v>7</v>
      </c>
      <c r="D315">
        <v>1982</v>
      </c>
      <c r="E315">
        <v>6</v>
      </c>
      <c r="F315">
        <v>7</v>
      </c>
      <c r="G315">
        <v>1984</v>
      </c>
      <c r="H315">
        <v>49</v>
      </c>
      <c r="I315" s="32">
        <f t="shared" si="57"/>
        <v>12</v>
      </c>
      <c r="J315" s="1">
        <v>1.93424657534247</v>
      </c>
      <c r="K315" s="32">
        <f t="shared" si="58"/>
        <v>12.75560792490244</v>
      </c>
      <c r="L315" s="32">
        <f t="shared" si="59"/>
        <v>54.431991308360928</v>
      </c>
      <c r="M315" s="32">
        <f t="shared" si="60"/>
        <v>0.16613629993649537</v>
      </c>
      <c r="N315">
        <v>-0.61846094467910007</v>
      </c>
      <c r="O315" s="32">
        <f t="shared" si="66"/>
        <v>12.503524351547803</v>
      </c>
      <c r="P315" s="32">
        <f t="shared" si="61"/>
        <v>52.588054653985033</v>
      </c>
      <c r="Q315">
        <v>9</v>
      </c>
      <c r="R315">
        <v>58</v>
      </c>
      <c r="S315" s="1">
        <f t="shared" si="62"/>
        <v>12.000858058108191</v>
      </c>
      <c r="T315" s="1">
        <f t="shared" si="67"/>
        <v>12.503524351547803</v>
      </c>
      <c r="U315" s="1">
        <f t="shared" si="63"/>
        <v>12.774114608038092</v>
      </c>
      <c r="V315" s="1">
        <f t="shared" si="64"/>
        <v>1.8520939627677735</v>
      </c>
      <c r="W315" s="1">
        <f t="shared" si="68"/>
        <v>7.321908690748033E-2</v>
      </c>
      <c r="X315" s="1">
        <f t="shared" si="69"/>
        <v>-0.27059025649028889</v>
      </c>
      <c r="Y315" s="39">
        <f t="shared" si="65"/>
        <v>54.561642945217194</v>
      </c>
      <c r="AB315">
        <v>310</v>
      </c>
      <c r="AC315" s="7"/>
      <c r="AF315" s="7"/>
      <c r="AG315" s="10"/>
      <c r="AH315" s="1"/>
      <c r="AI315" s="10"/>
      <c r="AJ315" s="32"/>
      <c r="AL315" s="1"/>
    </row>
    <row r="316" spans="1:38" x14ac:dyDescent="0.3">
      <c r="A316">
        <v>76716</v>
      </c>
      <c r="B316">
        <v>30</v>
      </c>
      <c r="C316">
        <v>7</v>
      </c>
      <c r="D316">
        <v>1982</v>
      </c>
      <c r="E316">
        <v>1</v>
      </c>
      <c r="F316">
        <v>9</v>
      </c>
      <c r="G316">
        <v>1984</v>
      </c>
      <c r="H316">
        <v>66</v>
      </c>
      <c r="I316" s="32">
        <f t="shared" si="57"/>
        <v>14.248076809271922</v>
      </c>
      <c r="J316" s="1">
        <v>2.0931506849315098</v>
      </c>
      <c r="K316" s="32">
        <f t="shared" si="58"/>
        <v>14.833633315224269</v>
      </c>
      <c r="L316" s="32">
        <f t="shared" si="59"/>
        <v>70.842802647857098</v>
      </c>
      <c r="M316" s="32">
        <f t="shared" si="60"/>
        <v>0.17837548578025086</v>
      </c>
      <c r="N316">
        <v>-1.1534507393662352</v>
      </c>
      <c r="O316" s="32">
        <f t="shared" si="66"/>
        <v>14.346478907686539</v>
      </c>
      <c r="P316" s="32">
        <f t="shared" si="61"/>
        <v>66.80184316986022</v>
      </c>
      <c r="Q316">
        <v>4</v>
      </c>
      <c r="R316">
        <v>70</v>
      </c>
      <c r="S316" s="1">
        <f t="shared" si="62"/>
        <v>14.249190784284599</v>
      </c>
      <c r="T316" s="1">
        <f t="shared" si="67"/>
        <v>14.346478907686539</v>
      </c>
      <c r="U316" s="1">
        <f t="shared" si="63"/>
        <v>14.869818492951882</v>
      </c>
      <c r="V316" s="1">
        <f t="shared" si="64"/>
        <v>1.9896382475991228</v>
      </c>
      <c r="W316" s="1">
        <f t="shared" si="68"/>
        <v>0.27388432150570197</v>
      </c>
      <c r="X316" s="1">
        <f t="shared" si="69"/>
        <v>-0.52333958526534374</v>
      </c>
      <c r="Y316" s="39">
        <f t="shared" si="65"/>
        <v>71.137675252317919</v>
      </c>
      <c r="AB316">
        <v>311</v>
      </c>
      <c r="AC316" s="7"/>
      <c r="AF316" s="7"/>
      <c r="AG316" s="10"/>
      <c r="AH316" s="1"/>
      <c r="AI316" s="10"/>
      <c r="AJ316" s="32"/>
      <c r="AL316" s="1"/>
    </row>
    <row r="317" spans="1:38" x14ac:dyDescent="0.3">
      <c r="A317">
        <v>78688</v>
      </c>
      <c r="B317">
        <v>24</v>
      </c>
      <c r="C317">
        <v>7</v>
      </c>
      <c r="D317">
        <v>1982</v>
      </c>
      <c r="E317">
        <v>16</v>
      </c>
      <c r="F317">
        <v>6</v>
      </c>
      <c r="G317">
        <v>1987</v>
      </c>
      <c r="H317">
        <v>61</v>
      </c>
      <c r="I317" s="32">
        <f t="shared" si="57"/>
        <v>13.620499351813308</v>
      </c>
      <c r="J317" s="1">
        <v>4.8986301369863003</v>
      </c>
      <c r="K317" s="32">
        <f t="shared" si="58"/>
        <v>15.037930218890907</v>
      </c>
      <c r="L317" s="32">
        <f t="shared" si="59"/>
        <v>72.572766535948986</v>
      </c>
      <c r="M317" s="32">
        <f t="shared" si="60"/>
        <v>0.36461925723843691</v>
      </c>
      <c r="N317">
        <v>2.0360130292829126</v>
      </c>
      <c r="O317" s="32">
        <f t="shared" si="66"/>
        <v>16.267350445492685</v>
      </c>
      <c r="P317" s="32">
        <f t="shared" si="61"/>
        <v>83.424023074610446</v>
      </c>
      <c r="Q317">
        <v>18</v>
      </c>
      <c r="R317">
        <v>79</v>
      </c>
      <c r="S317" s="1">
        <f t="shared" si="62"/>
        <v>13.621540010438929</v>
      </c>
      <c r="T317" s="1">
        <f t="shared" si="67"/>
        <v>16.267350445492685</v>
      </c>
      <c r="U317" s="1">
        <f t="shared" si="63"/>
        <v>15.113223573011471</v>
      </c>
      <c r="V317" s="1">
        <f t="shared" si="64"/>
        <v>4.1049137238033637</v>
      </c>
      <c r="W317" s="1">
        <f t="shared" si="68"/>
        <v>1.3320088377832688</v>
      </c>
      <c r="X317" s="1">
        <f t="shared" si="69"/>
        <v>1.1541268724812141</v>
      </c>
      <c r="Y317" s="39">
        <f t="shared" si="65"/>
        <v>73.205191165362635</v>
      </c>
      <c r="AB317">
        <v>312</v>
      </c>
      <c r="AC317" s="7"/>
      <c r="AF317" s="7"/>
      <c r="AG317" s="10"/>
      <c r="AH317" s="1"/>
      <c r="AI317" s="10"/>
      <c r="AJ317" s="32"/>
      <c r="AL317" s="1"/>
    </row>
    <row r="318" spans="1:38" x14ac:dyDescent="0.3">
      <c r="A318">
        <v>22557</v>
      </c>
      <c r="B318">
        <v>24</v>
      </c>
      <c r="C318">
        <v>7</v>
      </c>
      <c r="D318">
        <v>1982</v>
      </c>
      <c r="E318">
        <v>2</v>
      </c>
      <c r="F318">
        <v>5</v>
      </c>
      <c r="G318">
        <v>1984</v>
      </c>
      <c r="H318">
        <v>146</v>
      </c>
      <c r="I318" s="32">
        <f t="shared" si="57"/>
        <v>22.166091947189145</v>
      </c>
      <c r="J318" s="1">
        <v>1.77534246575342</v>
      </c>
      <c r="K318" s="32">
        <f t="shared" si="58"/>
        <v>21.977555397490693</v>
      </c>
      <c r="L318" s="32">
        <f t="shared" si="59"/>
        <v>143.73079070993379</v>
      </c>
      <c r="M318" s="32">
        <f t="shared" si="60"/>
        <v>0.15369596278213893</v>
      </c>
      <c r="N318">
        <v>1.2285386219446082</v>
      </c>
      <c r="O318" s="32">
        <f t="shared" si="66"/>
        <v>22.459192620801375</v>
      </c>
      <c r="P318" s="32">
        <f t="shared" si="61"/>
        <v>149.5630259153661</v>
      </c>
      <c r="Q318">
        <v>6</v>
      </c>
      <c r="R318">
        <v>152</v>
      </c>
      <c r="S318" s="1">
        <f t="shared" si="62"/>
        <v>22.168233979424439</v>
      </c>
      <c r="T318" s="1">
        <f t="shared" si="67"/>
        <v>22.459192620801375</v>
      </c>
      <c r="U318" s="1">
        <f t="shared" si="63"/>
        <v>22.057346940773449</v>
      </c>
      <c r="V318" s="1">
        <f t="shared" si="64"/>
        <v>1.7124548442159837</v>
      </c>
      <c r="W318" s="1">
        <f t="shared" si="68"/>
        <v>0.16147995055710573</v>
      </c>
      <c r="X318" s="1">
        <f t="shared" si="69"/>
        <v>0.40184568002792531</v>
      </c>
      <c r="Y318" s="39">
        <f t="shared" si="65"/>
        <v>144.66340768457499</v>
      </c>
      <c r="AB318">
        <v>313</v>
      </c>
      <c r="AC318" s="7"/>
      <c r="AF318" s="7"/>
      <c r="AG318" s="10"/>
      <c r="AH318" s="1"/>
      <c r="AI318" s="10"/>
      <c r="AJ318" s="32"/>
      <c r="AL318" s="1"/>
    </row>
    <row r="319" spans="1:38" x14ac:dyDescent="0.3">
      <c r="A319">
        <v>76705</v>
      </c>
      <c r="B319">
        <v>30</v>
      </c>
      <c r="C319">
        <v>7</v>
      </c>
      <c r="D319">
        <v>1982</v>
      </c>
      <c r="E319">
        <v>7</v>
      </c>
      <c r="F319">
        <v>5</v>
      </c>
      <c r="G319">
        <v>1986</v>
      </c>
      <c r="H319">
        <v>55</v>
      </c>
      <c r="I319" s="32">
        <f t="shared" si="57"/>
        <v>12.832396974191326</v>
      </c>
      <c r="J319" s="1">
        <v>3.7726027397260302</v>
      </c>
      <c r="K319" s="32">
        <f t="shared" si="58"/>
        <v>14.093449024603382</v>
      </c>
      <c r="L319" s="32">
        <f t="shared" si="59"/>
        <v>64.749775376876869</v>
      </c>
      <c r="M319" s="32">
        <f t="shared" si="60"/>
        <v>0.29623516743259454</v>
      </c>
      <c r="N319">
        <v>2.4770997697487473</v>
      </c>
      <c r="O319" s="32">
        <f t="shared" si="66"/>
        <v>15.44167225558118</v>
      </c>
      <c r="P319" s="32">
        <f t="shared" si="61"/>
        <v>76.052982767777593</v>
      </c>
      <c r="Q319">
        <v>27</v>
      </c>
      <c r="R319">
        <v>82</v>
      </c>
      <c r="S319" s="1">
        <f t="shared" si="62"/>
        <v>12.833347581326695</v>
      </c>
      <c r="T319" s="1">
        <f t="shared" si="67"/>
        <v>15.44167225558118</v>
      </c>
      <c r="U319" s="1">
        <f t="shared" si="63"/>
        <v>14.141701095095529</v>
      </c>
      <c r="V319" s="1">
        <f t="shared" si="64"/>
        <v>3.3230371798380895</v>
      </c>
      <c r="W319" s="1">
        <f t="shared" si="68"/>
        <v>1.6899250180944096</v>
      </c>
      <c r="X319" s="1">
        <f t="shared" si="69"/>
        <v>1.2999711604856508</v>
      </c>
      <c r="Y319" s="39">
        <f t="shared" si="65"/>
        <v>65.129740269002312</v>
      </c>
      <c r="AB319">
        <v>314</v>
      </c>
      <c r="AC319" s="7"/>
      <c r="AF319" s="7"/>
      <c r="AG319" s="10"/>
      <c r="AH319" s="1"/>
      <c r="AI319" s="10"/>
      <c r="AJ319" s="32"/>
      <c r="AL319" s="1"/>
    </row>
    <row r="320" spans="1:38" x14ac:dyDescent="0.3">
      <c r="A320">
        <v>78974</v>
      </c>
      <c r="B320">
        <v>30</v>
      </c>
      <c r="C320">
        <v>7</v>
      </c>
      <c r="D320">
        <v>1982</v>
      </c>
      <c r="E320">
        <v>10</v>
      </c>
      <c r="F320">
        <v>5</v>
      </c>
      <c r="G320">
        <v>1988</v>
      </c>
      <c r="H320">
        <v>88</v>
      </c>
      <c r="I320" s="32">
        <f t="shared" si="57"/>
        <v>16.761663039293719</v>
      </c>
      <c r="J320" s="1">
        <v>5.7835616438356201</v>
      </c>
      <c r="K320" s="32">
        <f t="shared" si="58"/>
        <v>17.592949872524375</v>
      </c>
      <c r="L320" s="32">
        <f t="shared" si="59"/>
        <v>95.970921176813235</v>
      </c>
      <c r="M320" s="32">
        <f t="shared" si="60"/>
        <v>0.41308407038174577</v>
      </c>
      <c r="N320">
        <v>1.1985071068920661</v>
      </c>
      <c r="O320" s="32">
        <f t="shared" si="66"/>
        <v>18.363249765510538</v>
      </c>
      <c r="P320" s="32">
        <f t="shared" si="61"/>
        <v>103.66548525314124</v>
      </c>
      <c r="Q320">
        <v>36</v>
      </c>
      <c r="R320">
        <v>124</v>
      </c>
      <c r="S320" s="1">
        <f t="shared" si="62"/>
        <v>16.763083852596107</v>
      </c>
      <c r="T320" s="1">
        <f t="shared" si="67"/>
        <v>18.363249765510538</v>
      </c>
      <c r="U320" s="1">
        <f t="shared" si="63"/>
        <v>17.733605405330486</v>
      </c>
      <c r="V320" s="1">
        <f t="shared" si="64"/>
        <v>4.6632318934246815</v>
      </c>
      <c r="W320" s="1">
        <f t="shared" si="68"/>
        <v>0.39645202030654692</v>
      </c>
      <c r="X320" s="1">
        <f t="shared" si="69"/>
        <v>0.62964436018005188</v>
      </c>
      <c r="Y320" s="39">
        <f t="shared" si="65"/>
        <v>97.338556935964007</v>
      </c>
      <c r="AB320">
        <v>315</v>
      </c>
      <c r="AC320" s="7"/>
      <c r="AF320" s="7"/>
      <c r="AG320" s="10"/>
      <c r="AH320" s="1"/>
      <c r="AI320" s="10"/>
      <c r="AJ320" s="32"/>
      <c r="AL320" s="1"/>
    </row>
    <row r="321" spans="1:38" x14ac:dyDescent="0.3">
      <c r="A321">
        <v>22773</v>
      </c>
      <c r="B321">
        <v>28</v>
      </c>
      <c r="C321">
        <v>7</v>
      </c>
      <c r="D321">
        <v>1982</v>
      </c>
      <c r="E321">
        <v>19</v>
      </c>
      <c r="F321">
        <v>4</v>
      </c>
      <c r="G321">
        <v>1990</v>
      </c>
      <c r="H321">
        <v>57</v>
      </c>
      <c r="I321" s="32">
        <f t="shared" si="57"/>
        <v>13.0996688705415</v>
      </c>
      <c r="J321" s="1">
        <v>7.7315068493150703</v>
      </c>
      <c r="K321" s="32">
        <f t="shared" si="58"/>
        <v>15.358697939559111</v>
      </c>
      <c r="L321" s="32">
        <f t="shared" si="59"/>
        <v>75.331098539213428</v>
      </c>
      <c r="M321" s="32">
        <f t="shared" si="60"/>
        <v>0.50546037702889046</v>
      </c>
      <c r="N321">
        <v>2.02817318495363</v>
      </c>
      <c r="O321" s="32">
        <f t="shared" si="66"/>
        <v>16.80064260600852</v>
      </c>
      <c r="P321" s="32">
        <f t="shared" si="61"/>
        <v>88.366040599715703</v>
      </c>
      <c r="Q321">
        <v>36</v>
      </c>
      <c r="R321">
        <v>93</v>
      </c>
      <c r="S321" s="1">
        <f t="shared" si="62"/>
        <v>13.100649759066076</v>
      </c>
      <c r="T321" s="1">
        <f t="shared" si="67"/>
        <v>16.80064260600852</v>
      </c>
      <c r="U321" s="1">
        <f t="shared" si="63"/>
        <v>15.469288301110289</v>
      </c>
      <c r="V321" s="1">
        <f t="shared" si="64"/>
        <v>5.7385246208166061</v>
      </c>
      <c r="W321" s="1">
        <f t="shared" si="68"/>
        <v>1.7725042851710502</v>
      </c>
      <c r="X321" s="1">
        <f t="shared" si="69"/>
        <v>1.3313543048982304</v>
      </c>
      <c r="Y321" s="39">
        <f t="shared" si="65"/>
        <v>76.283000081195411</v>
      </c>
      <c r="AB321">
        <v>316</v>
      </c>
      <c r="AC321" s="7"/>
      <c r="AF321" s="7"/>
      <c r="AG321" s="10"/>
      <c r="AH321" s="1"/>
      <c r="AI321" s="10"/>
      <c r="AJ321" s="32"/>
      <c r="AL321" s="1"/>
    </row>
    <row r="322" spans="1:38" x14ac:dyDescent="0.3">
      <c r="A322">
        <v>78981</v>
      </c>
      <c r="B322">
        <v>30</v>
      </c>
      <c r="C322">
        <v>7</v>
      </c>
      <c r="D322">
        <v>1982</v>
      </c>
      <c r="E322">
        <v>21</v>
      </c>
      <c r="F322">
        <v>6</v>
      </c>
      <c r="G322">
        <v>1987</v>
      </c>
      <c r="H322">
        <v>77</v>
      </c>
      <c r="I322" s="32">
        <f t="shared" si="57"/>
        <v>15.549928774784245</v>
      </c>
      <c r="J322" s="1">
        <v>4.8958904109589003</v>
      </c>
      <c r="K322" s="32">
        <f t="shared" si="58"/>
        <v>16.538182453587314</v>
      </c>
      <c r="L322" s="32">
        <f t="shared" si="59"/>
        <v>85.916052170623146</v>
      </c>
      <c r="M322" s="32">
        <f t="shared" si="60"/>
        <v>0.36446227554351968</v>
      </c>
      <c r="N322">
        <v>0.79556912169209681</v>
      </c>
      <c r="O322" s="32">
        <f t="shared" si="66"/>
        <v>17.018473189428445</v>
      </c>
      <c r="P322" s="32">
        <f t="shared" si="61"/>
        <v>90.425580614252141</v>
      </c>
      <c r="Q322">
        <v>9</v>
      </c>
      <c r="R322">
        <v>86</v>
      </c>
      <c r="S322" s="1">
        <f t="shared" si="62"/>
        <v>15.551199132657898</v>
      </c>
      <c r="T322" s="1">
        <f t="shared" si="67"/>
        <v>17.018473189428445</v>
      </c>
      <c r="U322" s="1">
        <f t="shared" si="63"/>
        <v>16.641289391226685</v>
      </c>
      <c r="V322" s="1">
        <f t="shared" si="64"/>
        <v>4.1031111772457676</v>
      </c>
      <c r="W322" s="1">
        <f t="shared" si="68"/>
        <v>0.14226761762590556</v>
      </c>
      <c r="X322" s="1">
        <f t="shared" si="69"/>
        <v>0.3771837982017594</v>
      </c>
      <c r="Y322" s="39">
        <f t="shared" si="65"/>
        <v>86.86131797652223</v>
      </c>
      <c r="AB322">
        <v>317</v>
      </c>
      <c r="AC322" s="7"/>
      <c r="AF322" s="7"/>
      <c r="AG322" s="10"/>
      <c r="AH322" s="1"/>
      <c r="AI322" s="10"/>
      <c r="AJ322" s="32"/>
      <c r="AL322" s="1"/>
    </row>
    <row r="323" spans="1:38" x14ac:dyDescent="0.3">
      <c r="A323">
        <v>78830</v>
      </c>
      <c r="B323">
        <v>26</v>
      </c>
      <c r="C323">
        <v>7</v>
      </c>
      <c r="D323">
        <v>1982</v>
      </c>
      <c r="E323">
        <v>29</v>
      </c>
      <c r="F323">
        <v>4</v>
      </c>
      <c r="G323">
        <v>1984</v>
      </c>
      <c r="H323">
        <v>105</v>
      </c>
      <c r="I323" s="32">
        <f t="shared" si="57"/>
        <v>18.493901531919196</v>
      </c>
      <c r="J323" s="1">
        <v>1.7616438356164399</v>
      </c>
      <c r="K323" s="32">
        <f t="shared" si="58"/>
        <v>18.624025791894947</v>
      </c>
      <c r="L323" s="32">
        <f t="shared" si="59"/>
        <v>106.337609966187</v>
      </c>
      <c r="M323" s="32">
        <f t="shared" si="60"/>
        <v>0.15261399493444028</v>
      </c>
      <c r="N323">
        <v>-0.22993845050223172</v>
      </c>
      <c r="O323" s="32">
        <f t="shared" si="66"/>
        <v>18.534198401943971</v>
      </c>
      <c r="P323" s="32">
        <f t="shared" si="61"/>
        <v>105.41332600259959</v>
      </c>
      <c r="Q323">
        <v>11</v>
      </c>
      <c r="R323">
        <v>116</v>
      </c>
      <c r="S323" s="1">
        <f t="shared" si="62"/>
        <v>18.495545018051363</v>
      </c>
      <c r="T323" s="1">
        <f t="shared" si="67"/>
        <v>18.534198401943971</v>
      </c>
      <c r="U323" s="1">
        <f t="shared" si="63"/>
        <v>18.680660852743703</v>
      </c>
      <c r="V323" s="1">
        <f t="shared" si="64"/>
        <v>1.7003178754263899</v>
      </c>
      <c r="W323" s="1">
        <f t="shared" si="68"/>
        <v>2.1451249494263747E-2</v>
      </c>
      <c r="X323" s="1">
        <f t="shared" si="69"/>
        <v>-0.14646245079973141</v>
      </c>
      <c r="Y323" s="39">
        <f t="shared" si="65"/>
        <v>106.90518863369368</v>
      </c>
      <c r="AB323">
        <v>318</v>
      </c>
      <c r="AC323" s="7"/>
      <c r="AF323" s="7"/>
      <c r="AG323" s="10"/>
      <c r="AH323" s="1"/>
      <c r="AI323" s="10"/>
      <c r="AJ323" s="32"/>
      <c r="AL323" s="1"/>
    </row>
    <row r="324" spans="1:38" x14ac:dyDescent="0.3">
      <c r="A324">
        <v>79430</v>
      </c>
      <c r="B324">
        <v>3</v>
      </c>
      <c r="C324">
        <v>9</v>
      </c>
      <c r="D324">
        <v>1982</v>
      </c>
      <c r="E324">
        <v>21</v>
      </c>
      <c r="F324">
        <v>6</v>
      </c>
      <c r="G324">
        <v>1983</v>
      </c>
      <c r="H324">
        <v>82</v>
      </c>
      <c r="I324" s="32">
        <f t="shared" si="57"/>
        <v>16.110770276274835</v>
      </c>
      <c r="J324" s="1">
        <v>0.79726027397260302</v>
      </c>
      <c r="K324" s="32">
        <f t="shared" si="58"/>
        <v>16.266608695064928</v>
      </c>
      <c r="L324" s="32">
        <f t="shared" si="59"/>
        <v>83.417248304655402</v>
      </c>
      <c r="M324" s="32">
        <f t="shared" si="60"/>
        <v>7.2491913394994625E-2</v>
      </c>
      <c r="N324">
        <v>1.6338117347913794</v>
      </c>
      <c r="O324" s="32">
        <f t="shared" si="66"/>
        <v>16.706501433115065</v>
      </c>
      <c r="P324" s="32">
        <f t="shared" si="61"/>
        <v>87.483298966783991</v>
      </c>
      <c r="Q324">
        <v>3</v>
      </c>
      <c r="R324">
        <v>85</v>
      </c>
      <c r="S324" s="1">
        <f t="shared" si="62"/>
        <v>16.112109704694813</v>
      </c>
      <c r="T324" s="1">
        <f t="shared" si="67"/>
        <v>16.706501433115065</v>
      </c>
      <c r="U324" s="1">
        <f t="shared" si="63"/>
        <v>16.28649561697198</v>
      </c>
      <c r="V324" s="1">
        <f t="shared" si="64"/>
        <v>0.8048745589266697</v>
      </c>
      <c r="W324" s="1">
        <f t="shared" si="68"/>
        <v>0.17640488559401918</v>
      </c>
      <c r="X324" s="1">
        <f t="shared" si="69"/>
        <v>0.4200058161430853</v>
      </c>
      <c r="Y324" s="39">
        <f t="shared" si="65"/>
        <v>83.586536048781625</v>
      </c>
      <c r="AB324">
        <v>319</v>
      </c>
      <c r="AC324" s="7"/>
      <c r="AF324" s="7"/>
      <c r="AG324" s="10"/>
      <c r="AH324" s="1"/>
      <c r="AI324" s="10"/>
      <c r="AJ324" s="32"/>
      <c r="AL324" s="1"/>
    </row>
    <row r="325" spans="1:38" x14ac:dyDescent="0.3">
      <c r="A325">
        <v>78920</v>
      </c>
      <c r="B325">
        <v>28</v>
      </c>
      <c r="C325">
        <v>7</v>
      </c>
      <c r="D325">
        <v>1982</v>
      </c>
      <c r="E325">
        <v>29</v>
      </c>
      <c r="F325">
        <v>5</v>
      </c>
      <c r="G325">
        <v>1984</v>
      </c>
      <c r="H325">
        <v>84</v>
      </c>
      <c r="I325" s="32">
        <f t="shared" si="57"/>
        <v>16.330302779823359</v>
      </c>
      <c r="J325" s="1">
        <v>1.83835616438356</v>
      </c>
      <c r="K325" s="32">
        <f t="shared" si="58"/>
        <v>16.660524317361194</v>
      </c>
      <c r="L325" s="32">
        <f t="shared" si="59"/>
        <v>87.053791949707119</v>
      </c>
      <c r="M325" s="32">
        <f t="shared" si="60"/>
        <v>0.15865347774023775</v>
      </c>
      <c r="N325">
        <v>1.8971968529513106</v>
      </c>
      <c r="O325" s="32">
        <f t="shared" si="66"/>
        <v>17.41620303942311</v>
      </c>
      <c r="P325" s="32">
        <f t="shared" si="61"/>
        <v>94.247235117025795</v>
      </c>
      <c r="Q325">
        <v>10</v>
      </c>
      <c r="R325">
        <v>94</v>
      </c>
      <c r="S325" s="1">
        <f t="shared" si="62"/>
        <v>16.331669512789063</v>
      </c>
      <c r="T325" s="1">
        <f t="shared" si="67"/>
        <v>17.41620303942311</v>
      </c>
      <c r="U325" s="1">
        <f t="shared" si="63"/>
        <v>16.705662296135955</v>
      </c>
      <c r="V325" s="1">
        <f t="shared" si="64"/>
        <v>1.7680816522283369</v>
      </c>
      <c r="W325" s="1">
        <f t="shared" si="68"/>
        <v>0.50486814787106193</v>
      </c>
      <c r="X325" s="1">
        <f t="shared" si="69"/>
        <v>0.71054074328715444</v>
      </c>
      <c r="Y325" s="39">
        <f t="shared" si="65"/>
        <v>87.462229983704603</v>
      </c>
      <c r="AB325">
        <v>320</v>
      </c>
      <c r="AC325" s="7"/>
      <c r="AF325" s="7"/>
      <c r="AG325" s="10"/>
      <c r="AH325" s="1"/>
      <c r="AI325" s="10"/>
      <c r="AJ325" s="32"/>
      <c r="AL325" s="1"/>
    </row>
    <row r="326" spans="1:38" x14ac:dyDescent="0.3">
      <c r="A326">
        <v>76778</v>
      </c>
      <c r="B326">
        <v>30</v>
      </c>
      <c r="C326">
        <v>7</v>
      </c>
      <c r="D326">
        <v>1982</v>
      </c>
      <c r="E326">
        <v>20</v>
      </c>
      <c r="F326">
        <v>6</v>
      </c>
      <c r="G326">
        <v>1987</v>
      </c>
      <c r="H326">
        <v>74</v>
      </c>
      <c r="I326" s="32">
        <f t="shared" si="57"/>
        <v>15.204650534085253</v>
      </c>
      <c r="J326" s="1">
        <v>4.8931506849315101</v>
      </c>
      <c r="K326" s="32">
        <f t="shared" si="58"/>
        <v>16.26905792633708</v>
      </c>
      <c r="L326" s="32">
        <f t="shared" si="59"/>
        <v>83.43961937896492</v>
      </c>
      <c r="M326" s="32">
        <f t="shared" si="60"/>
        <v>0.36430524972126055</v>
      </c>
      <c r="N326">
        <v>1.2656619219342247</v>
      </c>
      <c r="O326" s="32">
        <f t="shared" si="66"/>
        <v>17.032982409640283</v>
      </c>
      <c r="P326" s="32">
        <f t="shared" si="61"/>
        <v>90.563604851419115</v>
      </c>
      <c r="Q326">
        <v>13</v>
      </c>
      <c r="R326">
        <v>87</v>
      </c>
      <c r="S326" s="1">
        <f t="shared" si="62"/>
        <v>15.205878868967202</v>
      </c>
      <c r="T326" s="1">
        <f t="shared" si="67"/>
        <v>17.032982409640283</v>
      </c>
      <c r="U326" s="1">
        <f t="shared" si="63"/>
        <v>16.367125846664123</v>
      </c>
      <c r="V326" s="1">
        <f t="shared" si="64"/>
        <v>4.101308160863649</v>
      </c>
      <c r="W326" s="1">
        <f t="shared" si="68"/>
        <v>0.44336496245842449</v>
      </c>
      <c r="X326" s="1">
        <f t="shared" si="69"/>
        <v>0.66585656297615969</v>
      </c>
      <c r="Y326" s="39">
        <f t="shared" si="65"/>
        <v>84.325236337058882</v>
      </c>
      <c r="AB326">
        <v>321</v>
      </c>
      <c r="AC326" s="7"/>
      <c r="AF326" s="7"/>
      <c r="AG326" s="10"/>
      <c r="AH326" s="1"/>
      <c r="AI326" s="10"/>
      <c r="AJ326" s="32"/>
      <c r="AL326" s="1"/>
    </row>
    <row r="327" spans="1:38" x14ac:dyDescent="0.3">
      <c r="A327">
        <v>76762</v>
      </c>
      <c r="B327">
        <v>30</v>
      </c>
      <c r="C327">
        <v>7</v>
      </c>
      <c r="D327">
        <v>1982</v>
      </c>
      <c r="E327">
        <v>24</v>
      </c>
      <c r="F327">
        <v>4</v>
      </c>
      <c r="G327">
        <v>1985</v>
      </c>
      <c r="H327">
        <v>75</v>
      </c>
      <c r="I327" s="32">
        <f t="shared" si="57"/>
        <v>15.320508075688775</v>
      </c>
      <c r="J327" s="1">
        <v>2.7369863013698601</v>
      </c>
      <c r="K327" s="32">
        <f t="shared" si="58"/>
        <v>15.93342754189127</v>
      </c>
      <c r="L327" s="32">
        <f t="shared" si="59"/>
        <v>80.401955850066088</v>
      </c>
      <c r="M327" s="32">
        <f t="shared" si="60"/>
        <v>0.22597301189261812</v>
      </c>
      <c r="N327">
        <v>1.2161058293713722</v>
      </c>
      <c r="O327" s="32">
        <f t="shared" si="66"/>
        <v>16.511523133179494</v>
      </c>
      <c r="P327" s="32">
        <f t="shared" si="61"/>
        <v>85.669122177559899</v>
      </c>
      <c r="Q327">
        <v>13</v>
      </c>
      <c r="R327">
        <v>88</v>
      </c>
      <c r="S327" s="1">
        <f t="shared" si="62"/>
        <v>15.321750468212322</v>
      </c>
      <c r="T327" s="1">
        <f t="shared" si="67"/>
        <v>16.511523133179494</v>
      </c>
      <c r="U327" s="1">
        <f t="shared" si="63"/>
        <v>15.990266851266737</v>
      </c>
      <c r="V327" s="1">
        <f t="shared" si="64"/>
        <v>2.5261324193749153</v>
      </c>
      <c r="W327" s="1">
        <f t="shared" si="68"/>
        <v>0.27170811143351192</v>
      </c>
      <c r="X327" s="1">
        <f t="shared" si="69"/>
        <v>0.5212562819127573</v>
      </c>
      <c r="Y327" s="39">
        <f t="shared" si="65"/>
        <v>80.900513163846526</v>
      </c>
      <c r="AB327">
        <v>322</v>
      </c>
      <c r="AC327" s="7"/>
      <c r="AF327" s="7"/>
      <c r="AG327" s="10"/>
      <c r="AH327" s="1"/>
      <c r="AI327" s="10"/>
      <c r="AJ327" s="32"/>
      <c r="AL327" s="1"/>
    </row>
    <row r="328" spans="1:38" x14ac:dyDescent="0.3">
      <c r="A328" s="7"/>
      <c r="D328" s="7"/>
      <c r="E328" s="10"/>
      <c r="F328" s="1"/>
      <c r="G328" s="10"/>
      <c r="H328" s="32"/>
      <c r="AB328">
        <v>323</v>
      </c>
      <c r="AC328" s="7"/>
      <c r="AF328" s="7"/>
      <c r="AG328" s="10"/>
      <c r="AH328" s="1"/>
      <c r="AI328" s="10"/>
      <c r="AJ328" s="32"/>
      <c r="AL328" s="1"/>
    </row>
    <row r="329" spans="1:38" x14ac:dyDescent="0.3">
      <c r="AB329">
        <v>324</v>
      </c>
      <c r="AC329" s="7"/>
      <c r="AF329" s="7"/>
      <c r="AG329" s="10"/>
      <c r="AH329" s="1"/>
      <c r="AI329" s="10"/>
      <c r="AJ329" s="32"/>
      <c r="AL329" s="1"/>
    </row>
    <row r="330" spans="1:38" x14ac:dyDescent="0.3">
      <c r="AB330">
        <v>325</v>
      </c>
      <c r="AC330" s="7"/>
      <c r="AF330" s="7"/>
      <c r="AG330" s="10"/>
      <c r="AH330" s="1"/>
      <c r="AI330" s="10"/>
      <c r="AJ330" s="32"/>
      <c r="AL330" s="1"/>
    </row>
    <row r="331" spans="1:38" x14ac:dyDescent="0.3">
      <c r="AB331">
        <v>326</v>
      </c>
      <c r="AC331" s="7"/>
      <c r="AF331" s="7"/>
      <c r="AG331" s="10"/>
      <c r="AH331" s="1"/>
      <c r="AI331" s="10"/>
      <c r="AJ331" s="32"/>
      <c r="AL331" s="1"/>
    </row>
    <row r="332" spans="1:38" x14ac:dyDescent="0.3">
      <c r="AB332">
        <v>327</v>
      </c>
      <c r="AC332" s="7"/>
      <c r="AF332" s="7"/>
      <c r="AG332" s="10"/>
      <c r="AH332" s="1"/>
      <c r="AI332" s="10"/>
      <c r="AJ332" s="32"/>
      <c r="AL332" s="1"/>
    </row>
    <row r="333" spans="1:38" x14ac:dyDescent="0.3">
      <c r="AB333">
        <v>328</v>
      </c>
      <c r="AC333" s="7"/>
      <c r="AF333" s="7"/>
      <c r="AG333" s="10"/>
      <c r="AH333" s="1"/>
      <c r="AI333" s="10"/>
      <c r="AJ333" s="32"/>
      <c r="AL333" s="1"/>
    </row>
    <row r="334" spans="1:38" x14ac:dyDescent="0.3">
      <c r="AB334">
        <v>329</v>
      </c>
      <c r="AC334" s="7"/>
      <c r="AF334" s="7"/>
      <c r="AG334" s="10"/>
      <c r="AH334" s="1"/>
      <c r="AI334" s="10"/>
      <c r="AJ334" s="32"/>
      <c r="AL334" s="1"/>
    </row>
    <row r="335" spans="1:38" x14ac:dyDescent="0.3">
      <c r="AB335">
        <v>330</v>
      </c>
      <c r="AC335" s="7"/>
      <c r="AF335" s="7"/>
      <c r="AG335" s="10"/>
      <c r="AH335" s="1"/>
      <c r="AI335" s="10"/>
      <c r="AJ335" s="32"/>
      <c r="AL335" s="1"/>
    </row>
    <row r="336" spans="1:38" x14ac:dyDescent="0.3">
      <c r="AB336">
        <v>331</v>
      </c>
      <c r="AC336" s="7"/>
      <c r="AF336" s="7"/>
      <c r="AG336" s="10"/>
      <c r="AH336" s="1"/>
      <c r="AI336" s="10"/>
      <c r="AJ336" s="32"/>
      <c r="AL336" s="1"/>
    </row>
    <row r="337" spans="28:38" x14ac:dyDescent="0.3">
      <c r="AB337">
        <v>332</v>
      </c>
      <c r="AC337" s="7"/>
      <c r="AF337" s="7"/>
      <c r="AG337" s="10"/>
      <c r="AH337" s="1"/>
      <c r="AI337" s="10"/>
      <c r="AJ337" s="32"/>
      <c r="AL337" s="1"/>
    </row>
    <row r="338" spans="28:38" x14ac:dyDescent="0.3">
      <c r="AB338">
        <v>333</v>
      </c>
      <c r="AC338" s="7"/>
      <c r="AF338" s="7"/>
      <c r="AG338" s="10"/>
      <c r="AH338" s="1"/>
      <c r="AI338" s="10"/>
      <c r="AJ338" s="32"/>
      <c r="AL338" s="1"/>
    </row>
    <row r="339" spans="28:38" x14ac:dyDescent="0.3">
      <c r="AB339">
        <v>334</v>
      </c>
      <c r="AC339" s="7"/>
      <c r="AF339" s="7"/>
      <c r="AG339" s="10"/>
      <c r="AH339" s="1"/>
      <c r="AI339" s="10"/>
      <c r="AJ339" s="32"/>
      <c r="AL339" s="1"/>
    </row>
    <row r="340" spans="28:38" x14ac:dyDescent="0.3">
      <c r="AB340">
        <v>335</v>
      </c>
      <c r="AC340" s="7"/>
      <c r="AF340" s="7"/>
      <c r="AG340" s="10"/>
      <c r="AH340" s="1"/>
      <c r="AI340" s="10"/>
      <c r="AJ340" s="32"/>
      <c r="AL340" s="1"/>
    </row>
    <row r="341" spans="28:38" x14ac:dyDescent="0.3">
      <c r="AB341">
        <v>336</v>
      </c>
      <c r="AC341" s="7"/>
      <c r="AF341" s="7"/>
      <c r="AG341" s="10"/>
      <c r="AH341" s="1"/>
      <c r="AI341" s="10"/>
      <c r="AJ341" s="32"/>
      <c r="AL341" s="1"/>
    </row>
    <row r="342" spans="28:38" x14ac:dyDescent="0.3">
      <c r="AB342">
        <v>337</v>
      </c>
      <c r="AC342" s="7"/>
      <c r="AF342" s="7"/>
      <c r="AG342" s="10"/>
      <c r="AH342" s="1"/>
      <c r="AI342" s="10"/>
      <c r="AJ342" s="32"/>
      <c r="AL342" s="1"/>
    </row>
    <row r="343" spans="28:38" x14ac:dyDescent="0.3">
      <c r="AB343">
        <v>338</v>
      </c>
      <c r="AC343" s="7"/>
      <c r="AF343" s="7"/>
      <c r="AG343" s="10"/>
      <c r="AH343" s="1"/>
      <c r="AI343" s="10"/>
      <c r="AJ343" s="32"/>
      <c r="AL343" s="1"/>
    </row>
    <row r="344" spans="28:38" x14ac:dyDescent="0.3">
      <c r="AB344">
        <v>339</v>
      </c>
      <c r="AC344" s="7"/>
      <c r="AF344" s="7"/>
      <c r="AG344" s="10"/>
      <c r="AH344" s="1"/>
      <c r="AI344" s="10"/>
      <c r="AJ344" s="32"/>
      <c r="AL344" s="1"/>
    </row>
    <row r="345" spans="28:38" x14ac:dyDescent="0.3">
      <c r="AB345">
        <v>340</v>
      </c>
      <c r="AC345" s="7"/>
      <c r="AF345" s="7"/>
      <c r="AG345" s="10"/>
      <c r="AH345" s="1"/>
      <c r="AI345" s="10"/>
      <c r="AJ345" s="32"/>
      <c r="AL345" s="1"/>
    </row>
    <row r="346" spans="28:38" x14ac:dyDescent="0.3">
      <c r="AB346">
        <v>341</v>
      </c>
      <c r="AC346" s="7"/>
      <c r="AF346" s="7"/>
      <c r="AG346" s="10"/>
      <c r="AH346" s="1"/>
      <c r="AI346" s="10"/>
      <c r="AJ346" s="32"/>
      <c r="AL346" s="1"/>
    </row>
    <row r="347" spans="28:38" x14ac:dyDescent="0.3">
      <c r="AB347">
        <v>342</v>
      </c>
      <c r="AC347" s="7"/>
      <c r="AF347" s="7"/>
      <c r="AG347" s="10"/>
      <c r="AH347" s="1"/>
      <c r="AI347" s="10"/>
      <c r="AJ347" s="32"/>
      <c r="AL347" s="1"/>
    </row>
    <row r="348" spans="28:38" x14ac:dyDescent="0.3">
      <c r="AB348">
        <v>343</v>
      </c>
      <c r="AC348" s="7"/>
      <c r="AF348" s="7"/>
      <c r="AG348" s="10"/>
      <c r="AH348" s="1"/>
      <c r="AI348" s="10"/>
      <c r="AJ348" s="32"/>
      <c r="AL348" s="1"/>
    </row>
    <row r="349" spans="28:38" x14ac:dyDescent="0.3">
      <c r="AB349">
        <v>344</v>
      </c>
      <c r="AC349" s="7"/>
      <c r="AF349" s="7"/>
      <c r="AG349" s="10"/>
      <c r="AH349" s="1"/>
      <c r="AI349" s="10"/>
      <c r="AJ349" s="32"/>
      <c r="AL349" s="1"/>
    </row>
    <row r="350" spans="28:38" x14ac:dyDescent="0.3">
      <c r="AB350">
        <v>345</v>
      </c>
      <c r="AC350" s="7"/>
      <c r="AF350" s="7"/>
      <c r="AG350" s="10"/>
      <c r="AH350" s="1"/>
      <c r="AI350" s="10"/>
      <c r="AJ350" s="32"/>
      <c r="AL350" s="1"/>
    </row>
    <row r="351" spans="28:38" x14ac:dyDescent="0.3">
      <c r="AB351">
        <v>346</v>
      </c>
      <c r="AC351" s="7"/>
      <c r="AF351" s="7"/>
      <c r="AG351" s="10"/>
      <c r="AH351" s="1"/>
      <c r="AI351" s="10"/>
      <c r="AJ351" s="32"/>
      <c r="AL351" s="1"/>
    </row>
    <row r="352" spans="28:38" x14ac:dyDescent="0.3">
      <c r="AB352">
        <v>347</v>
      </c>
      <c r="AC352" s="7"/>
      <c r="AF352" s="7"/>
      <c r="AG352" s="10"/>
      <c r="AH352" s="1"/>
      <c r="AI352" s="10"/>
      <c r="AJ352" s="32"/>
      <c r="AL352" s="1"/>
    </row>
    <row r="353" spans="28:38" x14ac:dyDescent="0.3">
      <c r="AB353">
        <v>348</v>
      </c>
      <c r="AC353" s="7"/>
      <c r="AF353" s="7"/>
      <c r="AG353" s="10"/>
      <c r="AH353" s="1"/>
      <c r="AI353" s="10"/>
      <c r="AJ353" s="32"/>
      <c r="AL353" s="1"/>
    </row>
    <row r="354" spans="28:38" x14ac:dyDescent="0.3">
      <c r="AB354">
        <v>349</v>
      </c>
      <c r="AC354" s="7"/>
      <c r="AF354" s="7"/>
      <c r="AG354" s="10"/>
      <c r="AH354" s="1"/>
      <c r="AI354" s="10"/>
      <c r="AJ354" s="32"/>
      <c r="AL354" s="1"/>
    </row>
    <row r="355" spans="28:38" x14ac:dyDescent="0.3">
      <c r="AB355">
        <v>350</v>
      </c>
      <c r="AC355" s="7"/>
      <c r="AF355" s="7"/>
      <c r="AG355" s="10"/>
      <c r="AH355" s="1"/>
      <c r="AI355" s="10"/>
      <c r="AJ355" s="32"/>
      <c r="AL355" s="1"/>
    </row>
    <row r="356" spans="28:38" x14ac:dyDescent="0.3">
      <c r="AB356">
        <v>351</v>
      </c>
      <c r="AC356" s="7"/>
      <c r="AF356" s="7"/>
      <c r="AG356" s="10"/>
      <c r="AH356" s="1"/>
      <c r="AI356" s="10"/>
      <c r="AJ356" s="32"/>
      <c r="AL356" s="1"/>
    </row>
    <row r="357" spans="28:38" x14ac:dyDescent="0.3">
      <c r="AB357">
        <v>352</v>
      </c>
      <c r="AC357" s="7"/>
      <c r="AF357" s="7"/>
      <c r="AG357" s="10"/>
      <c r="AH357" s="1"/>
      <c r="AI357" s="10"/>
      <c r="AJ357" s="32"/>
      <c r="AL357" s="1"/>
    </row>
    <row r="358" spans="28:38" x14ac:dyDescent="0.3">
      <c r="AB358">
        <v>353</v>
      </c>
      <c r="AC358" s="7"/>
      <c r="AF358" s="7"/>
      <c r="AG358" s="10"/>
      <c r="AH358" s="1"/>
      <c r="AI358" s="10"/>
      <c r="AJ358" s="32"/>
      <c r="AL358" s="1"/>
    </row>
    <row r="359" spans="28:38" x14ac:dyDescent="0.3">
      <c r="AB359">
        <v>354</v>
      </c>
      <c r="AC359" s="7"/>
      <c r="AF359" s="7"/>
      <c r="AG359" s="10"/>
      <c r="AH359" s="1"/>
      <c r="AI359" s="10"/>
      <c r="AJ359" s="32"/>
      <c r="AL359" s="1"/>
    </row>
    <row r="360" spans="28:38" x14ac:dyDescent="0.3">
      <c r="AB360">
        <v>355</v>
      </c>
      <c r="AC360" s="7"/>
      <c r="AF360" s="7"/>
      <c r="AG360" s="10"/>
      <c r="AH360" s="1"/>
      <c r="AI360" s="10"/>
      <c r="AJ360" s="32"/>
      <c r="AL360" s="1"/>
    </row>
    <row r="361" spans="28:38" x14ac:dyDescent="0.3">
      <c r="AB361">
        <v>356</v>
      </c>
      <c r="AC361" s="7"/>
      <c r="AF361" s="7"/>
      <c r="AG361" s="10"/>
      <c r="AH361" s="1"/>
      <c r="AI361" s="10"/>
      <c r="AJ361" s="32"/>
      <c r="AL361" s="1"/>
    </row>
    <row r="362" spans="28:38" x14ac:dyDescent="0.3">
      <c r="AB362">
        <v>357</v>
      </c>
      <c r="AC362" s="7"/>
      <c r="AF362" s="7"/>
      <c r="AG362" s="10"/>
      <c r="AH362" s="1"/>
      <c r="AI362" s="10"/>
      <c r="AJ362" s="32"/>
      <c r="AL362" s="1"/>
    </row>
    <row r="363" spans="28:38" x14ac:dyDescent="0.3">
      <c r="AB363">
        <v>358</v>
      </c>
      <c r="AC363" s="7"/>
      <c r="AF363" s="7"/>
      <c r="AG363" s="10"/>
      <c r="AH363" s="1"/>
      <c r="AI363" s="10"/>
      <c r="AJ363" s="32"/>
      <c r="AL363" s="1"/>
    </row>
    <row r="364" spans="28:38" x14ac:dyDescent="0.3">
      <c r="AB364">
        <v>359</v>
      </c>
      <c r="AC364" s="7"/>
      <c r="AF364" s="7"/>
      <c r="AG364" s="10"/>
      <c r="AH364" s="1"/>
      <c r="AI364" s="10"/>
      <c r="AJ364" s="32"/>
      <c r="AL364" s="1"/>
    </row>
    <row r="365" spans="28:38" x14ac:dyDescent="0.3">
      <c r="AB365">
        <v>360</v>
      </c>
      <c r="AC365" s="7"/>
      <c r="AF365" s="7"/>
      <c r="AG365" s="10"/>
      <c r="AH365" s="1"/>
      <c r="AI365" s="10"/>
      <c r="AJ365" s="32"/>
      <c r="AL365" s="1"/>
    </row>
    <row r="366" spans="28:38" x14ac:dyDescent="0.3">
      <c r="AB366">
        <v>361</v>
      </c>
      <c r="AC366" s="7"/>
      <c r="AF366" s="7"/>
      <c r="AG366" s="10"/>
      <c r="AH366" s="1"/>
      <c r="AI366" s="10"/>
      <c r="AJ366" s="32"/>
      <c r="AL366" s="1"/>
    </row>
    <row r="367" spans="28:38" x14ac:dyDescent="0.3">
      <c r="AB367">
        <v>362</v>
      </c>
      <c r="AC367" s="7"/>
      <c r="AF367" s="7"/>
      <c r="AG367" s="10"/>
      <c r="AH367" s="1"/>
      <c r="AI367" s="10"/>
      <c r="AJ367" s="32"/>
      <c r="AL367" s="1"/>
    </row>
    <row r="368" spans="28:38" x14ac:dyDescent="0.3">
      <c r="AB368">
        <v>363</v>
      </c>
      <c r="AC368" s="7"/>
      <c r="AF368" s="7"/>
      <c r="AG368" s="10"/>
      <c r="AH368" s="1"/>
      <c r="AI368" s="10"/>
      <c r="AJ368" s="32"/>
      <c r="AL368" s="1"/>
    </row>
    <row r="369" spans="28:38" x14ac:dyDescent="0.3">
      <c r="AB369">
        <v>364</v>
      </c>
      <c r="AC369" s="7"/>
      <c r="AF369" s="7"/>
      <c r="AG369" s="10"/>
      <c r="AH369" s="1"/>
      <c r="AI369" s="10"/>
      <c r="AJ369" s="32"/>
      <c r="AL369" s="1"/>
    </row>
    <row r="370" spans="28:38" x14ac:dyDescent="0.3">
      <c r="AB370">
        <v>365</v>
      </c>
      <c r="AC370" s="7"/>
      <c r="AF370" s="7"/>
      <c r="AG370" s="10"/>
      <c r="AH370" s="1"/>
      <c r="AI370" s="10"/>
      <c r="AJ370" s="32"/>
      <c r="AL370" s="1"/>
    </row>
    <row r="371" spans="28:38" x14ac:dyDescent="0.3">
      <c r="AB371">
        <v>366</v>
      </c>
      <c r="AC371" s="7"/>
      <c r="AF371" s="7"/>
      <c r="AG371" s="10"/>
      <c r="AH371" s="1"/>
      <c r="AI371" s="10"/>
      <c r="AJ371" s="32"/>
      <c r="AL371" s="1"/>
    </row>
    <row r="372" spans="28:38" x14ac:dyDescent="0.3">
      <c r="AB372">
        <v>367</v>
      </c>
      <c r="AC372" s="7"/>
      <c r="AF372" s="7"/>
      <c r="AG372" s="10"/>
      <c r="AH372" s="1"/>
      <c r="AI372" s="10"/>
      <c r="AJ372" s="32"/>
      <c r="AL372" s="1"/>
    </row>
    <row r="373" spans="28:38" x14ac:dyDescent="0.3">
      <c r="AB373">
        <v>368</v>
      </c>
      <c r="AC373" s="7"/>
      <c r="AF373" s="7"/>
      <c r="AG373" s="10"/>
      <c r="AH373" s="1"/>
      <c r="AI373" s="10"/>
      <c r="AJ373" s="32"/>
      <c r="AL373" s="1"/>
    </row>
    <row r="374" spans="28:38" x14ac:dyDescent="0.3">
      <c r="AB374">
        <v>369</v>
      </c>
      <c r="AC374" s="7"/>
      <c r="AF374" s="7"/>
      <c r="AG374" s="10"/>
      <c r="AH374" s="1"/>
      <c r="AI374" s="10"/>
      <c r="AJ374" s="32"/>
      <c r="AL374" s="1"/>
    </row>
    <row r="375" spans="28:38" x14ac:dyDescent="0.3">
      <c r="AB375">
        <v>370</v>
      </c>
      <c r="AC375" s="7"/>
      <c r="AF375" s="7"/>
      <c r="AG375" s="10"/>
      <c r="AH375" s="1"/>
      <c r="AI375" s="10"/>
      <c r="AJ375" s="32"/>
      <c r="AL375" s="1"/>
    </row>
    <row r="376" spans="28:38" x14ac:dyDescent="0.3">
      <c r="AB376">
        <v>371</v>
      </c>
      <c r="AC376" s="7"/>
      <c r="AF376" s="7"/>
      <c r="AG376" s="10"/>
      <c r="AH376" s="1"/>
      <c r="AI376" s="10"/>
      <c r="AJ376" s="32"/>
      <c r="AL376" s="1"/>
    </row>
    <row r="377" spans="28:38" x14ac:dyDescent="0.3">
      <c r="AB377">
        <v>372</v>
      </c>
      <c r="AC377" s="7"/>
      <c r="AF377" s="7"/>
      <c r="AG377" s="10"/>
      <c r="AH377" s="1"/>
      <c r="AI377" s="10"/>
      <c r="AJ377" s="32"/>
      <c r="AL377" s="1"/>
    </row>
    <row r="378" spans="28:38" x14ac:dyDescent="0.3">
      <c r="AB378">
        <v>373</v>
      </c>
      <c r="AC378" s="7"/>
      <c r="AF378" s="7"/>
      <c r="AG378" s="10"/>
      <c r="AH378" s="1"/>
      <c r="AI378" s="10"/>
      <c r="AJ378" s="32"/>
      <c r="AL378" s="1"/>
    </row>
    <row r="379" spans="28:38" x14ac:dyDescent="0.3">
      <c r="AB379">
        <v>374</v>
      </c>
      <c r="AC379" s="7"/>
      <c r="AF379" s="7"/>
      <c r="AG379" s="10"/>
      <c r="AH379" s="1"/>
      <c r="AI379" s="10"/>
      <c r="AJ379" s="32"/>
      <c r="AL379" s="1"/>
    </row>
    <row r="380" spans="28:38" x14ac:dyDescent="0.3">
      <c r="AB380">
        <v>375</v>
      </c>
      <c r="AC380" s="7"/>
      <c r="AF380" s="7"/>
      <c r="AG380" s="10"/>
      <c r="AH380" s="1"/>
      <c r="AI380" s="10"/>
      <c r="AJ380" s="32"/>
      <c r="AL380" s="1"/>
    </row>
    <row r="381" spans="28:38" x14ac:dyDescent="0.3">
      <c r="AB381">
        <v>376</v>
      </c>
      <c r="AC381" s="7"/>
      <c r="AF381" s="7"/>
      <c r="AG381" s="10"/>
      <c r="AH381" s="1"/>
      <c r="AI381" s="10"/>
      <c r="AJ381" s="32"/>
      <c r="AL381" s="1"/>
    </row>
    <row r="382" spans="28:38" x14ac:dyDescent="0.3">
      <c r="AB382">
        <v>377</v>
      </c>
      <c r="AC382" s="7"/>
      <c r="AF382" s="7"/>
      <c r="AG382" s="10"/>
      <c r="AH382" s="1"/>
      <c r="AI382" s="10"/>
      <c r="AJ382" s="32"/>
      <c r="AL382" s="1"/>
    </row>
    <row r="383" spans="28:38" x14ac:dyDescent="0.3">
      <c r="AB383">
        <v>378</v>
      </c>
      <c r="AC383" s="7"/>
      <c r="AF383" s="7"/>
      <c r="AG383" s="10"/>
      <c r="AH383" s="1"/>
      <c r="AI383" s="10"/>
      <c r="AJ383" s="32"/>
      <c r="AL383" s="1"/>
    </row>
    <row r="384" spans="28:38" x14ac:dyDescent="0.3">
      <c r="AB384">
        <v>379</v>
      </c>
      <c r="AC384" s="7"/>
      <c r="AF384" s="7"/>
      <c r="AG384" s="10"/>
      <c r="AH384" s="1"/>
      <c r="AI384" s="10"/>
      <c r="AJ384" s="32"/>
      <c r="AL384" s="1"/>
    </row>
    <row r="385" spans="28:38" x14ac:dyDescent="0.3">
      <c r="AB385">
        <v>380</v>
      </c>
      <c r="AC385" s="7"/>
      <c r="AF385" s="7"/>
      <c r="AG385" s="10"/>
      <c r="AH385" s="1"/>
      <c r="AI385" s="10"/>
      <c r="AJ385" s="32"/>
      <c r="AL385" s="1"/>
    </row>
    <row r="386" spans="28:38" x14ac:dyDescent="0.3">
      <c r="AB386">
        <v>381</v>
      </c>
      <c r="AC386" s="7"/>
      <c r="AF386" s="7"/>
      <c r="AG386" s="10"/>
      <c r="AH386" s="1"/>
      <c r="AI386" s="10"/>
      <c r="AJ386" s="32"/>
      <c r="AL386" s="1"/>
    </row>
    <row r="387" spans="28:38" x14ac:dyDescent="0.3">
      <c r="AB387">
        <v>382</v>
      </c>
      <c r="AC387" s="7"/>
      <c r="AF387" s="7"/>
      <c r="AG387" s="10"/>
      <c r="AH387" s="1"/>
      <c r="AI387" s="10"/>
      <c r="AJ387" s="32"/>
      <c r="AL387" s="1"/>
    </row>
    <row r="388" spans="28:38" x14ac:dyDescent="0.3">
      <c r="AB388">
        <v>383</v>
      </c>
      <c r="AC388" s="7"/>
      <c r="AF388" s="7"/>
      <c r="AG388" s="10"/>
      <c r="AH388" s="1"/>
      <c r="AI388" s="10"/>
      <c r="AJ388" s="32"/>
      <c r="AL388" s="1"/>
    </row>
    <row r="389" spans="28:38" x14ac:dyDescent="0.3">
      <c r="AB389">
        <v>384</v>
      </c>
      <c r="AC389" s="7"/>
      <c r="AF389" s="7"/>
      <c r="AG389" s="10"/>
      <c r="AH389" s="1"/>
      <c r="AI389" s="10"/>
      <c r="AJ389" s="32"/>
      <c r="AL389" s="1"/>
    </row>
    <row r="390" spans="28:38" x14ac:dyDescent="0.3">
      <c r="AB390">
        <v>385</v>
      </c>
      <c r="AC390" s="7"/>
      <c r="AF390" s="7"/>
      <c r="AG390" s="10"/>
      <c r="AH390" s="1"/>
      <c r="AI390" s="10"/>
      <c r="AJ390" s="32"/>
      <c r="AL390" s="1"/>
    </row>
    <row r="391" spans="28:38" x14ac:dyDescent="0.3">
      <c r="AB391">
        <v>386</v>
      </c>
      <c r="AC391" s="7"/>
      <c r="AF391" s="7"/>
      <c r="AG391" s="10"/>
      <c r="AH391" s="1"/>
      <c r="AI391" s="10"/>
      <c r="AJ391" s="32"/>
      <c r="AL391" s="1"/>
    </row>
    <row r="392" spans="28:38" x14ac:dyDescent="0.3">
      <c r="AB392">
        <v>387</v>
      </c>
      <c r="AC392" s="7"/>
      <c r="AF392" s="7"/>
      <c r="AG392" s="10"/>
      <c r="AH392" s="1"/>
      <c r="AI392" s="10"/>
      <c r="AJ392" s="32"/>
      <c r="AL392" s="1"/>
    </row>
    <row r="393" spans="28:38" x14ac:dyDescent="0.3">
      <c r="AB393">
        <v>388</v>
      </c>
      <c r="AC393" s="7"/>
      <c r="AF393" s="7"/>
      <c r="AG393" s="10"/>
      <c r="AH393" s="1"/>
      <c r="AI393" s="10"/>
      <c r="AJ393" s="32"/>
      <c r="AL393" s="1"/>
    </row>
    <row r="394" spans="28:38" x14ac:dyDescent="0.3">
      <c r="AB394">
        <v>389</v>
      </c>
      <c r="AC394" s="7"/>
      <c r="AF394" s="7"/>
      <c r="AG394" s="10"/>
      <c r="AH394" s="1"/>
      <c r="AI394" s="10"/>
      <c r="AJ394" s="32"/>
      <c r="AL394" s="1"/>
    </row>
    <row r="395" spans="28:38" x14ac:dyDescent="0.3">
      <c r="AB395">
        <v>390</v>
      </c>
      <c r="AC395" s="7"/>
      <c r="AF395" s="7"/>
      <c r="AG395" s="10"/>
      <c r="AH395" s="1"/>
      <c r="AI395" s="10"/>
      <c r="AJ395" s="32"/>
      <c r="AL395" s="1"/>
    </row>
    <row r="396" spans="28:38" x14ac:dyDescent="0.3">
      <c r="AB396">
        <v>391</v>
      </c>
      <c r="AC396" s="7"/>
      <c r="AF396" s="7"/>
      <c r="AG396" s="10"/>
      <c r="AH396" s="1"/>
      <c r="AI396" s="10"/>
      <c r="AJ396" s="32"/>
      <c r="AL396" s="1"/>
    </row>
    <row r="397" spans="28:38" x14ac:dyDescent="0.3">
      <c r="AB397">
        <v>392</v>
      </c>
      <c r="AC397" s="7"/>
      <c r="AF397" s="7"/>
      <c r="AG397" s="10"/>
      <c r="AH397" s="1"/>
      <c r="AI397" s="10"/>
      <c r="AJ397" s="32"/>
      <c r="AL397" s="1"/>
    </row>
    <row r="398" spans="28:38" x14ac:dyDescent="0.3">
      <c r="AB398">
        <v>393</v>
      </c>
      <c r="AC398" s="7"/>
      <c r="AF398" s="7"/>
      <c r="AG398" s="10"/>
      <c r="AH398" s="1"/>
      <c r="AI398" s="10"/>
      <c r="AJ398" s="32"/>
      <c r="AL398" s="1"/>
    </row>
    <row r="399" spans="28:38" x14ac:dyDescent="0.3">
      <c r="AB399">
        <v>394</v>
      </c>
      <c r="AC399" s="7"/>
      <c r="AF399" s="7"/>
      <c r="AG399" s="10"/>
      <c r="AH399" s="1"/>
      <c r="AI399" s="10"/>
      <c r="AJ399" s="32"/>
      <c r="AL399" s="1"/>
    </row>
    <row r="400" spans="28:38" x14ac:dyDescent="0.3">
      <c r="AB400">
        <v>395</v>
      </c>
      <c r="AC400" s="7"/>
      <c r="AF400" s="7"/>
      <c r="AG400" s="10"/>
      <c r="AH400" s="1"/>
      <c r="AI400" s="10"/>
      <c r="AJ400" s="32"/>
      <c r="AL400" s="1"/>
    </row>
    <row r="401" spans="28:38" x14ac:dyDescent="0.3">
      <c r="AB401">
        <v>396</v>
      </c>
      <c r="AC401" s="7"/>
      <c r="AF401" s="7"/>
      <c r="AG401" s="10"/>
      <c r="AH401" s="1"/>
      <c r="AI401" s="10"/>
      <c r="AJ401" s="32"/>
      <c r="AL401" s="1"/>
    </row>
    <row r="402" spans="28:38" x14ac:dyDescent="0.3">
      <c r="AB402">
        <v>397</v>
      </c>
      <c r="AC402" s="7"/>
      <c r="AF402" s="7"/>
      <c r="AG402" s="10"/>
      <c r="AH402" s="1"/>
      <c r="AI402" s="10"/>
      <c r="AJ402" s="32"/>
      <c r="AL402" s="1"/>
    </row>
    <row r="403" spans="28:38" x14ac:dyDescent="0.3">
      <c r="AB403">
        <v>398</v>
      </c>
      <c r="AC403" s="7"/>
      <c r="AF403" s="7"/>
      <c r="AG403" s="10"/>
      <c r="AH403" s="1"/>
      <c r="AI403" s="10"/>
      <c r="AJ403" s="32"/>
      <c r="AL403" s="1"/>
    </row>
    <row r="404" spans="28:38" x14ac:dyDescent="0.3">
      <c r="AB404">
        <v>399</v>
      </c>
      <c r="AC404" s="7"/>
      <c r="AF404" s="7"/>
      <c r="AG404" s="10"/>
      <c r="AH404" s="1"/>
      <c r="AI404" s="10"/>
      <c r="AJ404" s="32"/>
      <c r="AL404" s="1"/>
    </row>
    <row r="405" spans="28:38" x14ac:dyDescent="0.3">
      <c r="AB405">
        <v>400</v>
      </c>
      <c r="AC405" s="7"/>
      <c r="AF405" s="7"/>
      <c r="AG405" s="10"/>
      <c r="AH405" s="1"/>
      <c r="AI405" s="10"/>
      <c r="AJ405" s="32"/>
      <c r="AL405" s="1"/>
    </row>
    <row r="406" spans="28:38" x14ac:dyDescent="0.3">
      <c r="AB406">
        <v>401</v>
      </c>
      <c r="AC406" s="7"/>
      <c r="AF406" s="7"/>
      <c r="AG406" s="10"/>
      <c r="AH406" s="1"/>
      <c r="AI406" s="10"/>
      <c r="AJ406" s="32"/>
      <c r="AL406" s="1"/>
    </row>
    <row r="407" spans="28:38" x14ac:dyDescent="0.3">
      <c r="AB407">
        <v>402</v>
      </c>
      <c r="AC407" s="7"/>
      <c r="AF407" s="7"/>
      <c r="AG407" s="10"/>
      <c r="AH407" s="1"/>
      <c r="AI407" s="10"/>
      <c r="AJ407" s="32"/>
      <c r="AL407" s="1"/>
    </row>
    <row r="408" spans="28:38" x14ac:dyDescent="0.3">
      <c r="AB408">
        <v>403</v>
      </c>
      <c r="AC408" s="7"/>
      <c r="AF408" s="7"/>
      <c r="AG408" s="10"/>
      <c r="AH408" s="1"/>
      <c r="AI408" s="10"/>
      <c r="AJ408" s="32"/>
      <c r="AL408" s="1"/>
    </row>
    <row r="409" spans="28:38" x14ac:dyDescent="0.3">
      <c r="AB409">
        <v>404</v>
      </c>
      <c r="AC409" s="7"/>
      <c r="AF409" s="7"/>
      <c r="AG409" s="10"/>
      <c r="AH409" s="1"/>
      <c r="AI409" s="10"/>
      <c r="AJ409" s="32"/>
      <c r="AL409" s="1"/>
    </row>
    <row r="410" spans="28:38" x14ac:dyDescent="0.3">
      <c r="AB410">
        <v>405</v>
      </c>
      <c r="AC410" s="7"/>
      <c r="AF410" s="7"/>
      <c r="AG410" s="10"/>
      <c r="AH410" s="1"/>
      <c r="AI410" s="10"/>
      <c r="AJ410" s="32"/>
      <c r="AL410" s="1"/>
    </row>
    <row r="411" spans="28:38" x14ac:dyDescent="0.3">
      <c r="AB411">
        <v>406</v>
      </c>
      <c r="AC411" s="7"/>
      <c r="AF411" s="7"/>
      <c r="AG411" s="10"/>
      <c r="AH411" s="1"/>
      <c r="AI411" s="10"/>
      <c r="AJ411" s="32"/>
      <c r="AL411" s="1"/>
    </row>
    <row r="412" spans="28:38" x14ac:dyDescent="0.3">
      <c r="AB412">
        <v>407</v>
      </c>
      <c r="AC412" s="7"/>
      <c r="AF412" s="7"/>
      <c r="AG412" s="10"/>
      <c r="AH412" s="1"/>
      <c r="AI412" s="10"/>
      <c r="AJ412" s="32"/>
      <c r="AL412" s="1"/>
    </row>
    <row r="413" spans="28:38" x14ac:dyDescent="0.3">
      <c r="AB413">
        <v>408</v>
      </c>
      <c r="AC413" s="7"/>
      <c r="AF413" s="7"/>
      <c r="AG413" s="10"/>
      <c r="AH413" s="1"/>
      <c r="AI413" s="10"/>
      <c r="AJ413" s="32"/>
      <c r="AL413" s="1"/>
    </row>
    <row r="414" spans="28:38" x14ac:dyDescent="0.3">
      <c r="AB414">
        <v>409</v>
      </c>
      <c r="AC414" s="7"/>
      <c r="AF414" s="7"/>
      <c r="AG414" s="10"/>
      <c r="AH414" s="1"/>
      <c r="AI414" s="10"/>
      <c r="AJ414" s="32"/>
      <c r="AL414" s="1"/>
    </row>
    <row r="415" spans="28:38" x14ac:dyDescent="0.3">
      <c r="AB415">
        <v>410</v>
      </c>
      <c r="AC415" s="7"/>
      <c r="AF415" s="7"/>
      <c r="AG415" s="10"/>
      <c r="AH415" s="1"/>
      <c r="AI415" s="10"/>
      <c r="AJ415" s="32"/>
      <c r="AL415" s="1"/>
    </row>
    <row r="416" spans="28:38" x14ac:dyDescent="0.3">
      <c r="AB416">
        <v>411</v>
      </c>
      <c r="AC416" s="7"/>
      <c r="AF416" s="7"/>
      <c r="AG416" s="10"/>
      <c r="AH416" s="1"/>
      <c r="AI416" s="10"/>
      <c r="AJ416" s="32"/>
      <c r="AL416" s="1"/>
    </row>
    <row r="417" spans="28:38" x14ac:dyDescent="0.3">
      <c r="AB417">
        <v>412</v>
      </c>
      <c r="AC417" s="7"/>
      <c r="AF417" s="7"/>
      <c r="AG417" s="10"/>
      <c r="AH417" s="1"/>
      <c r="AI417" s="10"/>
      <c r="AJ417" s="32"/>
      <c r="AL417" s="1"/>
    </row>
    <row r="418" spans="28:38" x14ac:dyDescent="0.3">
      <c r="AB418">
        <v>413</v>
      </c>
      <c r="AC418" s="7"/>
      <c r="AF418" s="7"/>
      <c r="AG418" s="10"/>
      <c r="AH418" s="1"/>
      <c r="AI418" s="10"/>
      <c r="AJ418" s="32"/>
      <c r="AL418" s="1"/>
    </row>
    <row r="419" spans="28:38" x14ac:dyDescent="0.3">
      <c r="AB419">
        <v>414</v>
      </c>
      <c r="AC419" s="7"/>
      <c r="AF419" s="7"/>
      <c r="AG419" s="10"/>
      <c r="AH419" s="1"/>
      <c r="AI419" s="10"/>
      <c r="AJ419" s="32"/>
      <c r="AL419" s="1"/>
    </row>
    <row r="420" spans="28:38" x14ac:dyDescent="0.3">
      <c r="AB420">
        <v>415</v>
      </c>
      <c r="AC420" s="7"/>
      <c r="AF420" s="7"/>
      <c r="AG420" s="10"/>
      <c r="AH420" s="1"/>
      <c r="AI420" s="10"/>
      <c r="AJ420" s="32"/>
      <c r="AL420" s="1"/>
    </row>
    <row r="421" spans="28:38" x14ac:dyDescent="0.3">
      <c r="AB421">
        <v>416</v>
      </c>
      <c r="AC421" s="7"/>
      <c r="AF421" s="7"/>
      <c r="AG421" s="10"/>
      <c r="AH421" s="1"/>
      <c r="AI421" s="10"/>
      <c r="AJ421" s="32"/>
      <c r="AL421" s="1"/>
    </row>
    <row r="422" spans="28:38" x14ac:dyDescent="0.3">
      <c r="AB422">
        <v>417</v>
      </c>
      <c r="AC422" s="7"/>
      <c r="AF422" s="7"/>
      <c r="AG422" s="10"/>
      <c r="AH422" s="1"/>
      <c r="AI422" s="10"/>
      <c r="AJ422" s="32"/>
      <c r="AL422" s="1"/>
    </row>
    <row r="423" spans="28:38" x14ac:dyDescent="0.3">
      <c r="AB423">
        <v>418</v>
      </c>
      <c r="AC423" s="7"/>
      <c r="AF423" s="7"/>
      <c r="AG423" s="10"/>
      <c r="AH423" s="1"/>
      <c r="AI423" s="10"/>
      <c r="AJ423" s="32"/>
      <c r="AL423" s="1"/>
    </row>
    <row r="424" spans="28:38" x14ac:dyDescent="0.3">
      <c r="AB424">
        <v>419</v>
      </c>
      <c r="AC424" s="7"/>
      <c r="AF424" s="7"/>
      <c r="AG424" s="10"/>
      <c r="AH424" s="1"/>
      <c r="AI424" s="10"/>
      <c r="AJ424" s="32"/>
      <c r="AL424" s="1"/>
    </row>
    <row r="425" spans="28:38" x14ac:dyDescent="0.3">
      <c r="AB425">
        <v>420</v>
      </c>
      <c r="AC425" s="7"/>
      <c r="AF425" s="7"/>
      <c r="AG425" s="10"/>
      <c r="AH425" s="1"/>
      <c r="AI425" s="10"/>
      <c r="AJ425" s="32"/>
      <c r="AL425" s="1"/>
    </row>
    <row r="426" spans="28:38" x14ac:dyDescent="0.3">
      <c r="AB426">
        <v>421</v>
      </c>
      <c r="AC426" s="7"/>
      <c r="AF426" s="7"/>
      <c r="AG426" s="10"/>
      <c r="AH426" s="1"/>
      <c r="AI426" s="10"/>
      <c r="AJ426" s="32"/>
      <c r="AL426" s="1"/>
    </row>
    <row r="427" spans="28:38" x14ac:dyDescent="0.3">
      <c r="AB427">
        <v>422</v>
      </c>
      <c r="AC427" s="7"/>
      <c r="AF427" s="7"/>
      <c r="AG427" s="10"/>
      <c r="AH427" s="1"/>
      <c r="AI427" s="10"/>
      <c r="AJ427" s="32"/>
      <c r="AL427" s="1"/>
    </row>
    <row r="428" spans="28:38" x14ac:dyDescent="0.3">
      <c r="AB428">
        <v>423</v>
      </c>
      <c r="AC428" s="7"/>
      <c r="AF428" s="7"/>
      <c r="AG428" s="10"/>
      <c r="AH428" s="1"/>
      <c r="AI428" s="10"/>
      <c r="AJ428" s="32"/>
      <c r="AL428" s="1"/>
    </row>
    <row r="429" spans="28:38" x14ac:dyDescent="0.3">
      <c r="AB429">
        <v>424</v>
      </c>
      <c r="AC429" s="7"/>
      <c r="AF429" s="7"/>
      <c r="AG429" s="10"/>
      <c r="AH429" s="1"/>
      <c r="AI429" s="10"/>
      <c r="AJ429" s="32"/>
      <c r="AL429" s="1"/>
    </row>
    <row r="430" spans="28:38" x14ac:dyDescent="0.3">
      <c r="AB430">
        <v>425</v>
      </c>
      <c r="AC430" s="7"/>
      <c r="AF430" s="7"/>
      <c r="AG430" s="10"/>
      <c r="AH430" s="1"/>
      <c r="AI430" s="10"/>
      <c r="AJ430" s="32"/>
      <c r="AL430" s="1"/>
    </row>
    <row r="431" spans="28:38" x14ac:dyDescent="0.3">
      <c r="AB431">
        <v>426</v>
      </c>
      <c r="AC431" s="7"/>
      <c r="AF431" s="7"/>
      <c r="AG431" s="10"/>
      <c r="AH431" s="1"/>
      <c r="AI431" s="10"/>
      <c r="AJ431" s="32"/>
      <c r="AL431" s="1"/>
    </row>
    <row r="432" spans="28:38" x14ac:dyDescent="0.3">
      <c r="AB432">
        <v>427</v>
      </c>
      <c r="AC432" s="7"/>
      <c r="AF432" s="7"/>
      <c r="AG432" s="10"/>
      <c r="AH432" s="1"/>
      <c r="AI432" s="10"/>
      <c r="AJ432" s="32"/>
      <c r="AL432" s="1"/>
    </row>
    <row r="433" spans="28:38" x14ac:dyDescent="0.3">
      <c r="AB433">
        <v>428</v>
      </c>
      <c r="AC433" s="7"/>
      <c r="AF433" s="7"/>
      <c r="AG433" s="10"/>
      <c r="AH433" s="1"/>
      <c r="AI433" s="10"/>
      <c r="AJ433" s="32"/>
      <c r="AL433" s="1"/>
    </row>
    <row r="434" spans="28:38" x14ac:dyDescent="0.3">
      <c r="AB434">
        <v>429</v>
      </c>
      <c r="AC434" s="7"/>
      <c r="AF434" s="7"/>
      <c r="AG434" s="10"/>
      <c r="AH434" s="1"/>
      <c r="AI434" s="10"/>
      <c r="AJ434" s="32"/>
      <c r="AL434" s="1"/>
    </row>
    <row r="435" spans="28:38" x14ac:dyDescent="0.3">
      <c r="AB435">
        <v>430</v>
      </c>
      <c r="AC435" s="7"/>
      <c r="AF435" s="7"/>
      <c r="AG435" s="10"/>
      <c r="AH435" s="1"/>
      <c r="AI435" s="10"/>
      <c r="AJ435" s="32"/>
      <c r="AL435" s="1"/>
    </row>
    <row r="436" spans="28:38" x14ac:dyDescent="0.3">
      <c r="AB436">
        <v>431</v>
      </c>
      <c r="AC436" s="7"/>
      <c r="AF436" s="7"/>
      <c r="AG436" s="10"/>
      <c r="AH436" s="1"/>
      <c r="AI436" s="10"/>
      <c r="AJ436" s="32"/>
      <c r="AL436" s="1"/>
    </row>
    <row r="437" spans="28:38" x14ac:dyDescent="0.3">
      <c r="AB437">
        <v>432</v>
      </c>
      <c r="AC437" s="7"/>
      <c r="AF437" s="7"/>
      <c r="AG437" s="10"/>
      <c r="AH437" s="1"/>
      <c r="AI437" s="10"/>
      <c r="AJ437" s="32"/>
      <c r="AL437" s="1"/>
    </row>
    <row r="438" spans="28:38" x14ac:dyDescent="0.3">
      <c r="AB438">
        <v>433</v>
      </c>
      <c r="AC438" s="7"/>
      <c r="AF438" s="7"/>
      <c r="AG438" s="10"/>
      <c r="AH438" s="1"/>
      <c r="AI438" s="10"/>
      <c r="AJ438" s="32"/>
      <c r="AL438" s="1"/>
    </row>
    <row r="439" spans="28:38" x14ac:dyDescent="0.3">
      <c r="AB439">
        <v>434</v>
      </c>
      <c r="AC439" s="7"/>
      <c r="AF439" s="7"/>
      <c r="AG439" s="10"/>
      <c r="AH439" s="1"/>
      <c r="AI439" s="10"/>
      <c r="AJ439" s="32"/>
      <c r="AL439" s="1"/>
    </row>
    <row r="440" spans="28:38" x14ac:dyDescent="0.3">
      <c r="AB440">
        <v>435</v>
      </c>
      <c r="AC440" s="7"/>
      <c r="AF440" s="7"/>
      <c r="AG440" s="10"/>
      <c r="AH440" s="1"/>
      <c r="AI440" s="10"/>
      <c r="AJ440" s="32"/>
      <c r="AL440" s="1"/>
    </row>
    <row r="441" spans="28:38" x14ac:dyDescent="0.3">
      <c r="AB441">
        <v>436</v>
      </c>
      <c r="AC441" s="7"/>
      <c r="AF441" s="7"/>
      <c r="AG441" s="10"/>
      <c r="AH441" s="1"/>
      <c r="AI441" s="10"/>
      <c r="AJ441" s="32"/>
      <c r="AL441" s="1"/>
    </row>
    <row r="442" spans="28:38" x14ac:dyDescent="0.3">
      <c r="AB442">
        <v>437</v>
      </c>
      <c r="AC442" s="7"/>
      <c r="AF442" s="7"/>
      <c r="AG442" s="10"/>
      <c r="AH442" s="1"/>
      <c r="AI442" s="10"/>
      <c r="AJ442" s="32"/>
      <c r="AL442" s="1"/>
    </row>
    <row r="443" spans="28:38" x14ac:dyDescent="0.3">
      <c r="AB443">
        <v>438</v>
      </c>
      <c r="AC443" s="7"/>
      <c r="AF443" s="7"/>
      <c r="AG443" s="10"/>
      <c r="AH443" s="1"/>
      <c r="AI443" s="10"/>
      <c r="AJ443" s="32"/>
      <c r="AL443" s="1"/>
    </row>
    <row r="444" spans="28:38" x14ac:dyDescent="0.3">
      <c r="AB444">
        <v>439</v>
      </c>
      <c r="AC444" s="7"/>
      <c r="AF444" s="7"/>
      <c r="AG444" s="10"/>
      <c r="AH444" s="1"/>
      <c r="AI444" s="10"/>
      <c r="AJ444" s="32"/>
      <c r="AL444" s="1"/>
    </row>
    <row r="445" spans="28:38" x14ac:dyDescent="0.3">
      <c r="AB445">
        <v>440</v>
      </c>
      <c r="AC445" s="7"/>
      <c r="AF445" s="7"/>
      <c r="AG445" s="10"/>
      <c r="AH445" s="1"/>
      <c r="AI445" s="10"/>
      <c r="AJ445" s="32"/>
      <c r="AL445" s="1"/>
    </row>
    <row r="446" spans="28:38" x14ac:dyDescent="0.3">
      <c r="AB446">
        <v>441</v>
      </c>
      <c r="AC446" s="7"/>
      <c r="AF446" s="7"/>
      <c r="AG446" s="10"/>
      <c r="AH446" s="1"/>
      <c r="AI446" s="10"/>
      <c r="AJ446" s="32"/>
      <c r="AL446" s="1"/>
    </row>
    <row r="447" spans="28:38" x14ac:dyDescent="0.3">
      <c r="AB447">
        <v>442</v>
      </c>
      <c r="AC447" s="7"/>
      <c r="AF447" s="7"/>
      <c r="AG447" s="10"/>
      <c r="AH447" s="1"/>
      <c r="AI447" s="10"/>
      <c r="AJ447" s="32"/>
      <c r="AL447" s="1"/>
    </row>
    <row r="448" spans="28:38" x14ac:dyDescent="0.3">
      <c r="AB448">
        <v>443</v>
      </c>
      <c r="AC448" s="7"/>
      <c r="AF448" s="7"/>
      <c r="AG448" s="10"/>
      <c r="AH448" s="1"/>
      <c r="AI448" s="10"/>
      <c r="AJ448" s="32"/>
      <c r="AL448" s="1"/>
    </row>
    <row r="449" spans="28:38" x14ac:dyDescent="0.3">
      <c r="AB449">
        <v>444</v>
      </c>
      <c r="AC449" s="7"/>
      <c r="AF449" s="7"/>
      <c r="AG449" s="10"/>
      <c r="AH449" s="1"/>
      <c r="AI449" s="10"/>
      <c r="AJ449" s="32"/>
      <c r="AL449" s="1"/>
    </row>
    <row r="450" spans="28:38" x14ac:dyDescent="0.3">
      <c r="AB450">
        <v>445</v>
      </c>
      <c r="AC450" s="7"/>
      <c r="AF450" s="7"/>
      <c r="AG450" s="10"/>
      <c r="AH450" s="1"/>
      <c r="AI450" s="10"/>
      <c r="AJ450" s="32"/>
      <c r="AL450" s="1"/>
    </row>
    <row r="451" spans="28:38" x14ac:dyDescent="0.3">
      <c r="AB451">
        <v>446</v>
      </c>
      <c r="AC451" s="7"/>
      <c r="AF451" s="7"/>
      <c r="AG451" s="10"/>
      <c r="AH451" s="1"/>
      <c r="AI451" s="10"/>
      <c r="AJ451" s="32"/>
      <c r="AL451" s="1"/>
    </row>
    <row r="452" spans="28:38" x14ac:dyDescent="0.3">
      <c r="AB452">
        <v>447</v>
      </c>
      <c r="AC452" s="7"/>
      <c r="AF452" s="7"/>
      <c r="AG452" s="10"/>
      <c r="AH452" s="1"/>
      <c r="AI452" s="10"/>
      <c r="AJ452" s="32"/>
      <c r="AL452" s="1"/>
    </row>
    <row r="453" spans="28:38" x14ac:dyDescent="0.3">
      <c r="AB453">
        <v>448</v>
      </c>
      <c r="AC453" s="7"/>
      <c r="AF453" s="7"/>
      <c r="AG453" s="10"/>
      <c r="AH453" s="1"/>
      <c r="AI453" s="10"/>
      <c r="AJ453" s="32"/>
      <c r="AL453" s="1"/>
    </row>
    <row r="454" spans="28:38" x14ac:dyDescent="0.3">
      <c r="AB454">
        <v>449</v>
      </c>
      <c r="AC454" s="7"/>
      <c r="AF454" s="7"/>
      <c r="AG454" s="10"/>
      <c r="AH454" s="1"/>
      <c r="AI454" s="10"/>
      <c r="AJ454" s="32"/>
      <c r="AL454" s="1"/>
    </row>
    <row r="455" spans="28:38" x14ac:dyDescent="0.3">
      <c r="AB455">
        <v>450</v>
      </c>
      <c r="AC455" s="7"/>
      <c r="AF455" s="7"/>
      <c r="AG455" s="10"/>
      <c r="AH455" s="1"/>
      <c r="AI455" s="10"/>
      <c r="AJ455" s="32"/>
      <c r="AL455" s="1"/>
    </row>
    <row r="456" spans="28:38" x14ac:dyDescent="0.3">
      <c r="AB456">
        <v>451</v>
      </c>
      <c r="AC456" s="7"/>
      <c r="AF456" s="7"/>
      <c r="AG456" s="10"/>
      <c r="AH456" s="1"/>
      <c r="AI456" s="10"/>
      <c r="AJ456" s="32"/>
      <c r="AL456" s="1"/>
    </row>
    <row r="457" spans="28:38" x14ac:dyDescent="0.3">
      <c r="AB457">
        <v>452</v>
      </c>
      <c r="AC457" s="7"/>
      <c r="AF457" s="7"/>
      <c r="AG457" s="10"/>
      <c r="AH457" s="1"/>
      <c r="AI457" s="10"/>
      <c r="AJ457" s="32"/>
      <c r="AL457" s="1"/>
    </row>
    <row r="458" spans="28:38" x14ac:dyDescent="0.3">
      <c r="AB458">
        <v>453</v>
      </c>
      <c r="AC458" s="7"/>
      <c r="AF458" s="7"/>
      <c r="AG458" s="10"/>
      <c r="AH458" s="1"/>
      <c r="AI458" s="10"/>
      <c r="AJ458" s="32"/>
      <c r="AL458" s="1"/>
    </row>
    <row r="459" spans="28:38" x14ac:dyDescent="0.3">
      <c r="AB459">
        <v>454</v>
      </c>
      <c r="AC459" s="7"/>
      <c r="AF459" s="7"/>
      <c r="AG459" s="10"/>
      <c r="AH459" s="1"/>
      <c r="AI459" s="10"/>
      <c r="AJ459" s="32"/>
      <c r="AL459" s="1"/>
    </row>
    <row r="460" spans="28:38" x14ac:dyDescent="0.3">
      <c r="AB460">
        <v>455</v>
      </c>
      <c r="AC460" s="7"/>
      <c r="AF460" s="7"/>
      <c r="AG460" s="10"/>
      <c r="AH460" s="1"/>
      <c r="AI460" s="10"/>
      <c r="AJ460" s="32"/>
      <c r="AL460" s="1"/>
    </row>
    <row r="461" spans="28:38" x14ac:dyDescent="0.3">
      <c r="AB461">
        <v>456</v>
      </c>
      <c r="AC461" s="7"/>
      <c r="AF461" s="7"/>
      <c r="AG461" s="10"/>
      <c r="AH461" s="1"/>
      <c r="AI461" s="10"/>
      <c r="AJ461" s="32"/>
      <c r="AL461" s="1"/>
    </row>
    <row r="462" spans="28:38" x14ac:dyDescent="0.3">
      <c r="AB462">
        <v>457</v>
      </c>
      <c r="AC462" s="7"/>
      <c r="AF462" s="7"/>
      <c r="AG462" s="10"/>
      <c r="AH462" s="1"/>
      <c r="AI462" s="10"/>
      <c r="AJ462" s="32"/>
      <c r="AL462" s="1"/>
    </row>
    <row r="463" spans="28:38" x14ac:dyDescent="0.3">
      <c r="AB463">
        <v>458</v>
      </c>
      <c r="AC463" s="7"/>
      <c r="AF463" s="7"/>
      <c r="AG463" s="10"/>
      <c r="AH463" s="1"/>
      <c r="AI463" s="10"/>
      <c r="AJ463" s="32"/>
      <c r="AL463" s="1"/>
    </row>
    <row r="464" spans="28:38" x14ac:dyDescent="0.3">
      <c r="AB464">
        <v>459</v>
      </c>
      <c r="AC464" s="7"/>
      <c r="AF464" s="7"/>
      <c r="AG464" s="10"/>
      <c r="AH464" s="1"/>
      <c r="AI464" s="10"/>
      <c r="AJ464" s="32"/>
      <c r="AL464" s="1"/>
    </row>
    <row r="465" spans="28:38" x14ac:dyDescent="0.3">
      <c r="AB465">
        <v>460</v>
      </c>
      <c r="AC465" s="7"/>
      <c r="AF465" s="7"/>
      <c r="AG465" s="10"/>
      <c r="AH465" s="1"/>
      <c r="AI465" s="10"/>
      <c r="AJ465" s="32"/>
      <c r="AL465" s="1"/>
    </row>
    <row r="466" spans="28:38" x14ac:dyDescent="0.3">
      <c r="AB466">
        <v>461</v>
      </c>
      <c r="AC466" s="7"/>
      <c r="AF466" s="7"/>
      <c r="AG466" s="10"/>
      <c r="AH466" s="1"/>
      <c r="AI466" s="10"/>
      <c r="AJ466" s="32"/>
      <c r="AL466" s="1"/>
    </row>
    <row r="467" spans="28:38" x14ac:dyDescent="0.3">
      <c r="AB467">
        <v>462</v>
      </c>
      <c r="AC467" s="7"/>
      <c r="AF467" s="7"/>
      <c r="AG467" s="10"/>
      <c r="AH467" s="1"/>
      <c r="AI467" s="10"/>
      <c r="AJ467" s="32"/>
      <c r="AL467" s="1"/>
    </row>
    <row r="468" spans="28:38" x14ac:dyDescent="0.3">
      <c r="AB468">
        <v>463</v>
      </c>
      <c r="AC468" s="7"/>
      <c r="AF468" s="7"/>
      <c r="AG468" s="10"/>
      <c r="AH468" s="1"/>
      <c r="AI468" s="10"/>
      <c r="AJ468" s="32"/>
      <c r="AL468" s="1"/>
    </row>
    <row r="469" spans="28:38" x14ac:dyDescent="0.3">
      <c r="AB469">
        <v>464</v>
      </c>
      <c r="AC469" s="7"/>
      <c r="AF469" s="7"/>
      <c r="AG469" s="10"/>
      <c r="AH469" s="1"/>
      <c r="AI469" s="10"/>
      <c r="AJ469" s="32"/>
      <c r="AL469" s="1"/>
    </row>
    <row r="470" spans="28:38" x14ac:dyDescent="0.3">
      <c r="AB470">
        <v>465</v>
      </c>
      <c r="AC470" s="7"/>
      <c r="AF470" s="7"/>
      <c r="AG470" s="10"/>
      <c r="AH470" s="1"/>
      <c r="AI470" s="10"/>
      <c r="AJ470" s="32"/>
      <c r="AL470" s="1"/>
    </row>
    <row r="471" spans="28:38" x14ac:dyDescent="0.3">
      <c r="AB471">
        <v>466</v>
      </c>
      <c r="AC471" s="7"/>
      <c r="AF471" s="7"/>
      <c r="AG471" s="10"/>
      <c r="AH471" s="1"/>
      <c r="AI471" s="10"/>
      <c r="AJ471" s="32"/>
      <c r="AL471" s="1"/>
    </row>
    <row r="472" spans="28:38" x14ac:dyDescent="0.3">
      <c r="AB472">
        <v>467</v>
      </c>
      <c r="AC472" s="7"/>
      <c r="AF472" s="7"/>
      <c r="AG472" s="10"/>
      <c r="AH472" s="1"/>
      <c r="AI472" s="10"/>
      <c r="AJ472" s="32"/>
      <c r="AL472" s="1"/>
    </row>
    <row r="473" spans="28:38" x14ac:dyDescent="0.3">
      <c r="AB473">
        <v>468</v>
      </c>
      <c r="AC473" s="7"/>
      <c r="AF473" s="7"/>
      <c r="AG473" s="10"/>
      <c r="AH473" s="1"/>
      <c r="AI473" s="10"/>
      <c r="AJ473" s="32"/>
      <c r="AL473" s="1"/>
    </row>
    <row r="474" spans="28:38" x14ac:dyDescent="0.3">
      <c r="AB474">
        <v>469</v>
      </c>
      <c r="AC474" s="7"/>
      <c r="AF474" s="7"/>
      <c r="AG474" s="10"/>
      <c r="AH474" s="1"/>
      <c r="AI474" s="10"/>
      <c r="AJ474" s="32"/>
      <c r="AL474" s="1"/>
    </row>
    <row r="475" spans="28:38" x14ac:dyDescent="0.3">
      <c r="AB475">
        <v>470</v>
      </c>
      <c r="AC475" s="7"/>
      <c r="AF475" s="7"/>
      <c r="AG475" s="10"/>
      <c r="AH475" s="1"/>
      <c r="AI475" s="10"/>
      <c r="AJ475" s="32"/>
      <c r="AL475" s="1"/>
    </row>
    <row r="476" spans="28:38" x14ac:dyDescent="0.3">
      <c r="AB476">
        <v>471</v>
      </c>
      <c r="AC476" s="7"/>
      <c r="AF476" s="7"/>
      <c r="AG476" s="10"/>
      <c r="AH476" s="1"/>
      <c r="AI476" s="10"/>
      <c r="AJ476" s="32"/>
      <c r="AL476" s="1"/>
    </row>
    <row r="477" spans="28:38" x14ac:dyDescent="0.3">
      <c r="AB477">
        <v>472</v>
      </c>
      <c r="AC477" s="7"/>
      <c r="AF477" s="7"/>
      <c r="AG477" s="10"/>
      <c r="AH477" s="1"/>
      <c r="AI477" s="10"/>
      <c r="AJ477" s="32"/>
      <c r="AL477" s="1"/>
    </row>
    <row r="478" spans="28:38" x14ac:dyDescent="0.3">
      <c r="AB478">
        <v>473</v>
      </c>
      <c r="AC478" s="7"/>
      <c r="AF478" s="7"/>
      <c r="AG478" s="10"/>
      <c r="AH478" s="1"/>
      <c r="AI478" s="10"/>
      <c r="AJ478" s="32"/>
      <c r="AL478" s="1"/>
    </row>
    <row r="479" spans="28:38" x14ac:dyDescent="0.3">
      <c r="AB479">
        <v>474</v>
      </c>
      <c r="AC479" s="7"/>
      <c r="AF479" s="7"/>
      <c r="AG479" s="10"/>
      <c r="AH479" s="1"/>
      <c r="AI479" s="10"/>
      <c r="AJ479" s="32"/>
      <c r="AL479" s="1"/>
    </row>
    <row r="480" spans="28:38" x14ac:dyDescent="0.3">
      <c r="AB480">
        <v>475</v>
      </c>
      <c r="AC480" s="7"/>
      <c r="AF480" s="7"/>
      <c r="AG480" s="10"/>
      <c r="AH480" s="1"/>
      <c r="AI480" s="10"/>
      <c r="AJ480" s="32"/>
      <c r="AL480" s="1"/>
    </row>
    <row r="481" spans="28:38" x14ac:dyDescent="0.3">
      <c r="AB481">
        <v>476</v>
      </c>
      <c r="AC481" s="7"/>
      <c r="AF481" s="7"/>
      <c r="AG481" s="10"/>
      <c r="AH481" s="1"/>
      <c r="AI481" s="10"/>
      <c r="AJ481" s="32"/>
      <c r="AL481" s="1"/>
    </row>
    <row r="482" spans="28:38" x14ac:dyDescent="0.3">
      <c r="AB482">
        <v>477</v>
      </c>
      <c r="AC482" s="7"/>
      <c r="AF482" s="7"/>
      <c r="AG482" s="10"/>
      <c r="AH482" s="1"/>
      <c r="AI482" s="10"/>
      <c r="AJ482" s="32"/>
      <c r="AL482" s="1"/>
    </row>
    <row r="483" spans="28:38" x14ac:dyDescent="0.3">
      <c r="AB483">
        <v>478</v>
      </c>
      <c r="AC483" s="7"/>
      <c r="AF483" s="7"/>
      <c r="AG483" s="10"/>
      <c r="AH483" s="1"/>
      <c r="AI483" s="10"/>
      <c r="AJ483" s="32"/>
      <c r="AL483" s="1"/>
    </row>
    <row r="484" spans="28:38" x14ac:dyDescent="0.3">
      <c r="AB484">
        <v>479</v>
      </c>
      <c r="AC484" s="7"/>
      <c r="AF484" s="7"/>
      <c r="AG484" s="10"/>
      <c r="AH484" s="1"/>
      <c r="AI484" s="10"/>
      <c r="AJ484" s="32"/>
      <c r="AL484" s="1"/>
    </row>
    <row r="485" spans="28:38" x14ac:dyDescent="0.3">
      <c r="AB485">
        <v>480</v>
      </c>
      <c r="AC485" s="7"/>
      <c r="AF485" s="7"/>
      <c r="AG485" s="10"/>
      <c r="AH485" s="1"/>
      <c r="AI485" s="10"/>
      <c r="AJ485" s="32"/>
      <c r="AL485" s="1"/>
    </row>
    <row r="486" spans="28:38" x14ac:dyDescent="0.3">
      <c r="AB486">
        <v>481</v>
      </c>
      <c r="AC486" s="7"/>
      <c r="AF486" s="7"/>
      <c r="AG486" s="10"/>
      <c r="AH486" s="1"/>
      <c r="AI486" s="10"/>
      <c r="AJ486" s="32"/>
      <c r="AL486" s="1"/>
    </row>
    <row r="487" spans="28:38" x14ac:dyDescent="0.3">
      <c r="AB487">
        <v>482</v>
      </c>
      <c r="AC487" s="7"/>
      <c r="AF487" s="7"/>
      <c r="AG487" s="10"/>
      <c r="AH487" s="1"/>
      <c r="AI487" s="10"/>
      <c r="AJ487" s="32"/>
      <c r="AL487" s="1"/>
    </row>
    <row r="488" spans="28:38" x14ac:dyDescent="0.3">
      <c r="AB488">
        <v>483</v>
      </c>
      <c r="AC488" s="7"/>
      <c r="AF488" s="7"/>
      <c r="AG488" s="10"/>
      <c r="AH488" s="1"/>
      <c r="AI488" s="10"/>
      <c r="AJ488" s="32"/>
      <c r="AL488" s="1"/>
    </row>
    <row r="489" spans="28:38" x14ac:dyDescent="0.3">
      <c r="AB489">
        <v>484</v>
      </c>
      <c r="AC489" s="7"/>
      <c r="AF489" s="7"/>
      <c r="AG489" s="10"/>
      <c r="AH489" s="1"/>
      <c r="AI489" s="10"/>
      <c r="AJ489" s="32"/>
      <c r="AL489" s="1"/>
    </row>
    <row r="490" spans="28:38" x14ac:dyDescent="0.3">
      <c r="AB490">
        <v>485</v>
      </c>
      <c r="AC490" s="7"/>
      <c r="AF490" s="7"/>
      <c r="AG490" s="10"/>
      <c r="AH490" s="1"/>
      <c r="AI490" s="10"/>
      <c r="AJ490" s="32"/>
      <c r="AL490" s="1"/>
    </row>
    <row r="491" spans="28:38" x14ac:dyDescent="0.3">
      <c r="AB491">
        <v>486</v>
      </c>
      <c r="AC491" s="7"/>
      <c r="AF491" s="7"/>
      <c r="AG491" s="10"/>
      <c r="AH491" s="1"/>
      <c r="AI491" s="10"/>
      <c r="AJ491" s="32"/>
      <c r="AL491" s="1"/>
    </row>
    <row r="492" spans="28:38" x14ac:dyDescent="0.3">
      <c r="AB492">
        <v>487</v>
      </c>
      <c r="AC492" s="7"/>
      <c r="AF492" s="7"/>
      <c r="AG492" s="10"/>
      <c r="AH492" s="1"/>
      <c r="AI492" s="10"/>
      <c r="AJ492" s="32"/>
      <c r="AL492" s="1"/>
    </row>
    <row r="493" spans="28:38" x14ac:dyDescent="0.3">
      <c r="AB493">
        <v>488</v>
      </c>
      <c r="AC493" s="7"/>
      <c r="AF493" s="7"/>
      <c r="AG493" s="10"/>
      <c r="AH493" s="1"/>
      <c r="AI493" s="10"/>
      <c r="AJ493" s="32"/>
      <c r="AL493" s="1"/>
    </row>
    <row r="494" spans="28:38" x14ac:dyDescent="0.3">
      <c r="AB494">
        <v>489</v>
      </c>
      <c r="AC494" s="7"/>
      <c r="AF494" s="7"/>
      <c r="AG494" s="10"/>
      <c r="AH494" s="1"/>
      <c r="AI494" s="10"/>
      <c r="AJ494" s="32"/>
      <c r="AL494" s="1"/>
    </row>
    <row r="495" spans="28:38" x14ac:dyDescent="0.3">
      <c r="AB495">
        <v>490</v>
      </c>
      <c r="AC495" s="7"/>
      <c r="AF495" s="7"/>
      <c r="AG495" s="10"/>
      <c r="AH495" s="1"/>
      <c r="AI495" s="10"/>
      <c r="AJ495" s="32"/>
      <c r="AL495" s="1"/>
    </row>
    <row r="496" spans="28:38" x14ac:dyDescent="0.3">
      <c r="AB496">
        <v>491</v>
      </c>
      <c r="AC496" s="7"/>
      <c r="AF496" s="7"/>
      <c r="AG496" s="10"/>
      <c r="AH496" s="1"/>
      <c r="AI496" s="10"/>
      <c r="AJ496" s="32"/>
      <c r="AL496" s="1"/>
    </row>
    <row r="497" spans="28:38" x14ac:dyDescent="0.3">
      <c r="AB497">
        <v>492</v>
      </c>
      <c r="AC497" s="7"/>
      <c r="AF497" s="7"/>
      <c r="AG497" s="10"/>
      <c r="AH497" s="1"/>
      <c r="AI497" s="10"/>
      <c r="AJ497" s="32"/>
      <c r="AL497" s="1"/>
    </row>
    <row r="498" spans="28:38" x14ac:dyDescent="0.3">
      <c r="AB498">
        <v>493</v>
      </c>
      <c r="AC498" s="7"/>
      <c r="AF498" s="7"/>
      <c r="AG498" s="10"/>
      <c r="AH498" s="1"/>
      <c r="AI498" s="10"/>
      <c r="AJ498" s="32"/>
      <c r="AL498" s="1"/>
    </row>
    <row r="499" spans="28:38" x14ac:dyDescent="0.3">
      <c r="AB499">
        <v>494</v>
      </c>
      <c r="AC499" s="7"/>
      <c r="AF499" s="7"/>
      <c r="AG499" s="10"/>
      <c r="AH499" s="1"/>
      <c r="AI499" s="10"/>
      <c r="AJ499" s="32"/>
      <c r="AL499" s="1"/>
    </row>
    <row r="500" spans="28:38" x14ac:dyDescent="0.3">
      <c r="AB500">
        <v>495</v>
      </c>
      <c r="AC500" s="7"/>
      <c r="AF500" s="7"/>
      <c r="AG500" s="10"/>
      <c r="AH500" s="1"/>
      <c r="AI500" s="10"/>
      <c r="AJ500" s="32"/>
      <c r="AL500" s="1"/>
    </row>
    <row r="501" spans="28:38" x14ac:dyDescent="0.3">
      <c r="AB501">
        <v>496</v>
      </c>
      <c r="AC501" s="7"/>
      <c r="AF501" s="7"/>
      <c r="AG501" s="10"/>
      <c r="AH501" s="1"/>
      <c r="AI501" s="10"/>
      <c r="AJ501" s="32"/>
      <c r="AL501" s="1"/>
    </row>
    <row r="502" spans="28:38" x14ac:dyDescent="0.3">
      <c r="AB502">
        <v>497</v>
      </c>
      <c r="AC502" s="7"/>
      <c r="AF502" s="7"/>
      <c r="AG502" s="10"/>
      <c r="AH502" s="1"/>
      <c r="AI502" s="10"/>
      <c r="AJ502" s="32"/>
      <c r="AL502" s="1"/>
    </row>
    <row r="503" spans="28:38" x14ac:dyDescent="0.3">
      <c r="AB503">
        <v>498</v>
      </c>
      <c r="AC503" s="7"/>
      <c r="AF503" s="7"/>
      <c r="AG503" s="10"/>
      <c r="AH503" s="1"/>
      <c r="AI503" s="10"/>
      <c r="AJ503" s="32"/>
      <c r="AL503" s="1"/>
    </row>
    <row r="504" spans="28:38" x14ac:dyDescent="0.3">
      <c r="AB504">
        <v>499</v>
      </c>
      <c r="AC504" s="7"/>
      <c r="AF504" s="7"/>
      <c r="AG504" s="10"/>
      <c r="AH504" s="1"/>
      <c r="AI504" s="10"/>
      <c r="AJ504" s="32"/>
      <c r="AL504" s="1"/>
    </row>
    <row r="505" spans="28:38" x14ac:dyDescent="0.3">
      <c r="AB505">
        <v>500</v>
      </c>
      <c r="AC505" s="7"/>
      <c r="AF505" s="7"/>
      <c r="AG505" s="10"/>
      <c r="AH505" s="1"/>
      <c r="AI505" s="10"/>
      <c r="AJ505" s="32"/>
      <c r="AL505" s="1"/>
    </row>
    <row r="506" spans="28:38" x14ac:dyDescent="0.3">
      <c r="AB506">
        <v>501</v>
      </c>
      <c r="AC506" s="7"/>
      <c r="AF506" s="7"/>
      <c r="AG506" s="10"/>
      <c r="AH506" s="1"/>
      <c r="AI506" s="10"/>
      <c r="AJ506" s="32"/>
      <c r="AL506" s="1"/>
    </row>
    <row r="507" spans="28:38" x14ac:dyDescent="0.3">
      <c r="AB507">
        <v>502</v>
      </c>
      <c r="AC507" s="7"/>
      <c r="AF507" s="7"/>
      <c r="AG507" s="10"/>
      <c r="AH507" s="1"/>
      <c r="AI507" s="10"/>
      <c r="AJ507" s="32"/>
      <c r="AL507" s="1"/>
    </row>
    <row r="508" spans="28:38" x14ac:dyDescent="0.3">
      <c r="AB508">
        <v>503</v>
      </c>
      <c r="AC508" s="7"/>
      <c r="AF508" s="7"/>
      <c r="AG508" s="10"/>
      <c r="AH508" s="1"/>
      <c r="AI508" s="10"/>
      <c r="AJ508" s="32"/>
      <c r="AL508" s="1"/>
    </row>
    <row r="509" spans="28:38" x14ac:dyDescent="0.3">
      <c r="AB509">
        <v>504</v>
      </c>
      <c r="AC509" s="7"/>
      <c r="AF509" s="7"/>
      <c r="AG509" s="10"/>
      <c r="AH509" s="1"/>
      <c r="AI509" s="10"/>
      <c r="AJ509" s="32"/>
      <c r="AL509" s="1"/>
    </row>
    <row r="510" spans="28:38" x14ac:dyDescent="0.3">
      <c r="AB510">
        <v>505</v>
      </c>
      <c r="AC510" s="7"/>
      <c r="AF510" s="7"/>
      <c r="AG510" s="10"/>
      <c r="AH510" s="1"/>
      <c r="AI510" s="10"/>
      <c r="AJ510" s="32"/>
      <c r="AL510" s="1"/>
    </row>
    <row r="511" spans="28:38" x14ac:dyDescent="0.3">
      <c r="AB511">
        <v>506</v>
      </c>
      <c r="AC511" s="7"/>
      <c r="AF511" s="7"/>
      <c r="AG511" s="10"/>
      <c r="AH511" s="1"/>
      <c r="AI511" s="10"/>
      <c r="AJ511" s="32"/>
      <c r="AL511" s="1"/>
    </row>
    <row r="512" spans="28:38" x14ac:dyDescent="0.3">
      <c r="AB512">
        <v>507</v>
      </c>
      <c r="AC512" s="7"/>
      <c r="AF512" s="7"/>
      <c r="AG512" s="10"/>
      <c r="AH512" s="1"/>
      <c r="AI512" s="10"/>
      <c r="AJ512" s="32"/>
      <c r="AL512" s="1"/>
    </row>
    <row r="513" spans="28:38" x14ac:dyDescent="0.3">
      <c r="AB513">
        <v>508</v>
      </c>
      <c r="AC513" s="7"/>
      <c r="AF513" s="7"/>
      <c r="AG513" s="10"/>
      <c r="AH513" s="1"/>
      <c r="AI513" s="10"/>
      <c r="AJ513" s="32"/>
      <c r="AL513" s="1"/>
    </row>
    <row r="514" spans="28:38" x14ac:dyDescent="0.3">
      <c r="AB514">
        <v>509</v>
      </c>
      <c r="AC514" s="7"/>
      <c r="AF514" s="7"/>
      <c r="AG514" s="10"/>
      <c r="AH514" s="1"/>
      <c r="AI514" s="10"/>
      <c r="AJ514" s="32"/>
      <c r="AL514" s="1"/>
    </row>
    <row r="515" spans="28:38" x14ac:dyDescent="0.3">
      <c r="AB515">
        <v>510</v>
      </c>
      <c r="AC515" s="7"/>
      <c r="AF515" s="7"/>
      <c r="AG515" s="10"/>
      <c r="AH515" s="1"/>
      <c r="AI515" s="10"/>
      <c r="AJ515" s="32"/>
      <c r="AL515" s="1"/>
    </row>
    <row r="516" spans="28:38" x14ac:dyDescent="0.3">
      <c r="AB516">
        <v>511</v>
      </c>
      <c r="AC516" s="7"/>
      <c r="AF516" s="7"/>
      <c r="AG516" s="10"/>
      <c r="AH516" s="1"/>
      <c r="AI516" s="10"/>
      <c r="AJ516" s="32"/>
      <c r="AL516" s="1"/>
    </row>
    <row r="517" spans="28:38" x14ac:dyDescent="0.3">
      <c r="AB517">
        <v>512</v>
      </c>
      <c r="AC517" s="7"/>
      <c r="AF517" s="7"/>
      <c r="AG517" s="10"/>
      <c r="AH517" s="1"/>
      <c r="AI517" s="10"/>
      <c r="AJ517" s="32"/>
      <c r="AL517" s="1"/>
    </row>
    <row r="518" spans="28:38" x14ac:dyDescent="0.3">
      <c r="AB518">
        <v>513</v>
      </c>
      <c r="AC518" s="7"/>
      <c r="AF518" s="7"/>
      <c r="AG518" s="10"/>
      <c r="AH518" s="1"/>
      <c r="AI518" s="10"/>
      <c r="AJ518" s="32"/>
      <c r="AL518" s="1"/>
    </row>
    <row r="519" spans="28:38" x14ac:dyDescent="0.3">
      <c r="AB519">
        <v>514</v>
      </c>
      <c r="AC519" s="7"/>
      <c r="AF519" s="7"/>
      <c r="AG519" s="10"/>
      <c r="AH519" s="1"/>
      <c r="AI519" s="10"/>
      <c r="AJ519" s="32"/>
      <c r="AL519" s="1"/>
    </row>
    <row r="520" spans="28:38" x14ac:dyDescent="0.3">
      <c r="AB520">
        <v>515</v>
      </c>
      <c r="AC520" s="7"/>
      <c r="AF520" s="7"/>
      <c r="AG520" s="10"/>
      <c r="AH520" s="1"/>
      <c r="AI520" s="10"/>
      <c r="AJ520" s="32"/>
      <c r="AL520" s="1"/>
    </row>
    <row r="521" spans="28:38" x14ac:dyDescent="0.3">
      <c r="AB521">
        <v>516</v>
      </c>
      <c r="AC521" s="7"/>
      <c r="AF521" s="7"/>
      <c r="AG521" s="10"/>
      <c r="AH521" s="1"/>
      <c r="AI521" s="10"/>
      <c r="AJ521" s="32"/>
      <c r="AL521" s="1"/>
    </row>
    <row r="522" spans="28:38" x14ac:dyDescent="0.3">
      <c r="AB522">
        <v>517</v>
      </c>
      <c r="AC522" s="7"/>
      <c r="AF522" s="7"/>
      <c r="AG522" s="10"/>
      <c r="AH522" s="1"/>
      <c r="AI522" s="10"/>
      <c r="AJ522" s="32"/>
      <c r="AL522" s="1"/>
    </row>
    <row r="523" spans="28:38" x14ac:dyDescent="0.3">
      <c r="AB523">
        <v>518</v>
      </c>
      <c r="AC523" s="7"/>
      <c r="AF523" s="7"/>
      <c r="AG523" s="10"/>
      <c r="AH523" s="1"/>
      <c r="AI523" s="10"/>
      <c r="AJ523" s="32"/>
      <c r="AL523" s="1"/>
    </row>
    <row r="524" spans="28:38" x14ac:dyDescent="0.3">
      <c r="AB524">
        <v>519</v>
      </c>
      <c r="AC524" s="7"/>
      <c r="AF524" s="7"/>
      <c r="AG524" s="10"/>
      <c r="AH524" s="1"/>
      <c r="AI524" s="10"/>
      <c r="AJ524" s="32"/>
      <c r="AL524" s="1"/>
    </row>
    <row r="525" spans="28:38" x14ac:dyDescent="0.3">
      <c r="AB525">
        <v>520</v>
      </c>
      <c r="AC525" s="7"/>
      <c r="AF525" s="7"/>
      <c r="AG525" s="10"/>
      <c r="AH525" s="1"/>
      <c r="AI525" s="10"/>
      <c r="AJ525" s="32"/>
      <c r="AL525" s="1"/>
    </row>
    <row r="526" spans="28:38" x14ac:dyDescent="0.3">
      <c r="AB526">
        <v>521</v>
      </c>
      <c r="AC526" s="7"/>
      <c r="AF526" s="7"/>
      <c r="AG526" s="10"/>
      <c r="AH526" s="1"/>
      <c r="AI526" s="10"/>
      <c r="AJ526" s="32"/>
      <c r="AL526" s="1"/>
    </row>
    <row r="527" spans="28:38" x14ac:dyDescent="0.3">
      <c r="AB527">
        <v>522</v>
      </c>
      <c r="AC527" s="7"/>
      <c r="AF527" s="7"/>
      <c r="AG527" s="10"/>
      <c r="AH527" s="1"/>
      <c r="AI527" s="10"/>
      <c r="AJ527" s="32"/>
      <c r="AL527" s="1"/>
    </row>
    <row r="528" spans="28:38" x14ac:dyDescent="0.3">
      <c r="AB528">
        <v>523</v>
      </c>
      <c r="AC528" s="7"/>
      <c r="AF528" s="7"/>
      <c r="AG528" s="10"/>
      <c r="AH528" s="1"/>
      <c r="AI528" s="10"/>
      <c r="AJ528" s="32"/>
      <c r="AL528" s="1"/>
    </row>
    <row r="529" spans="28:38" x14ac:dyDescent="0.3">
      <c r="AB529">
        <v>524</v>
      </c>
      <c r="AC529" s="7"/>
      <c r="AF529" s="7"/>
      <c r="AG529" s="10"/>
      <c r="AH529" s="1"/>
      <c r="AI529" s="10"/>
      <c r="AJ529" s="32"/>
      <c r="AL529" s="1"/>
    </row>
    <row r="530" spans="28:38" x14ac:dyDescent="0.3">
      <c r="AB530">
        <v>525</v>
      </c>
      <c r="AC530" s="7"/>
      <c r="AF530" s="7"/>
      <c r="AG530" s="10"/>
      <c r="AH530" s="1"/>
      <c r="AI530" s="10"/>
      <c r="AJ530" s="32"/>
      <c r="AL530" s="1"/>
    </row>
    <row r="531" spans="28:38" x14ac:dyDescent="0.3">
      <c r="AB531">
        <v>526</v>
      </c>
      <c r="AC531" s="7"/>
      <c r="AF531" s="7"/>
      <c r="AG531" s="10"/>
      <c r="AH531" s="1"/>
      <c r="AI531" s="10"/>
      <c r="AJ531" s="32"/>
      <c r="AL531" s="1"/>
    </row>
    <row r="532" spans="28:38" x14ac:dyDescent="0.3">
      <c r="AB532">
        <v>527</v>
      </c>
      <c r="AC532" s="7"/>
      <c r="AF532" s="7"/>
      <c r="AG532" s="10"/>
      <c r="AH532" s="1"/>
      <c r="AI532" s="10"/>
      <c r="AJ532" s="32"/>
      <c r="AL532" s="1"/>
    </row>
    <row r="533" spans="28:38" x14ac:dyDescent="0.3">
      <c r="AB533">
        <v>528</v>
      </c>
      <c r="AC533" s="7"/>
      <c r="AF533" s="7"/>
      <c r="AG533" s="10"/>
      <c r="AH533" s="1"/>
      <c r="AI533" s="10"/>
      <c r="AJ533" s="32"/>
      <c r="AL533" s="1"/>
    </row>
    <row r="534" spans="28:38" x14ac:dyDescent="0.3">
      <c r="AB534">
        <v>529</v>
      </c>
      <c r="AC534" s="7"/>
      <c r="AF534" s="7"/>
      <c r="AG534" s="10"/>
      <c r="AH534" s="1"/>
      <c r="AI534" s="10"/>
      <c r="AJ534" s="32"/>
      <c r="AL534" s="1"/>
    </row>
    <row r="535" spans="28:38" x14ac:dyDescent="0.3">
      <c r="AB535">
        <v>530</v>
      </c>
      <c r="AC535" s="7"/>
      <c r="AF535" s="7"/>
      <c r="AG535" s="10"/>
      <c r="AH535" s="1"/>
      <c r="AI535" s="10"/>
      <c r="AJ535" s="32"/>
      <c r="AL535" s="1"/>
    </row>
    <row r="536" spans="28:38" x14ac:dyDescent="0.3">
      <c r="AB536">
        <v>531</v>
      </c>
      <c r="AC536" s="7"/>
      <c r="AF536" s="7"/>
      <c r="AG536" s="10"/>
      <c r="AH536" s="1"/>
      <c r="AI536" s="10"/>
      <c r="AJ536" s="32"/>
      <c r="AL536" s="1"/>
    </row>
    <row r="537" spans="28:38" x14ac:dyDescent="0.3">
      <c r="AB537">
        <v>532</v>
      </c>
      <c r="AC537" s="7"/>
      <c r="AF537" s="7"/>
      <c r="AG537" s="10"/>
      <c r="AH537" s="1"/>
      <c r="AI537" s="10"/>
      <c r="AJ537" s="32"/>
      <c r="AL537" s="1"/>
    </row>
    <row r="538" spans="28:38" x14ac:dyDescent="0.3">
      <c r="AB538">
        <v>533</v>
      </c>
      <c r="AC538" s="7"/>
      <c r="AF538" s="7"/>
      <c r="AG538" s="10"/>
      <c r="AH538" s="1"/>
      <c r="AI538" s="10"/>
      <c r="AJ538" s="32"/>
      <c r="AL538" s="1"/>
    </row>
    <row r="539" spans="28:38" x14ac:dyDescent="0.3">
      <c r="AB539">
        <v>534</v>
      </c>
      <c r="AC539" s="7"/>
      <c r="AF539" s="7"/>
      <c r="AG539" s="10"/>
      <c r="AH539" s="1"/>
      <c r="AI539" s="10"/>
      <c r="AJ539" s="32"/>
      <c r="AL539" s="1"/>
    </row>
    <row r="540" spans="28:38" x14ac:dyDescent="0.3">
      <c r="AB540">
        <v>535</v>
      </c>
      <c r="AC540" s="7"/>
      <c r="AF540" s="7"/>
      <c r="AG540" s="10"/>
      <c r="AH540" s="1"/>
      <c r="AI540" s="10"/>
      <c r="AJ540" s="32"/>
      <c r="AL540" s="1"/>
    </row>
    <row r="541" spans="28:38" x14ac:dyDescent="0.3">
      <c r="AB541">
        <v>536</v>
      </c>
      <c r="AC541" s="7"/>
      <c r="AF541" s="7"/>
      <c r="AG541" s="10"/>
      <c r="AH541" s="1"/>
      <c r="AI541" s="10"/>
      <c r="AJ541" s="32"/>
      <c r="AL541" s="1"/>
    </row>
    <row r="542" spans="28:38" x14ac:dyDescent="0.3">
      <c r="AB542">
        <v>537</v>
      </c>
      <c r="AC542" s="7"/>
      <c r="AF542" s="7"/>
      <c r="AG542" s="10"/>
      <c r="AH542" s="1"/>
      <c r="AI542" s="10"/>
      <c r="AJ542" s="32"/>
      <c r="AL542" s="1"/>
    </row>
    <row r="543" spans="28:38" x14ac:dyDescent="0.3">
      <c r="AB543">
        <v>538</v>
      </c>
      <c r="AC543" s="7"/>
      <c r="AF543" s="7"/>
      <c r="AG543" s="10"/>
      <c r="AH543" s="1"/>
      <c r="AI543" s="10"/>
      <c r="AJ543" s="32"/>
      <c r="AL543" s="1"/>
    </row>
    <row r="544" spans="28:38" x14ac:dyDescent="0.3">
      <c r="AB544">
        <v>539</v>
      </c>
      <c r="AC544" s="7"/>
      <c r="AF544" s="7"/>
      <c r="AG544" s="10"/>
      <c r="AH544" s="1"/>
      <c r="AI544" s="10"/>
      <c r="AJ544" s="32"/>
      <c r="AL544" s="1"/>
    </row>
    <row r="545" spans="28:38" x14ac:dyDescent="0.3">
      <c r="AB545">
        <v>540</v>
      </c>
      <c r="AC545" s="7"/>
      <c r="AF545" s="7"/>
      <c r="AG545" s="10"/>
      <c r="AH545" s="1"/>
      <c r="AI545" s="10"/>
      <c r="AJ545" s="32"/>
      <c r="AL545" s="1"/>
    </row>
    <row r="546" spans="28:38" x14ac:dyDescent="0.3">
      <c r="AB546">
        <v>541</v>
      </c>
      <c r="AC546" s="7"/>
      <c r="AF546" s="7"/>
      <c r="AG546" s="10"/>
      <c r="AH546" s="1"/>
      <c r="AI546" s="10"/>
      <c r="AJ546" s="32"/>
      <c r="AL546" s="1"/>
    </row>
    <row r="547" spans="28:38" x14ac:dyDescent="0.3">
      <c r="AB547">
        <v>542</v>
      </c>
      <c r="AC547" s="7"/>
      <c r="AF547" s="7"/>
      <c r="AG547" s="10"/>
      <c r="AH547" s="1"/>
      <c r="AI547" s="10"/>
      <c r="AJ547" s="32"/>
      <c r="AL547" s="1"/>
    </row>
    <row r="548" spans="28:38" x14ac:dyDescent="0.3">
      <c r="AB548">
        <v>543</v>
      </c>
      <c r="AC548" s="7"/>
      <c r="AF548" s="7"/>
      <c r="AG548" s="10"/>
      <c r="AH548" s="1"/>
      <c r="AI548" s="10"/>
      <c r="AJ548" s="32"/>
      <c r="AL548" s="1"/>
    </row>
    <row r="549" spans="28:38" x14ac:dyDescent="0.3">
      <c r="AB549">
        <v>544</v>
      </c>
      <c r="AC549" s="7"/>
      <c r="AF549" s="7"/>
      <c r="AG549" s="10"/>
      <c r="AH549" s="1"/>
      <c r="AI549" s="10"/>
      <c r="AJ549" s="32"/>
      <c r="AL549" s="1"/>
    </row>
    <row r="550" spans="28:38" x14ac:dyDescent="0.3">
      <c r="AB550">
        <v>545</v>
      </c>
      <c r="AC550" s="7"/>
      <c r="AF550" s="7"/>
      <c r="AG550" s="10"/>
      <c r="AH550" s="1"/>
      <c r="AI550" s="10"/>
      <c r="AJ550" s="32"/>
      <c r="AL550" s="1"/>
    </row>
    <row r="551" spans="28:38" x14ac:dyDescent="0.3">
      <c r="AB551">
        <v>546</v>
      </c>
      <c r="AC551" s="7"/>
      <c r="AF551" s="7"/>
      <c r="AG551" s="10"/>
      <c r="AH551" s="1"/>
      <c r="AI551" s="10"/>
      <c r="AJ551" s="32"/>
      <c r="AL551" s="1"/>
    </row>
    <row r="552" spans="28:38" x14ac:dyDescent="0.3">
      <c r="AB552">
        <v>547</v>
      </c>
      <c r="AC552" s="7"/>
      <c r="AF552" s="7"/>
      <c r="AG552" s="10"/>
      <c r="AH552" s="1"/>
      <c r="AI552" s="10"/>
      <c r="AJ552" s="32"/>
      <c r="AL552" s="1"/>
    </row>
    <row r="553" spans="28:38" x14ac:dyDescent="0.3">
      <c r="AB553">
        <v>548</v>
      </c>
      <c r="AC553" s="7"/>
      <c r="AF553" s="7"/>
      <c r="AG553" s="10"/>
      <c r="AH553" s="1"/>
      <c r="AI553" s="10"/>
      <c r="AJ553" s="32"/>
      <c r="AL553" s="1"/>
    </row>
    <row r="554" spans="28:38" x14ac:dyDescent="0.3">
      <c r="AB554">
        <v>549</v>
      </c>
      <c r="AC554" s="7"/>
      <c r="AF554" s="7"/>
      <c r="AG554" s="10"/>
      <c r="AH554" s="1"/>
      <c r="AI554" s="10"/>
      <c r="AJ554" s="32"/>
      <c r="AL554" s="1"/>
    </row>
    <row r="555" spans="28:38" x14ac:dyDescent="0.3">
      <c r="AB555">
        <v>550</v>
      </c>
      <c r="AC555" s="7"/>
      <c r="AF555" s="7"/>
      <c r="AG555" s="10"/>
      <c r="AH555" s="1"/>
      <c r="AI555" s="10"/>
      <c r="AJ555" s="32"/>
      <c r="AL555" s="1"/>
    </row>
    <row r="556" spans="28:38" x14ac:dyDescent="0.3">
      <c r="AB556">
        <v>551</v>
      </c>
      <c r="AC556" s="7"/>
      <c r="AF556" s="7"/>
      <c r="AG556" s="10"/>
      <c r="AH556" s="1"/>
      <c r="AI556" s="10"/>
      <c r="AJ556" s="32"/>
      <c r="AL556" s="1"/>
    </row>
    <row r="557" spans="28:38" x14ac:dyDescent="0.3">
      <c r="AB557">
        <v>552</v>
      </c>
      <c r="AC557" s="7"/>
      <c r="AF557" s="7"/>
      <c r="AG557" s="10"/>
      <c r="AH557" s="1"/>
      <c r="AI557" s="10"/>
      <c r="AJ557" s="32"/>
      <c r="AL557" s="1"/>
    </row>
    <row r="558" spans="28:38" x14ac:dyDescent="0.3">
      <c r="AB558">
        <v>553</v>
      </c>
      <c r="AC558" s="7"/>
      <c r="AF558" s="7"/>
      <c r="AG558" s="10"/>
      <c r="AH558" s="1"/>
      <c r="AI558" s="10"/>
      <c r="AJ558" s="32"/>
      <c r="AL558" s="1"/>
    </row>
    <row r="559" spans="28:38" x14ac:dyDescent="0.3">
      <c r="AB559">
        <v>554</v>
      </c>
      <c r="AC559" s="7"/>
      <c r="AF559" s="7"/>
      <c r="AG559" s="10"/>
      <c r="AH559" s="1"/>
      <c r="AI559" s="10"/>
      <c r="AJ559" s="32"/>
      <c r="AL559" s="1"/>
    </row>
    <row r="560" spans="28:38" x14ac:dyDescent="0.3">
      <c r="AB560">
        <v>555</v>
      </c>
      <c r="AC560" s="7"/>
      <c r="AF560" s="7"/>
      <c r="AG560" s="10"/>
      <c r="AH560" s="1"/>
      <c r="AI560" s="10"/>
      <c r="AJ560" s="32"/>
      <c r="AL560" s="1"/>
    </row>
    <row r="561" spans="28:38" x14ac:dyDescent="0.3">
      <c r="AB561">
        <v>556</v>
      </c>
      <c r="AC561" s="7"/>
      <c r="AF561" s="7"/>
      <c r="AG561" s="10"/>
      <c r="AH561" s="1"/>
      <c r="AI561" s="10"/>
      <c r="AJ561" s="32"/>
      <c r="AL561" s="1"/>
    </row>
    <row r="562" spans="28:38" x14ac:dyDescent="0.3">
      <c r="AB562">
        <v>557</v>
      </c>
      <c r="AC562" s="7"/>
      <c r="AF562" s="7"/>
      <c r="AG562" s="10"/>
      <c r="AH562" s="1"/>
      <c r="AI562" s="10"/>
      <c r="AJ562" s="32"/>
      <c r="AL562" s="1"/>
    </row>
    <row r="563" spans="28:38" x14ac:dyDescent="0.3">
      <c r="AB563">
        <v>558</v>
      </c>
      <c r="AC563" s="7"/>
      <c r="AF563" s="7"/>
      <c r="AG563" s="10"/>
      <c r="AH563" s="1"/>
      <c r="AI563" s="10"/>
      <c r="AJ563" s="32"/>
      <c r="AL563" s="1"/>
    </row>
    <row r="564" spans="28:38" x14ac:dyDescent="0.3">
      <c r="AB564">
        <v>559</v>
      </c>
      <c r="AC564" s="7"/>
      <c r="AF564" s="7"/>
      <c r="AG564" s="10"/>
      <c r="AH564" s="1"/>
      <c r="AI564" s="10"/>
      <c r="AJ564" s="32"/>
      <c r="AL564" s="1"/>
    </row>
    <row r="565" spans="28:38" x14ac:dyDescent="0.3">
      <c r="AB565">
        <v>560</v>
      </c>
      <c r="AC565" s="7"/>
      <c r="AF565" s="7"/>
      <c r="AG565" s="10"/>
      <c r="AH565" s="1"/>
      <c r="AI565" s="10"/>
      <c r="AJ565" s="32"/>
      <c r="AL565" s="1"/>
    </row>
    <row r="566" spans="28:38" x14ac:dyDescent="0.3">
      <c r="AB566">
        <v>561</v>
      </c>
      <c r="AC566" s="7"/>
      <c r="AF566" s="7"/>
      <c r="AG566" s="10"/>
      <c r="AH566" s="1"/>
      <c r="AI566" s="10"/>
      <c r="AJ566" s="32"/>
      <c r="AL566" s="1"/>
    </row>
    <row r="567" spans="28:38" x14ac:dyDescent="0.3">
      <c r="AB567">
        <v>562</v>
      </c>
      <c r="AC567" s="7"/>
      <c r="AF567" s="7"/>
      <c r="AG567" s="10"/>
      <c r="AH567" s="1"/>
      <c r="AI567" s="10"/>
      <c r="AJ567" s="32"/>
      <c r="AL567" s="1"/>
    </row>
    <row r="568" spans="28:38" x14ac:dyDescent="0.3">
      <c r="AB568">
        <v>563</v>
      </c>
      <c r="AC568" s="7"/>
      <c r="AF568" s="7"/>
      <c r="AG568" s="10"/>
      <c r="AH568" s="1"/>
      <c r="AI568" s="10"/>
      <c r="AJ568" s="32"/>
      <c r="AL568" s="1"/>
    </row>
    <row r="569" spans="28:38" x14ac:dyDescent="0.3">
      <c r="AB569">
        <v>564</v>
      </c>
      <c r="AC569" s="7"/>
      <c r="AF569" s="7"/>
      <c r="AG569" s="10"/>
      <c r="AH569" s="1"/>
      <c r="AI569" s="10"/>
      <c r="AJ569" s="32"/>
      <c r="AL569" s="1"/>
    </row>
    <row r="570" spans="28:38" x14ac:dyDescent="0.3">
      <c r="AB570">
        <v>565</v>
      </c>
      <c r="AC570" s="7"/>
      <c r="AF570" s="7"/>
      <c r="AG570" s="10"/>
      <c r="AH570" s="1"/>
      <c r="AI570" s="10"/>
      <c r="AJ570" s="32"/>
      <c r="AL570" s="1"/>
    </row>
    <row r="571" spans="28:38" x14ac:dyDescent="0.3">
      <c r="AB571">
        <v>566</v>
      </c>
      <c r="AC571" s="7"/>
      <c r="AF571" s="7"/>
      <c r="AG571" s="10"/>
      <c r="AH571" s="1"/>
      <c r="AI571" s="10"/>
      <c r="AJ571" s="32"/>
      <c r="AL571" s="1"/>
    </row>
    <row r="572" spans="28:38" x14ac:dyDescent="0.3">
      <c r="AB572">
        <v>567</v>
      </c>
      <c r="AC572" s="7"/>
      <c r="AF572" s="7"/>
      <c r="AG572" s="10"/>
      <c r="AH572" s="1"/>
      <c r="AI572" s="10"/>
      <c r="AJ572" s="32"/>
      <c r="AL572" s="1"/>
    </row>
    <row r="573" spans="28:38" x14ac:dyDescent="0.3">
      <c r="AB573">
        <v>568</v>
      </c>
      <c r="AC573" s="7"/>
      <c r="AF573" s="7"/>
      <c r="AG573" s="10"/>
      <c r="AH573" s="1"/>
      <c r="AI573" s="10"/>
      <c r="AJ573" s="32"/>
      <c r="AL573" s="1"/>
    </row>
    <row r="574" spans="28:38" x14ac:dyDescent="0.3">
      <c r="AB574">
        <v>569</v>
      </c>
      <c r="AC574" s="7"/>
      <c r="AF574" s="7"/>
      <c r="AG574" s="10"/>
      <c r="AH574" s="1"/>
      <c r="AI574" s="10"/>
      <c r="AJ574" s="32"/>
      <c r="AL574" s="1"/>
    </row>
    <row r="575" spans="28:38" x14ac:dyDescent="0.3">
      <c r="AB575">
        <v>570</v>
      </c>
      <c r="AC575" s="7"/>
      <c r="AF575" s="7"/>
      <c r="AG575" s="10"/>
      <c r="AH575" s="1"/>
      <c r="AI575" s="10"/>
      <c r="AJ575" s="32"/>
      <c r="AL575" s="1"/>
    </row>
    <row r="576" spans="28:38" x14ac:dyDescent="0.3">
      <c r="AB576">
        <v>571</v>
      </c>
      <c r="AC576" s="7"/>
      <c r="AF576" s="7"/>
      <c r="AG576" s="10"/>
      <c r="AH576" s="1"/>
      <c r="AI576" s="10"/>
      <c r="AJ576" s="32"/>
      <c r="AL576" s="1"/>
    </row>
    <row r="577" spans="28:38" x14ac:dyDescent="0.3">
      <c r="AB577">
        <v>572</v>
      </c>
      <c r="AC577" s="7"/>
      <c r="AF577" s="7"/>
      <c r="AG577" s="10"/>
      <c r="AH577" s="1"/>
      <c r="AI577" s="10"/>
      <c r="AJ577" s="32"/>
      <c r="AL577" s="1"/>
    </row>
    <row r="578" spans="28:38" x14ac:dyDescent="0.3">
      <c r="AB578">
        <v>573</v>
      </c>
      <c r="AC578" s="7"/>
      <c r="AF578" s="7"/>
      <c r="AG578" s="10"/>
      <c r="AH578" s="1"/>
      <c r="AI578" s="10"/>
      <c r="AJ578" s="32"/>
      <c r="AL578" s="1"/>
    </row>
    <row r="579" spans="28:38" x14ac:dyDescent="0.3">
      <c r="AB579">
        <v>574</v>
      </c>
      <c r="AC579" s="7"/>
      <c r="AF579" s="7"/>
      <c r="AG579" s="10"/>
      <c r="AH579" s="1"/>
      <c r="AI579" s="10"/>
      <c r="AJ579" s="32"/>
      <c r="AL579" s="1"/>
    </row>
    <row r="580" spans="28:38" x14ac:dyDescent="0.3">
      <c r="AB580">
        <v>575</v>
      </c>
      <c r="AC580" s="7"/>
      <c r="AF580" s="7"/>
      <c r="AG580" s="10"/>
      <c r="AH580" s="1"/>
      <c r="AI580" s="10"/>
      <c r="AJ580" s="32"/>
      <c r="AL580" s="1"/>
    </row>
    <row r="581" spans="28:38" x14ac:dyDescent="0.3">
      <c r="AB581">
        <v>576</v>
      </c>
      <c r="AC581" s="7"/>
      <c r="AF581" s="7"/>
      <c r="AG581" s="10"/>
      <c r="AH581" s="1"/>
      <c r="AI581" s="10"/>
      <c r="AJ581" s="32"/>
      <c r="AL581" s="1"/>
    </row>
    <row r="582" spans="28:38" x14ac:dyDescent="0.3">
      <c r="AB582">
        <v>577</v>
      </c>
      <c r="AC582" s="7"/>
      <c r="AF582" s="7"/>
      <c r="AG582" s="10"/>
      <c r="AH582" s="1"/>
      <c r="AI582" s="10"/>
      <c r="AJ582" s="32"/>
      <c r="AL582" s="1"/>
    </row>
    <row r="583" spans="28:38" x14ac:dyDescent="0.3">
      <c r="AB583">
        <v>578</v>
      </c>
      <c r="AC583" s="7"/>
      <c r="AF583" s="7"/>
      <c r="AG583" s="10"/>
      <c r="AH583" s="1"/>
      <c r="AI583" s="10"/>
      <c r="AJ583" s="32"/>
      <c r="AL583" s="1"/>
    </row>
    <row r="584" spans="28:38" x14ac:dyDescent="0.3">
      <c r="AB584">
        <v>579</v>
      </c>
      <c r="AC584" s="7"/>
      <c r="AF584" s="7"/>
      <c r="AG584" s="10"/>
      <c r="AH584" s="1"/>
      <c r="AI584" s="10"/>
      <c r="AJ584" s="32"/>
      <c r="AL584" s="1"/>
    </row>
    <row r="585" spans="28:38" x14ac:dyDescent="0.3">
      <c r="AB585">
        <v>580</v>
      </c>
      <c r="AC585" s="7"/>
      <c r="AF585" s="7"/>
      <c r="AG585" s="10"/>
      <c r="AH585" s="1"/>
      <c r="AI585" s="10"/>
      <c r="AJ585" s="32"/>
      <c r="AL585" s="1"/>
    </row>
    <row r="586" spans="28:38" x14ac:dyDescent="0.3">
      <c r="AB586">
        <v>581</v>
      </c>
      <c r="AC586" s="7"/>
      <c r="AF586" s="7"/>
      <c r="AG586" s="10"/>
      <c r="AH586" s="1"/>
      <c r="AI586" s="10"/>
      <c r="AJ586" s="32"/>
      <c r="AL586" s="1"/>
    </row>
    <row r="587" spans="28:38" x14ac:dyDescent="0.3">
      <c r="AB587">
        <v>582</v>
      </c>
      <c r="AC587" s="7"/>
      <c r="AF587" s="7"/>
      <c r="AG587" s="10"/>
      <c r="AH587" s="1"/>
      <c r="AI587" s="10"/>
      <c r="AJ587" s="32"/>
      <c r="AL587" s="1"/>
    </row>
    <row r="588" spans="28:38" x14ac:dyDescent="0.3">
      <c r="AB588">
        <v>583</v>
      </c>
      <c r="AC588" s="7"/>
      <c r="AF588" s="7"/>
      <c r="AG588" s="10"/>
      <c r="AH588" s="1"/>
      <c r="AI588" s="10"/>
      <c r="AJ588" s="32"/>
      <c r="AL588" s="1"/>
    </row>
    <row r="589" spans="28:38" x14ac:dyDescent="0.3">
      <c r="AB589">
        <v>584</v>
      </c>
      <c r="AC589" s="7"/>
      <c r="AF589" s="7"/>
      <c r="AG589" s="10"/>
      <c r="AH589" s="1"/>
      <c r="AI589" s="10"/>
      <c r="AJ589" s="32"/>
      <c r="AL589" s="1"/>
    </row>
    <row r="590" spans="28:38" x14ac:dyDescent="0.3">
      <c r="AB590">
        <v>585</v>
      </c>
      <c r="AC590" s="7"/>
      <c r="AF590" s="7"/>
      <c r="AG590" s="10"/>
      <c r="AH590" s="1"/>
      <c r="AI590" s="10"/>
      <c r="AJ590" s="32"/>
      <c r="AL590" s="1"/>
    </row>
    <row r="591" spans="28:38" x14ac:dyDescent="0.3">
      <c r="AB591">
        <v>586</v>
      </c>
      <c r="AC591" s="7"/>
      <c r="AF591" s="7"/>
      <c r="AG591" s="10"/>
      <c r="AH591" s="1"/>
      <c r="AI591" s="10"/>
      <c r="AJ591" s="32"/>
      <c r="AL591" s="1"/>
    </row>
    <row r="592" spans="28:38" x14ac:dyDescent="0.3">
      <c r="AB592">
        <v>587</v>
      </c>
      <c r="AC592" s="7"/>
      <c r="AF592" s="7"/>
      <c r="AG592" s="10"/>
      <c r="AH592" s="1"/>
      <c r="AI592" s="10"/>
      <c r="AJ592" s="32"/>
      <c r="AL592" s="1"/>
    </row>
    <row r="593" spans="28:38" x14ac:dyDescent="0.3">
      <c r="AB593">
        <v>588</v>
      </c>
      <c r="AC593" s="7"/>
      <c r="AF593" s="7"/>
      <c r="AG593" s="10"/>
      <c r="AH593" s="1"/>
      <c r="AI593" s="10"/>
      <c r="AJ593" s="32"/>
      <c r="AL593" s="1"/>
    </row>
    <row r="594" spans="28:38" x14ac:dyDescent="0.3">
      <c r="AB594">
        <v>589</v>
      </c>
      <c r="AC594" s="7"/>
      <c r="AF594" s="7"/>
      <c r="AG594" s="10"/>
      <c r="AH594" s="1"/>
      <c r="AI594" s="10"/>
      <c r="AJ594" s="32"/>
      <c r="AL594" s="1"/>
    </row>
    <row r="595" spans="28:38" x14ac:dyDescent="0.3">
      <c r="AB595">
        <v>590</v>
      </c>
      <c r="AC595" s="7"/>
      <c r="AF595" s="7"/>
      <c r="AG595" s="10"/>
      <c r="AH595" s="1"/>
      <c r="AI595" s="10"/>
      <c r="AJ595" s="32"/>
      <c r="AL595" s="1"/>
    </row>
    <row r="596" spans="28:38" x14ac:dyDescent="0.3">
      <c r="AB596">
        <v>591</v>
      </c>
      <c r="AC596" s="7"/>
      <c r="AF596" s="7"/>
      <c r="AG596" s="10"/>
      <c r="AH596" s="1"/>
      <c r="AI596" s="10"/>
      <c r="AJ596" s="32"/>
      <c r="AL596" s="1"/>
    </row>
    <row r="597" spans="28:38" x14ac:dyDescent="0.3">
      <c r="AB597">
        <v>592</v>
      </c>
      <c r="AC597" s="7"/>
      <c r="AF597" s="7"/>
      <c r="AG597" s="10"/>
      <c r="AH597" s="1"/>
      <c r="AI597" s="10"/>
      <c r="AJ597" s="32"/>
      <c r="AL597" s="1"/>
    </row>
    <row r="598" spans="28:38" x14ac:dyDescent="0.3">
      <c r="AB598">
        <v>593</v>
      </c>
      <c r="AC598" s="7"/>
      <c r="AF598" s="7"/>
      <c r="AG598" s="10"/>
      <c r="AH598" s="1"/>
      <c r="AI598" s="10"/>
      <c r="AJ598" s="32"/>
      <c r="AL598" s="1"/>
    </row>
    <row r="599" spans="28:38" x14ac:dyDescent="0.3">
      <c r="AB599">
        <v>594</v>
      </c>
      <c r="AC599" s="7"/>
      <c r="AF599" s="7"/>
      <c r="AG599" s="10"/>
      <c r="AH599" s="1"/>
      <c r="AI599" s="10"/>
      <c r="AJ599" s="32"/>
      <c r="AL599" s="1"/>
    </row>
    <row r="600" spans="28:38" x14ac:dyDescent="0.3">
      <c r="AB600">
        <v>595</v>
      </c>
      <c r="AC600" s="7"/>
      <c r="AF600" s="7"/>
      <c r="AG600" s="10"/>
      <c r="AH600" s="1"/>
      <c r="AI600" s="10"/>
      <c r="AJ600" s="32"/>
      <c r="AL600" s="1"/>
    </row>
    <row r="601" spans="28:38" x14ac:dyDescent="0.3">
      <c r="AB601">
        <v>596</v>
      </c>
      <c r="AC601" s="7"/>
      <c r="AF601" s="7"/>
      <c r="AG601" s="10"/>
      <c r="AH601" s="1"/>
      <c r="AI601" s="10"/>
      <c r="AJ601" s="32"/>
      <c r="AL601" s="1"/>
    </row>
    <row r="602" spans="28:38" x14ac:dyDescent="0.3">
      <c r="AB602">
        <v>597</v>
      </c>
      <c r="AC602" s="7"/>
      <c r="AF602" s="7"/>
      <c r="AG602" s="10"/>
      <c r="AH602" s="1"/>
      <c r="AI602" s="10"/>
      <c r="AJ602" s="32"/>
      <c r="AL602" s="1"/>
    </row>
    <row r="603" spans="28:38" x14ac:dyDescent="0.3">
      <c r="AB603">
        <v>598</v>
      </c>
      <c r="AC603" s="7"/>
      <c r="AF603" s="7"/>
      <c r="AG603" s="10"/>
      <c r="AH603" s="1"/>
      <c r="AI603" s="10"/>
      <c r="AJ603" s="32"/>
      <c r="AL603" s="1"/>
    </row>
    <row r="604" spans="28:38" x14ac:dyDescent="0.3">
      <c r="AB604">
        <v>599</v>
      </c>
      <c r="AC604" s="7"/>
      <c r="AF604" s="7"/>
      <c r="AG604" s="10"/>
      <c r="AH604" s="1"/>
      <c r="AI604" s="10"/>
      <c r="AJ604" s="32"/>
      <c r="AL604" s="1"/>
    </row>
    <row r="605" spans="28:38" x14ac:dyDescent="0.3">
      <c r="AB605">
        <v>600</v>
      </c>
      <c r="AC605" s="7"/>
      <c r="AF605" s="7"/>
      <c r="AG605" s="10"/>
      <c r="AH605" s="1"/>
      <c r="AI605" s="10"/>
      <c r="AJ605" s="32"/>
      <c r="AL605" s="1"/>
    </row>
    <row r="606" spans="28:38" x14ac:dyDescent="0.3">
      <c r="AB606">
        <v>601</v>
      </c>
      <c r="AC606" s="7"/>
      <c r="AF606" s="7"/>
      <c r="AG606" s="10"/>
      <c r="AH606" s="1"/>
      <c r="AI606" s="10"/>
      <c r="AJ606" s="32"/>
      <c r="AL606" s="1"/>
    </row>
    <row r="607" spans="28:38" x14ac:dyDescent="0.3">
      <c r="AB607">
        <v>602</v>
      </c>
      <c r="AC607" s="7"/>
      <c r="AF607" s="7"/>
      <c r="AG607" s="10"/>
      <c r="AH607" s="1"/>
      <c r="AI607" s="10"/>
      <c r="AJ607" s="32"/>
      <c r="AL607" s="1"/>
    </row>
    <row r="608" spans="28:38" x14ac:dyDescent="0.3">
      <c r="AB608">
        <v>603</v>
      </c>
      <c r="AC608" s="7"/>
      <c r="AF608" s="7"/>
      <c r="AG608" s="10"/>
      <c r="AH608" s="1"/>
      <c r="AI608" s="10"/>
      <c r="AJ608" s="32"/>
      <c r="AL608" s="1"/>
    </row>
    <row r="609" spans="28:38" x14ac:dyDescent="0.3">
      <c r="AB609">
        <v>604</v>
      </c>
      <c r="AC609" s="7"/>
      <c r="AF609" s="7"/>
      <c r="AG609" s="10"/>
      <c r="AH609" s="1"/>
      <c r="AI609" s="10"/>
      <c r="AJ609" s="32"/>
      <c r="AL609" s="1"/>
    </row>
    <row r="610" spans="28:38" x14ac:dyDescent="0.3">
      <c r="AB610">
        <v>605</v>
      </c>
      <c r="AC610" s="7"/>
      <c r="AF610" s="7"/>
      <c r="AG610" s="10"/>
      <c r="AH610" s="1"/>
      <c r="AI610" s="10"/>
      <c r="AJ610" s="32"/>
      <c r="AL610" s="1"/>
    </row>
    <row r="611" spans="28:38" x14ac:dyDescent="0.3">
      <c r="AB611">
        <v>606</v>
      </c>
      <c r="AC611" s="7"/>
      <c r="AF611" s="7"/>
      <c r="AG611" s="10"/>
      <c r="AH611" s="1"/>
      <c r="AI611" s="10"/>
      <c r="AJ611" s="32"/>
      <c r="AL611" s="1"/>
    </row>
    <row r="612" spans="28:38" x14ac:dyDescent="0.3">
      <c r="AB612">
        <v>607</v>
      </c>
      <c r="AC612" s="7"/>
      <c r="AF612" s="7"/>
      <c r="AG612" s="10"/>
      <c r="AH612" s="1"/>
      <c r="AI612" s="10"/>
      <c r="AJ612" s="32"/>
      <c r="AL612" s="1"/>
    </row>
    <row r="613" spans="28:38" x14ac:dyDescent="0.3">
      <c r="AB613">
        <v>608</v>
      </c>
      <c r="AC613" s="7"/>
      <c r="AF613" s="7"/>
      <c r="AG613" s="10"/>
      <c r="AH613" s="1"/>
      <c r="AI613" s="10"/>
      <c r="AJ613" s="32"/>
      <c r="AL613" s="1"/>
    </row>
    <row r="614" spans="28:38" x14ac:dyDescent="0.3">
      <c r="AB614">
        <v>609</v>
      </c>
      <c r="AC614" s="7"/>
      <c r="AF614" s="7"/>
      <c r="AG614" s="10"/>
      <c r="AH614" s="1"/>
      <c r="AI614" s="10"/>
      <c r="AJ614" s="32"/>
      <c r="AL614" s="1"/>
    </row>
    <row r="615" spans="28:38" x14ac:dyDescent="0.3">
      <c r="AB615">
        <v>610</v>
      </c>
      <c r="AC615" s="7"/>
      <c r="AF615" s="7"/>
      <c r="AG615" s="10"/>
      <c r="AH615" s="1"/>
      <c r="AI615" s="10"/>
      <c r="AJ615" s="32"/>
      <c r="AL615" s="1"/>
    </row>
    <row r="616" spans="28:38" x14ac:dyDescent="0.3">
      <c r="AB616">
        <v>611</v>
      </c>
      <c r="AC616" s="7"/>
      <c r="AF616" s="7"/>
      <c r="AG616" s="10"/>
      <c r="AH616" s="1"/>
      <c r="AI616" s="10"/>
      <c r="AJ616" s="32"/>
      <c r="AL616" s="1"/>
    </row>
    <row r="617" spans="28:38" x14ac:dyDescent="0.3">
      <c r="AB617">
        <v>612</v>
      </c>
      <c r="AC617" s="7"/>
      <c r="AF617" s="7"/>
      <c r="AG617" s="10"/>
      <c r="AH617" s="1"/>
      <c r="AI617" s="10"/>
      <c r="AJ617" s="32"/>
      <c r="AL617" s="1"/>
    </row>
    <row r="618" spans="28:38" x14ac:dyDescent="0.3">
      <c r="AB618">
        <v>613</v>
      </c>
      <c r="AC618" s="7"/>
      <c r="AF618" s="7"/>
      <c r="AG618" s="10"/>
      <c r="AH618" s="1"/>
      <c r="AI618" s="10"/>
      <c r="AJ618" s="32"/>
      <c r="AL618" s="1"/>
    </row>
    <row r="619" spans="28:38" x14ac:dyDescent="0.3">
      <c r="AB619">
        <v>614</v>
      </c>
      <c r="AC619" s="7"/>
      <c r="AF619" s="7"/>
      <c r="AG619" s="10"/>
      <c r="AH619" s="1"/>
      <c r="AI619" s="10"/>
      <c r="AJ619" s="32"/>
      <c r="AL619" s="1"/>
    </row>
    <row r="620" spans="28:38" x14ac:dyDescent="0.3">
      <c r="AB620">
        <v>615</v>
      </c>
      <c r="AC620" s="7"/>
      <c r="AF620" s="7"/>
      <c r="AG620" s="10"/>
      <c r="AH620" s="1"/>
      <c r="AI620" s="10"/>
      <c r="AJ620" s="32"/>
      <c r="AL620" s="1"/>
    </row>
    <row r="621" spans="28:38" x14ac:dyDescent="0.3">
      <c r="AB621">
        <v>616</v>
      </c>
      <c r="AC621" s="7"/>
      <c r="AF621" s="7"/>
      <c r="AG621" s="10"/>
      <c r="AH621" s="1"/>
      <c r="AI621" s="10"/>
      <c r="AJ621" s="32"/>
      <c r="AL621" s="1"/>
    </row>
    <row r="622" spans="28:38" x14ac:dyDescent="0.3">
      <c r="AB622">
        <v>617</v>
      </c>
      <c r="AC622" s="7"/>
      <c r="AF622" s="7"/>
      <c r="AG622" s="10"/>
      <c r="AH622" s="1"/>
      <c r="AI622" s="10"/>
      <c r="AJ622" s="32"/>
      <c r="AL622" s="1"/>
    </row>
    <row r="623" spans="28:38" x14ac:dyDescent="0.3">
      <c r="AB623">
        <v>618</v>
      </c>
      <c r="AC623" s="7"/>
      <c r="AF623" s="7"/>
      <c r="AG623" s="10"/>
      <c r="AH623" s="1"/>
      <c r="AI623" s="10"/>
      <c r="AJ623" s="32"/>
      <c r="AL623" s="1"/>
    </row>
    <row r="624" spans="28:38" x14ac:dyDescent="0.3">
      <c r="AB624">
        <v>619</v>
      </c>
      <c r="AC624" s="7"/>
      <c r="AF624" s="7"/>
      <c r="AG624" s="10"/>
      <c r="AH624" s="1"/>
      <c r="AI624" s="10"/>
      <c r="AJ624" s="32"/>
      <c r="AL624" s="1"/>
    </row>
    <row r="625" spans="28:38" x14ac:dyDescent="0.3">
      <c r="AB625">
        <v>620</v>
      </c>
      <c r="AC625" s="7"/>
      <c r="AF625" s="7"/>
      <c r="AG625" s="10"/>
      <c r="AH625" s="1"/>
      <c r="AI625" s="10"/>
      <c r="AJ625" s="32"/>
      <c r="AL625" s="1"/>
    </row>
    <row r="626" spans="28:38" x14ac:dyDescent="0.3">
      <c r="AB626">
        <v>621</v>
      </c>
      <c r="AC626" s="7"/>
      <c r="AF626" s="7"/>
      <c r="AG626" s="10"/>
      <c r="AH626" s="1"/>
      <c r="AI626" s="10"/>
      <c r="AJ626" s="32"/>
      <c r="AL626" s="1"/>
    </row>
    <row r="627" spans="28:38" x14ac:dyDescent="0.3">
      <c r="AB627">
        <v>622</v>
      </c>
      <c r="AC627" s="7"/>
      <c r="AF627" s="7"/>
      <c r="AG627" s="10"/>
      <c r="AH627" s="1"/>
      <c r="AI627" s="10"/>
      <c r="AJ627" s="32"/>
      <c r="AL627" s="1"/>
    </row>
    <row r="628" spans="28:38" x14ac:dyDescent="0.3">
      <c r="AB628">
        <v>623</v>
      </c>
      <c r="AC628" s="7"/>
      <c r="AF628" s="7"/>
      <c r="AG628" s="10"/>
      <c r="AH628" s="1"/>
      <c r="AI628" s="10"/>
      <c r="AJ628" s="32"/>
      <c r="AL628" s="1"/>
    </row>
    <row r="629" spans="28:38" x14ac:dyDescent="0.3">
      <c r="AB629">
        <v>624</v>
      </c>
      <c r="AC629" s="7"/>
      <c r="AF629" s="7"/>
      <c r="AG629" s="10"/>
      <c r="AH629" s="1"/>
      <c r="AI629" s="10"/>
      <c r="AJ629" s="32"/>
      <c r="AL629" s="1"/>
    </row>
    <row r="630" spans="28:38" x14ac:dyDescent="0.3">
      <c r="AB630">
        <v>625</v>
      </c>
      <c r="AC630" s="7"/>
      <c r="AF630" s="7"/>
      <c r="AG630" s="10"/>
      <c r="AH630" s="1"/>
      <c r="AI630" s="10"/>
      <c r="AJ630" s="32"/>
      <c r="AL630" s="1"/>
    </row>
    <row r="631" spans="28:38" x14ac:dyDescent="0.3">
      <c r="AB631">
        <v>626</v>
      </c>
      <c r="AC631" s="7"/>
      <c r="AF631" s="7"/>
      <c r="AG631" s="10"/>
      <c r="AH631" s="1"/>
      <c r="AI631" s="10"/>
      <c r="AJ631" s="32"/>
      <c r="AL631" s="1"/>
    </row>
    <row r="632" spans="28:38" x14ac:dyDescent="0.3">
      <c r="AB632">
        <v>627</v>
      </c>
      <c r="AC632" s="7"/>
      <c r="AF632" s="7"/>
      <c r="AG632" s="10"/>
      <c r="AH632" s="1"/>
      <c r="AI632" s="10"/>
      <c r="AJ632" s="32"/>
      <c r="AL632" s="1"/>
    </row>
    <row r="633" spans="28:38" x14ac:dyDescent="0.3">
      <c r="AB633">
        <v>628</v>
      </c>
      <c r="AC633" s="7"/>
      <c r="AF633" s="7"/>
      <c r="AG633" s="10"/>
      <c r="AH633" s="1"/>
      <c r="AI633" s="10"/>
      <c r="AJ633" s="32"/>
      <c r="AL633" s="1"/>
    </row>
    <row r="634" spans="28:38" x14ac:dyDescent="0.3">
      <c r="AB634">
        <v>629</v>
      </c>
      <c r="AC634" s="7"/>
      <c r="AF634" s="7"/>
      <c r="AG634" s="10"/>
      <c r="AH634" s="1"/>
      <c r="AI634" s="10"/>
      <c r="AJ634" s="32"/>
      <c r="AL634" s="1"/>
    </row>
    <row r="635" spans="28:38" x14ac:dyDescent="0.3">
      <c r="AB635">
        <v>630</v>
      </c>
      <c r="AC635" s="7"/>
      <c r="AF635" s="7"/>
      <c r="AG635" s="10"/>
      <c r="AH635" s="1"/>
      <c r="AI635" s="10"/>
      <c r="AJ635" s="32"/>
      <c r="AL635" s="1"/>
    </row>
    <row r="636" spans="28:38" x14ac:dyDescent="0.3">
      <c r="AB636">
        <v>631</v>
      </c>
      <c r="AC636" s="7"/>
      <c r="AF636" s="7"/>
      <c r="AG636" s="10"/>
      <c r="AH636" s="1"/>
      <c r="AI636" s="10"/>
      <c r="AJ636" s="32"/>
      <c r="AL636" s="1"/>
    </row>
    <row r="637" spans="28:38" x14ac:dyDescent="0.3">
      <c r="AB637">
        <v>632</v>
      </c>
      <c r="AC637" s="7"/>
      <c r="AF637" s="7"/>
      <c r="AG637" s="10"/>
      <c r="AH637" s="1"/>
      <c r="AI637" s="10"/>
      <c r="AJ637" s="32"/>
      <c r="AL637" s="1"/>
    </row>
    <row r="638" spans="28:38" x14ac:dyDescent="0.3">
      <c r="AB638">
        <v>633</v>
      </c>
      <c r="AC638" s="7"/>
      <c r="AF638" s="7"/>
      <c r="AG638" s="10"/>
      <c r="AH638" s="1"/>
      <c r="AI638" s="10"/>
      <c r="AJ638" s="32"/>
      <c r="AL638" s="1"/>
    </row>
    <row r="639" spans="28:38" x14ac:dyDescent="0.3">
      <c r="AB639">
        <v>634</v>
      </c>
      <c r="AC639" s="7"/>
      <c r="AF639" s="7"/>
      <c r="AG639" s="10"/>
      <c r="AH639" s="1"/>
      <c r="AI639" s="10"/>
      <c r="AJ639" s="32"/>
      <c r="AL639" s="1"/>
    </row>
    <row r="640" spans="28:38" x14ac:dyDescent="0.3">
      <c r="AB640">
        <v>635</v>
      </c>
      <c r="AC640" s="7"/>
      <c r="AF640" s="7"/>
      <c r="AG640" s="10"/>
      <c r="AH640" s="1"/>
      <c r="AI640" s="10"/>
      <c r="AJ640" s="32"/>
      <c r="AL640" s="1"/>
    </row>
    <row r="641" spans="28:38" x14ac:dyDescent="0.3">
      <c r="AB641">
        <v>636</v>
      </c>
      <c r="AC641" s="7"/>
      <c r="AF641" s="7"/>
      <c r="AG641" s="10"/>
      <c r="AH641" s="1"/>
      <c r="AI641" s="10"/>
      <c r="AJ641" s="32"/>
      <c r="AL641" s="1"/>
    </row>
    <row r="642" spans="28:38" x14ac:dyDescent="0.3">
      <c r="AB642">
        <v>637</v>
      </c>
      <c r="AC642" s="7"/>
      <c r="AF642" s="7"/>
      <c r="AG642" s="10"/>
      <c r="AH642" s="1"/>
      <c r="AI642" s="10"/>
      <c r="AJ642" s="32"/>
      <c r="AL642" s="1"/>
    </row>
    <row r="643" spans="28:38" x14ac:dyDescent="0.3">
      <c r="AB643">
        <v>638</v>
      </c>
      <c r="AC643" s="7"/>
      <c r="AF643" s="7"/>
      <c r="AG643" s="10"/>
      <c r="AH643" s="1"/>
      <c r="AI643" s="10"/>
      <c r="AJ643" s="32"/>
      <c r="AL643" s="1"/>
    </row>
    <row r="644" spans="28:38" x14ac:dyDescent="0.3">
      <c r="AB644">
        <v>639</v>
      </c>
      <c r="AC644" s="7"/>
      <c r="AF644" s="7"/>
      <c r="AG644" s="10"/>
      <c r="AH644" s="1"/>
      <c r="AI644" s="10"/>
      <c r="AJ644" s="32"/>
      <c r="AL644" s="1"/>
    </row>
    <row r="645" spans="28:38" x14ac:dyDescent="0.3">
      <c r="AB645">
        <v>640</v>
      </c>
      <c r="AC645" s="7"/>
      <c r="AF645" s="7"/>
      <c r="AG645" s="10"/>
      <c r="AH645" s="1"/>
      <c r="AI645" s="10"/>
      <c r="AJ645" s="32"/>
      <c r="AL645" s="1"/>
    </row>
    <row r="646" spans="28:38" x14ac:dyDescent="0.3">
      <c r="AB646">
        <v>641</v>
      </c>
      <c r="AC646" s="7"/>
      <c r="AF646" s="7"/>
      <c r="AG646" s="10"/>
      <c r="AH646" s="1"/>
      <c r="AI646" s="10"/>
      <c r="AJ646" s="32"/>
      <c r="AL646" s="1"/>
    </row>
    <row r="647" spans="28:38" x14ac:dyDescent="0.3">
      <c r="AB647">
        <v>642</v>
      </c>
      <c r="AC647" s="7"/>
      <c r="AF647" s="7"/>
      <c r="AG647" s="10"/>
      <c r="AH647" s="1"/>
      <c r="AI647" s="10"/>
      <c r="AJ647" s="32"/>
      <c r="AL647" s="1"/>
    </row>
    <row r="648" spans="28:38" x14ac:dyDescent="0.3">
      <c r="AB648">
        <v>643</v>
      </c>
      <c r="AC648" s="7"/>
      <c r="AF648" s="7"/>
      <c r="AG648" s="10"/>
      <c r="AH648" s="1"/>
      <c r="AI648" s="10"/>
      <c r="AJ648" s="32"/>
      <c r="AL648" s="1"/>
    </row>
    <row r="649" spans="28:38" x14ac:dyDescent="0.3">
      <c r="AB649">
        <v>644</v>
      </c>
      <c r="AC649" s="7"/>
      <c r="AF649" s="7"/>
      <c r="AG649" s="10"/>
      <c r="AH649" s="1"/>
      <c r="AI649" s="10"/>
      <c r="AJ649" s="32"/>
      <c r="AL649" s="1"/>
    </row>
    <row r="650" spans="28:38" x14ac:dyDescent="0.3">
      <c r="AB650">
        <v>645</v>
      </c>
      <c r="AC650" s="7"/>
      <c r="AF650" s="7"/>
      <c r="AG650" s="10"/>
      <c r="AH650" s="1"/>
      <c r="AI650" s="10"/>
      <c r="AJ650" s="32"/>
      <c r="AL650" s="1"/>
    </row>
    <row r="651" spans="28:38" x14ac:dyDescent="0.3">
      <c r="AB651">
        <v>646</v>
      </c>
      <c r="AC651" s="7"/>
      <c r="AF651" s="7"/>
      <c r="AG651" s="10"/>
      <c r="AH651" s="1"/>
      <c r="AI651" s="10"/>
      <c r="AJ651" s="32"/>
      <c r="AL651" s="1"/>
    </row>
    <row r="652" spans="28:38" x14ac:dyDescent="0.3">
      <c r="AB652">
        <v>647</v>
      </c>
      <c r="AC652" s="7"/>
      <c r="AF652" s="7"/>
      <c r="AG652" s="10"/>
      <c r="AH652" s="1"/>
      <c r="AI652" s="10"/>
      <c r="AJ652" s="32"/>
      <c r="AL652" s="1"/>
    </row>
    <row r="653" spans="28:38" x14ac:dyDescent="0.3">
      <c r="AB653">
        <v>648</v>
      </c>
      <c r="AC653" s="7"/>
      <c r="AF653" s="7"/>
      <c r="AG653" s="10"/>
      <c r="AH653" s="1"/>
      <c r="AI653" s="10"/>
      <c r="AJ653" s="32"/>
      <c r="AL653" s="1"/>
    </row>
    <row r="654" spans="28:38" x14ac:dyDescent="0.3">
      <c r="AB654">
        <v>649</v>
      </c>
      <c r="AC654" s="7"/>
      <c r="AF654" s="7"/>
      <c r="AG654" s="10"/>
      <c r="AH654" s="1"/>
      <c r="AI654" s="10"/>
      <c r="AJ654" s="32"/>
      <c r="AL654" s="1"/>
    </row>
    <row r="655" spans="28:38" x14ac:dyDescent="0.3">
      <c r="AB655">
        <v>650</v>
      </c>
      <c r="AC655" s="7"/>
      <c r="AF655" s="7"/>
      <c r="AG655" s="10"/>
      <c r="AH655" s="1"/>
      <c r="AI655" s="10"/>
      <c r="AJ655" s="32"/>
      <c r="AL655" s="1"/>
    </row>
    <row r="656" spans="28:38" x14ac:dyDescent="0.3">
      <c r="AB656">
        <v>651</v>
      </c>
      <c r="AC656" s="7"/>
      <c r="AF656" s="7"/>
      <c r="AG656" s="10"/>
      <c r="AH656" s="1"/>
      <c r="AI656" s="10"/>
      <c r="AJ656" s="32"/>
      <c r="AL656" s="1"/>
    </row>
    <row r="657" spans="28:38" x14ac:dyDescent="0.3">
      <c r="AB657">
        <v>652</v>
      </c>
      <c r="AC657" s="7"/>
      <c r="AF657" s="7"/>
      <c r="AG657" s="10"/>
      <c r="AH657" s="1"/>
      <c r="AI657" s="10"/>
      <c r="AJ657" s="32"/>
      <c r="AL657" s="1"/>
    </row>
    <row r="658" spans="28:38" x14ac:dyDescent="0.3">
      <c r="AB658">
        <v>653</v>
      </c>
      <c r="AC658" s="7"/>
      <c r="AF658" s="7"/>
      <c r="AG658" s="10"/>
      <c r="AH658" s="1"/>
      <c r="AI658" s="10"/>
      <c r="AJ658" s="32"/>
      <c r="AL658" s="1"/>
    </row>
    <row r="659" spans="28:38" x14ac:dyDescent="0.3">
      <c r="AB659">
        <v>654</v>
      </c>
      <c r="AC659" s="7"/>
      <c r="AF659" s="7"/>
      <c r="AG659" s="10"/>
      <c r="AH659" s="1"/>
      <c r="AI659" s="10"/>
      <c r="AJ659" s="32"/>
      <c r="AL659" s="1"/>
    </row>
    <row r="660" spans="28:38" x14ac:dyDescent="0.3">
      <c r="AB660">
        <v>655</v>
      </c>
      <c r="AC660" s="7"/>
      <c r="AF660" s="7"/>
      <c r="AG660" s="10"/>
      <c r="AH660" s="1"/>
      <c r="AI660" s="10"/>
      <c r="AJ660" s="32"/>
      <c r="AL660" s="1"/>
    </row>
    <row r="661" spans="28:38" x14ac:dyDescent="0.3">
      <c r="AB661">
        <v>656</v>
      </c>
      <c r="AC661" s="7"/>
      <c r="AF661" s="7"/>
      <c r="AG661" s="10"/>
      <c r="AH661" s="1"/>
      <c r="AI661" s="10"/>
      <c r="AJ661" s="32"/>
      <c r="AL661" s="1"/>
    </row>
    <row r="662" spans="28:38" x14ac:dyDescent="0.3">
      <c r="AB662">
        <v>657</v>
      </c>
      <c r="AC662" s="7"/>
      <c r="AF662" s="7"/>
      <c r="AG662" s="10"/>
      <c r="AH662" s="1"/>
      <c r="AI662" s="10"/>
      <c r="AJ662" s="32"/>
      <c r="AL662" s="1"/>
    </row>
    <row r="663" spans="28:38" x14ac:dyDescent="0.3">
      <c r="AB663">
        <v>658</v>
      </c>
      <c r="AC663" s="7"/>
      <c r="AF663" s="7"/>
      <c r="AG663" s="10"/>
      <c r="AH663" s="1"/>
      <c r="AI663" s="10"/>
      <c r="AJ663" s="32"/>
      <c r="AL663" s="1"/>
    </row>
    <row r="664" spans="28:38" x14ac:dyDescent="0.3">
      <c r="AB664">
        <v>659</v>
      </c>
      <c r="AC664" s="7"/>
      <c r="AF664" s="7"/>
      <c r="AG664" s="10"/>
      <c r="AH664" s="1"/>
      <c r="AI664" s="10"/>
      <c r="AJ664" s="32"/>
      <c r="AL664" s="1"/>
    </row>
    <row r="665" spans="28:38" x14ac:dyDescent="0.3">
      <c r="AB665">
        <v>660</v>
      </c>
      <c r="AC665" s="7"/>
      <c r="AF665" s="7"/>
      <c r="AG665" s="10"/>
      <c r="AH665" s="1"/>
      <c r="AI665" s="10"/>
      <c r="AJ665" s="32"/>
      <c r="AL665" s="1"/>
    </row>
    <row r="666" spans="28:38" x14ac:dyDescent="0.3">
      <c r="AB666">
        <v>661</v>
      </c>
      <c r="AC666" s="7"/>
      <c r="AF666" s="7"/>
      <c r="AG666" s="10"/>
      <c r="AH666" s="1"/>
      <c r="AI666" s="10"/>
      <c r="AJ666" s="32"/>
      <c r="AL666" s="1"/>
    </row>
    <row r="667" spans="28:38" x14ac:dyDescent="0.3">
      <c r="AB667">
        <v>662</v>
      </c>
      <c r="AC667" s="7"/>
      <c r="AF667" s="7"/>
      <c r="AG667" s="10"/>
      <c r="AH667" s="1"/>
      <c r="AI667" s="10"/>
      <c r="AJ667" s="32"/>
      <c r="AL667" s="1"/>
    </row>
    <row r="668" spans="28:38" x14ac:dyDescent="0.3">
      <c r="AB668">
        <v>663</v>
      </c>
      <c r="AC668" s="7"/>
      <c r="AF668" s="7"/>
      <c r="AG668" s="10"/>
      <c r="AH668" s="1"/>
      <c r="AI668" s="10"/>
      <c r="AJ668" s="32"/>
      <c r="AL668" s="1"/>
    </row>
    <row r="669" spans="28:38" x14ac:dyDescent="0.3">
      <c r="AB669">
        <v>664</v>
      </c>
      <c r="AC669" s="7"/>
      <c r="AF669" s="7"/>
      <c r="AG669" s="10"/>
      <c r="AH669" s="1"/>
      <c r="AI669" s="10"/>
      <c r="AJ669" s="32"/>
      <c r="AL669" s="1"/>
    </row>
    <row r="670" spans="28:38" x14ac:dyDescent="0.3">
      <c r="AB670">
        <v>665</v>
      </c>
      <c r="AC670" s="7"/>
      <c r="AF670" s="7"/>
      <c r="AG670" s="10"/>
      <c r="AH670" s="1"/>
      <c r="AI670" s="10"/>
      <c r="AJ670" s="32"/>
      <c r="AL670" s="1"/>
    </row>
    <row r="671" spans="28:38" x14ac:dyDescent="0.3">
      <c r="AB671">
        <v>666</v>
      </c>
      <c r="AC671" s="7"/>
      <c r="AF671" s="7"/>
      <c r="AG671" s="10"/>
      <c r="AH671" s="1"/>
      <c r="AI671" s="10"/>
      <c r="AJ671" s="32"/>
      <c r="AL671" s="1"/>
    </row>
    <row r="672" spans="28:38" x14ac:dyDescent="0.3">
      <c r="AB672">
        <v>667</v>
      </c>
      <c r="AC672" s="7"/>
      <c r="AF672" s="7"/>
      <c r="AG672" s="10"/>
      <c r="AH672" s="1"/>
      <c r="AI672" s="10"/>
      <c r="AJ672" s="32"/>
      <c r="AL672" s="1"/>
    </row>
    <row r="673" spans="28:38" x14ac:dyDescent="0.3">
      <c r="AB673">
        <v>668</v>
      </c>
      <c r="AC673" s="7"/>
      <c r="AF673" s="7"/>
      <c r="AG673" s="10"/>
      <c r="AH673" s="1"/>
      <c r="AI673" s="10"/>
      <c r="AJ673" s="32"/>
      <c r="AL673" s="1"/>
    </row>
    <row r="674" spans="28:38" x14ac:dyDescent="0.3">
      <c r="AB674">
        <v>669</v>
      </c>
      <c r="AC674" s="7"/>
      <c r="AF674" s="7"/>
      <c r="AG674" s="10"/>
      <c r="AH674" s="1"/>
      <c r="AI674" s="10"/>
      <c r="AJ674" s="32"/>
      <c r="AL674" s="1"/>
    </row>
    <row r="675" spans="28:38" x14ac:dyDescent="0.3">
      <c r="AB675">
        <v>670</v>
      </c>
      <c r="AC675" s="7"/>
      <c r="AF675" s="7"/>
      <c r="AG675" s="10"/>
      <c r="AH675" s="1"/>
      <c r="AI675" s="10"/>
      <c r="AJ675" s="32"/>
      <c r="AL675" s="1"/>
    </row>
    <row r="676" spans="28:38" x14ac:dyDescent="0.3">
      <c r="AB676">
        <v>671</v>
      </c>
      <c r="AC676" s="7"/>
      <c r="AF676" s="7"/>
      <c r="AG676" s="10"/>
      <c r="AH676" s="1"/>
      <c r="AI676" s="10"/>
      <c r="AJ676" s="32"/>
      <c r="AL676" s="1"/>
    </row>
    <row r="677" spans="28:38" x14ac:dyDescent="0.3">
      <c r="AB677">
        <v>672</v>
      </c>
      <c r="AC677" s="7"/>
      <c r="AF677" s="7"/>
      <c r="AG677" s="10"/>
      <c r="AH677" s="1"/>
      <c r="AI677" s="10"/>
      <c r="AJ677" s="32"/>
      <c r="AL677" s="1"/>
    </row>
    <row r="678" spans="28:38" x14ac:dyDescent="0.3">
      <c r="AB678">
        <v>673</v>
      </c>
      <c r="AC678" s="7"/>
      <c r="AF678" s="7"/>
      <c r="AG678" s="10"/>
      <c r="AH678" s="1"/>
      <c r="AI678" s="10"/>
      <c r="AJ678" s="32"/>
      <c r="AL678" s="1"/>
    </row>
    <row r="679" spans="28:38" x14ac:dyDescent="0.3">
      <c r="AB679">
        <v>674</v>
      </c>
      <c r="AC679" s="7"/>
      <c r="AF679" s="7"/>
      <c r="AG679" s="10"/>
      <c r="AH679" s="1"/>
      <c r="AI679" s="10"/>
      <c r="AJ679" s="32"/>
      <c r="AL679" s="1"/>
    </row>
    <row r="680" spans="28:38" x14ac:dyDescent="0.3">
      <c r="AB680">
        <v>675</v>
      </c>
      <c r="AC680" s="7"/>
      <c r="AF680" s="7"/>
      <c r="AG680" s="10"/>
      <c r="AH680" s="1"/>
      <c r="AI680" s="10"/>
      <c r="AJ680" s="32"/>
      <c r="AL680" s="1"/>
    </row>
    <row r="681" spans="28:38" x14ac:dyDescent="0.3">
      <c r="AB681">
        <v>676</v>
      </c>
      <c r="AC681" s="7"/>
      <c r="AF681" s="7"/>
      <c r="AG681" s="10"/>
      <c r="AH681" s="1"/>
      <c r="AI681" s="10"/>
      <c r="AJ681" s="32"/>
      <c r="AL681" s="1"/>
    </row>
    <row r="682" spans="28:38" x14ac:dyDescent="0.3">
      <c r="AB682">
        <v>677</v>
      </c>
      <c r="AC682" s="7"/>
      <c r="AF682" s="7"/>
      <c r="AG682" s="10"/>
      <c r="AH682" s="1"/>
      <c r="AI682" s="10"/>
      <c r="AJ682" s="32"/>
      <c r="AL682" s="1"/>
    </row>
    <row r="683" spans="28:38" x14ac:dyDescent="0.3">
      <c r="AB683">
        <v>678</v>
      </c>
      <c r="AC683" s="7"/>
      <c r="AF683" s="7"/>
      <c r="AG683" s="10"/>
      <c r="AH683" s="1"/>
      <c r="AI683" s="10"/>
      <c r="AJ683" s="32"/>
      <c r="AL683" s="1"/>
    </row>
    <row r="684" spans="28:38" x14ac:dyDescent="0.3">
      <c r="AB684">
        <v>679</v>
      </c>
      <c r="AC684" s="7"/>
      <c r="AF684" s="7"/>
      <c r="AG684" s="10"/>
      <c r="AH684" s="1"/>
      <c r="AI684" s="10"/>
      <c r="AJ684" s="32"/>
      <c r="AL684" s="1"/>
    </row>
    <row r="685" spans="28:38" x14ac:dyDescent="0.3">
      <c r="AB685">
        <v>680</v>
      </c>
      <c r="AC685" s="7"/>
      <c r="AF685" s="7"/>
      <c r="AG685" s="10"/>
      <c r="AH685" s="1"/>
      <c r="AI685" s="10"/>
      <c r="AJ685" s="32"/>
      <c r="AL685" s="1"/>
    </row>
    <row r="686" spans="28:38" x14ac:dyDescent="0.3">
      <c r="AB686">
        <v>681</v>
      </c>
      <c r="AC686" s="7"/>
      <c r="AF686" s="7"/>
      <c r="AG686" s="10"/>
      <c r="AH686" s="1"/>
      <c r="AI686" s="10"/>
      <c r="AJ686" s="32"/>
      <c r="AL686" s="1"/>
    </row>
    <row r="687" spans="28:38" x14ac:dyDescent="0.3">
      <c r="AB687">
        <v>682</v>
      </c>
      <c r="AC687" s="7"/>
      <c r="AF687" s="7"/>
      <c r="AG687" s="10"/>
      <c r="AH687" s="1"/>
      <c r="AI687" s="10"/>
      <c r="AJ687" s="32"/>
      <c r="AL687" s="1"/>
    </row>
    <row r="688" spans="28:38" x14ac:dyDescent="0.3">
      <c r="AB688">
        <v>683</v>
      </c>
      <c r="AC688" s="7"/>
      <c r="AF688" s="7"/>
      <c r="AG688" s="10"/>
      <c r="AH688" s="1"/>
      <c r="AI688" s="10"/>
      <c r="AJ688" s="32"/>
      <c r="AL688" s="1"/>
    </row>
    <row r="689" spans="28:38" x14ac:dyDescent="0.3">
      <c r="AB689">
        <v>684</v>
      </c>
      <c r="AC689" s="7"/>
      <c r="AF689" s="7"/>
      <c r="AG689" s="10"/>
      <c r="AH689" s="1"/>
      <c r="AI689" s="10"/>
      <c r="AJ689" s="32"/>
      <c r="AL689" s="1"/>
    </row>
    <row r="690" spans="28:38" x14ac:dyDescent="0.3">
      <c r="AB690">
        <v>685</v>
      </c>
      <c r="AC690" s="7"/>
      <c r="AF690" s="7"/>
      <c r="AG690" s="10"/>
      <c r="AH690" s="1"/>
      <c r="AI690" s="10"/>
      <c r="AJ690" s="32"/>
      <c r="AL690" s="1"/>
    </row>
    <row r="691" spans="28:38" x14ac:dyDescent="0.3">
      <c r="AB691">
        <v>686</v>
      </c>
      <c r="AC691" s="7"/>
      <c r="AF691" s="7"/>
      <c r="AG691" s="10"/>
      <c r="AH691" s="1"/>
      <c r="AI691" s="10"/>
      <c r="AJ691" s="32"/>
      <c r="AL691" s="1"/>
    </row>
    <row r="692" spans="28:38" x14ac:dyDescent="0.3">
      <c r="AB692">
        <v>687</v>
      </c>
      <c r="AC692" s="7"/>
      <c r="AF692" s="7"/>
      <c r="AG692" s="10"/>
      <c r="AH692" s="1"/>
      <c r="AI692" s="10"/>
      <c r="AJ692" s="32"/>
      <c r="AL692" s="1"/>
    </row>
    <row r="693" spans="28:38" x14ac:dyDescent="0.3">
      <c r="AB693">
        <v>688</v>
      </c>
      <c r="AC693" s="7"/>
      <c r="AF693" s="7"/>
      <c r="AG693" s="10"/>
      <c r="AH693" s="1"/>
      <c r="AI693" s="10"/>
      <c r="AJ693" s="32"/>
      <c r="AL693" s="1"/>
    </row>
    <row r="694" spans="28:38" x14ac:dyDescent="0.3">
      <c r="AB694">
        <v>689</v>
      </c>
      <c r="AC694" s="7"/>
      <c r="AF694" s="7"/>
      <c r="AG694" s="10"/>
      <c r="AH694" s="1"/>
      <c r="AI694" s="10"/>
      <c r="AJ694" s="32"/>
      <c r="AL694" s="1"/>
    </row>
    <row r="695" spans="28:38" x14ac:dyDescent="0.3">
      <c r="AB695">
        <v>690</v>
      </c>
      <c r="AC695" s="7"/>
      <c r="AF695" s="7"/>
      <c r="AG695" s="10"/>
      <c r="AH695" s="1"/>
      <c r="AI695" s="10"/>
      <c r="AJ695" s="32"/>
      <c r="AL695" s="1"/>
    </row>
    <row r="696" spans="28:38" x14ac:dyDescent="0.3">
      <c r="AB696">
        <v>691</v>
      </c>
      <c r="AC696" s="7"/>
      <c r="AF696" s="7"/>
      <c r="AG696" s="10"/>
      <c r="AH696" s="1"/>
      <c r="AI696" s="10"/>
      <c r="AJ696" s="32"/>
      <c r="AL696" s="1"/>
    </row>
    <row r="697" spans="28:38" x14ac:dyDescent="0.3">
      <c r="AB697">
        <v>692</v>
      </c>
      <c r="AC697" s="7"/>
      <c r="AF697" s="7"/>
      <c r="AG697" s="10"/>
      <c r="AH697" s="1"/>
      <c r="AI697" s="10"/>
      <c r="AJ697" s="32"/>
      <c r="AL697" s="1"/>
    </row>
    <row r="698" spans="28:38" x14ac:dyDescent="0.3">
      <c r="AB698">
        <v>693</v>
      </c>
      <c r="AC698" s="7"/>
      <c r="AF698" s="7"/>
      <c r="AG698" s="10"/>
      <c r="AH698" s="1"/>
      <c r="AI698" s="10"/>
      <c r="AJ698" s="32"/>
      <c r="AL698" s="1"/>
    </row>
    <row r="699" spans="28:38" x14ac:dyDescent="0.3">
      <c r="AB699">
        <v>694</v>
      </c>
      <c r="AC699" s="7"/>
      <c r="AF699" s="7"/>
      <c r="AG699" s="10"/>
      <c r="AH699" s="1"/>
      <c r="AI699" s="10"/>
      <c r="AJ699" s="32"/>
      <c r="AL699" s="1"/>
    </row>
    <row r="700" spans="28:38" x14ac:dyDescent="0.3">
      <c r="AB700">
        <v>695</v>
      </c>
      <c r="AC700" s="7"/>
      <c r="AF700" s="7"/>
      <c r="AG700" s="10"/>
      <c r="AH700" s="1"/>
      <c r="AI700" s="10"/>
      <c r="AJ700" s="32"/>
      <c r="AL700" s="1"/>
    </row>
    <row r="701" spans="28:38" x14ac:dyDescent="0.3">
      <c r="AB701">
        <v>696</v>
      </c>
      <c r="AC701" s="7"/>
      <c r="AF701" s="7"/>
      <c r="AG701" s="10"/>
      <c r="AH701" s="1"/>
      <c r="AI701" s="10"/>
      <c r="AJ701" s="32"/>
      <c r="AL701" s="1"/>
    </row>
    <row r="702" spans="28:38" x14ac:dyDescent="0.3">
      <c r="AB702">
        <v>697</v>
      </c>
      <c r="AC702" s="7"/>
      <c r="AF702" s="7"/>
      <c r="AG702" s="10"/>
      <c r="AH702" s="1"/>
      <c r="AI702" s="10"/>
      <c r="AJ702" s="32"/>
      <c r="AL702" s="1"/>
    </row>
    <row r="703" spans="28:38" x14ac:dyDescent="0.3">
      <c r="AB703">
        <v>698</v>
      </c>
      <c r="AC703" s="7"/>
      <c r="AF703" s="7"/>
      <c r="AG703" s="10"/>
      <c r="AH703" s="1"/>
      <c r="AI703" s="10"/>
      <c r="AJ703" s="32"/>
      <c r="AL703" s="1"/>
    </row>
    <row r="704" spans="28:38" x14ac:dyDescent="0.3">
      <c r="AB704">
        <v>699</v>
      </c>
      <c r="AC704" s="7"/>
      <c r="AF704" s="7"/>
      <c r="AG704" s="10"/>
      <c r="AH704" s="1"/>
      <c r="AI704" s="10"/>
      <c r="AJ704" s="32"/>
      <c r="AL704" s="1"/>
    </row>
    <row r="705" spans="28:38" x14ac:dyDescent="0.3">
      <c r="AB705">
        <v>700</v>
      </c>
      <c r="AC705" s="7"/>
      <c r="AF705" s="7"/>
      <c r="AG705" s="10"/>
      <c r="AH705" s="1"/>
      <c r="AI705" s="10"/>
      <c r="AJ705" s="32"/>
      <c r="AL705" s="1"/>
    </row>
    <row r="706" spans="28:38" x14ac:dyDescent="0.3">
      <c r="AB706">
        <v>701</v>
      </c>
      <c r="AC706" s="7"/>
      <c r="AF706" s="7"/>
      <c r="AG706" s="10"/>
      <c r="AH706" s="1"/>
      <c r="AI706" s="10"/>
      <c r="AJ706" s="32"/>
      <c r="AL706" s="1"/>
    </row>
    <row r="707" spans="28:38" x14ac:dyDescent="0.3">
      <c r="AB707">
        <v>702</v>
      </c>
      <c r="AC707" s="7"/>
      <c r="AF707" s="7"/>
      <c r="AG707" s="10"/>
      <c r="AH707" s="1"/>
      <c r="AI707" s="10"/>
      <c r="AJ707" s="32"/>
      <c r="AL707" s="1"/>
    </row>
    <row r="708" spans="28:38" x14ac:dyDescent="0.3">
      <c r="AB708">
        <v>703</v>
      </c>
      <c r="AC708" s="7"/>
      <c r="AF708" s="7"/>
      <c r="AG708" s="10"/>
      <c r="AH708" s="1"/>
      <c r="AI708" s="10"/>
      <c r="AJ708" s="32"/>
      <c r="AL708" s="1"/>
    </row>
    <row r="709" spans="28:38" x14ac:dyDescent="0.3">
      <c r="AB709">
        <v>704</v>
      </c>
      <c r="AC709" s="7"/>
      <c r="AF709" s="7"/>
      <c r="AG709" s="10"/>
      <c r="AH709" s="1"/>
      <c r="AI709" s="10"/>
      <c r="AJ709" s="32"/>
      <c r="AL709" s="1"/>
    </row>
    <row r="710" spans="28:38" x14ac:dyDescent="0.3">
      <c r="AB710">
        <v>705</v>
      </c>
      <c r="AC710" s="7"/>
      <c r="AF710" s="7"/>
      <c r="AG710" s="10"/>
      <c r="AH710" s="1"/>
      <c r="AI710" s="10"/>
      <c r="AJ710" s="32"/>
      <c r="AL710" s="1"/>
    </row>
    <row r="711" spans="28:38" x14ac:dyDescent="0.3">
      <c r="AB711">
        <v>706</v>
      </c>
      <c r="AC711" s="7"/>
      <c r="AF711" s="7"/>
      <c r="AG711" s="10"/>
      <c r="AH711" s="1"/>
      <c r="AI711" s="10"/>
      <c r="AJ711" s="32"/>
      <c r="AL711" s="1"/>
    </row>
    <row r="712" spans="28:38" x14ac:dyDescent="0.3">
      <c r="AB712">
        <v>707</v>
      </c>
      <c r="AC712" s="7"/>
      <c r="AF712" s="7"/>
      <c r="AG712" s="10"/>
      <c r="AH712" s="1"/>
      <c r="AI712" s="10"/>
      <c r="AJ712" s="32"/>
      <c r="AL712" s="1"/>
    </row>
    <row r="713" spans="28:38" x14ac:dyDescent="0.3">
      <c r="AB713">
        <v>708</v>
      </c>
      <c r="AC713" s="7"/>
      <c r="AF713" s="7"/>
      <c r="AG713" s="10"/>
      <c r="AH713" s="1"/>
      <c r="AI713" s="10"/>
      <c r="AJ713" s="32"/>
      <c r="AL713" s="1"/>
    </row>
    <row r="714" spans="28:38" x14ac:dyDescent="0.3">
      <c r="AB714">
        <v>709</v>
      </c>
      <c r="AC714" s="7"/>
      <c r="AF714" s="7"/>
      <c r="AG714" s="10"/>
      <c r="AH714" s="1"/>
      <c r="AI714" s="10"/>
      <c r="AJ714" s="32"/>
      <c r="AL714" s="1"/>
    </row>
    <row r="715" spans="28:38" x14ac:dyDescent="0.3">
      <c r="AB715">
        <v>710</v>
      </c>
      <c r="AC715" s="7"/>
      <c r="AF715" s="7"/>
      <c r="AG715" s="10"/>
      <c r="AH715" s="1"/>
      <c r="AI715" s="10"/>
      <c r="AJ715" s="32"/>
      <c r="AL715" s="1"/>
    </row>
    <row r="716" spans="28:38" x14ac:dyDescent="0.3">
      <c r="AB716">
        <v>711</v>
      </c>
      <c r="AC716" s="7"/>
      <c r="AF716" s="7"/>
      <c r="AG716" s="10"/>
      <c r="AH716" s="1"/>
      <c r="AI716" s="10"/>
      <c r="AJ716" s="32"/>
      <c r="AL716" s="1"/>
    </row>
    <row r="717" spans="28:38" x14ac:dyDescent="0.3">
      <c r="AB717">
        <v>712</v>
      </c>
      <c r="AC717" s="7"/>
      <c r="AF717" s="7"/>
      <c r="AG717" s="10"/>
      <c r="AH717" s="1"/>
      <c r="AI717" s="10"/>
      <c r="AJ717" s="32"/>
      <c r="AL717" s="1"/>
    </row>
    <row r="718" spans="28:38" x14ac:dyDescent="0.3">
      <c r="AB718">
        <v>713</v>
      </c>
      <c r="AC718" s="7"/>
      <c r="AF718" s="7"/>
      <c r="AG718" s="10"/>
      <c r="AH718" s="1"/>
      <c r="AI718" s="10"/>
      <c r="AJ718" s="32"/>
      <c r="AL718" s="1"/>
    </row>
    <row r="719" spans="28:38" x14ac:dyDescent="0.3">
      <c r="AB719">
        <v>714</v>
      </c>
      <c r="AC719" s="7"/>
      <c r="AF719" s="7"/>
      <c r="AG719" s="10"/>
      <c r="AH719" s="1"/>
      <c r="AI719" s="10"/>
      <c r="AJ719" s="32"/>
      <c r="AL719" s="1"/>
    </row>
    <row r="720" spans="28:38" x14ac:dyDescent="0.3">
      <c r="AB720">
        <v>715</v>
      </c>
      <c r="AC720" s="7"/>
      <c r="AF720" s="7"/>
      <c r="AG720" s="10"/>
      <c r="AH720" s="1"/>
      <c r="AI720" s="10"/>
      <c r="AJ720" s="32"/>
      <c r="AL720" s="1"/>
    </row>
    <row r="721" spans="28:38" x14ac:dyDescent="0.3">
      <c r="AB721">
        <v>716</v>
      </c>
      <c r="AC721" s="7"/>
      <c r="AF721" s="7"/>
      <c r="AG721" s="10"/>
      <c r="AH721" s="1"/>
      <c r="AI721" s="10"/>
      <c r="AJ721" s="32"/>
      <c r="AL721" s="1"/>
    </row>
    <row r="722" spans="28:38" x14ac:dyDescent="0.3">
      <c r="AB722">
        <v>717</v>
      </c>
      <c r="AC722" s="7"/>
      <c r="AF722" s="7"/>
      <c r="AG722" s="10"/>
      <c r="AH722" s="1"/>
      <c r="AI722" s="10"/>
      <c r="AJ722" s="32"/>
      <c r="AL722" s="1"/>
    </row>
    <row r="723" spans="28:38" x14ac:dyDescent="0.3">
      <c r="AB723">
        <v>718</v>
      </c>
      <c r="AC723" s="7"/>
      <c r="AF723" s="7"/>
      <c r="AG723" s="10"/>
      <c r="AH723" s="1"/>
      <c r="AI723" s="10"/>
      <c r="AJ723" s="32"/>
      <c r="AL723" s="1"/>
    </row>
    <row r="724" spans="28:38" x14ac:dyDescent="0.3">
      <c r="AB724">
        <v>719</v>
      </c>
      <c r="AC724" s="7"/>
      <c r="AF724" s="7"/>
      <c r="AG724" s="10"/>
      <c r="AH724" s="1"/>
      <c r="AI724" s="10"/>
      <c r="AJ724" s="32"/>
      <c r="AL724" s="1"/>
    </row>
    <row r="725" spans="28:38" x14ac:dyDescent="0.3">
      <c r="AB725">
        <v>720</v>
      </c>
      <c r="AC725" s="7"/>
      <c r="AF725" s="7"/>
      <c r="AG725" s="10"/>
      <c r="AH725" s="1"/>
      <c r="AI725" s="10"/>
      <c r="AJ725" s="32"/>
      <c r="AL725" s="1"/>
    </row>
    <row r="726" spans="28:38" x14ac:dyDescent="0.3">
      <c r="AB726">
        <v>721</v>
      </c>
      <c r="AC726" s="7"/>
      <c r="AF726" s="7"/>
      <c r="AG726" s="10"/>
      <c r="AH726" s="1"/>
      <c r="AI726" s="10"/>
      <c r="AJ726" s="32"/>
      <c r="AL726" s="1"/>
    </row>
    <row r="727" spans="28:38" x14ac:dyDescent="0.3">
      <c r="AB727">
        <v>722</v>
      </c>
      <c r="AC727" s="7"/>
      <c r="AF727" s="7"/>
      <c r="AG727" s="10"/>
      <c r="AH727" s="1"/>
      <c r="AI727" s="10"/>
      <c r="AJ727" s="32"/>
      <c r="AL727" s="1"/>
    </row>
    <row r="728" spans="28:38" x14ac:dyDescent="0.3">
      <c r="AB728">
        <v>723</v>
      </c>
      <c r="AC728" s="7"/>
      <c r="AF728" s="7"/>
      <c r="AG728" s="10"/>
      <c r="AH728" s="1"/>
      <c r="AI728" s="10"/>
      <c r="AJ728" s="32"/>
      <c r="AL728" s="1"/>
    </row>
    <row r="729" spans="28:38" x14ac:dyDescent="0.3">
      <c r="AB729">
        <v>724</v>
      </c>
      <c r="AC729" s="7"/>
      <c r="AF729" s="7"/>
      <c r="AG729" s="10"/>
      <c r="AH729" s="1"/>
      <c r="AI729" s="10"/>
      <c r="AJ729" s="32"/>
      <c r="AL729" s="1"/>
    </row>
    <row r="730" spans="28:38" x14ac:dyDescent="0.3">
      <c r="AB730">
        <v>725</v>
      </c>
      <c r="AC730" s="7"/>
      <c r="AF730" s="7"/>
      <c r="AG730" s="10"/>
      <c r="AH730" s="1"/>
      <c r="AI730" s="10"/>
      <c r="AJ730" s="32"/>
      <c r="AL730" s="1"/>
    </row>
    <row r="731" spans="28:38" x14ac:dyDescent="0.3">
      <c r="AB731">
        <v>726</v>
      </c>
      <c r="AC731" s="7"/>
      <c r="AF731" s="7"/>
      <c r="AG731" s="10"/>
      <c r="AH731" s="1"/>
      <c r="AI731" s="10"/>
      <c r="AJ731" s="32"/>
      <c r="AL731" s="1"/>
    </row>
    <row r="732" spans="28:38" x14ac:dyDescent="0.3">
      <c r="AB732">
        <v>727</v>
      </c>
      <c r="AC732" s="7"/>
      <c r="AF732" s="7"/>
      <c r="AG732" s="10"/>
      <c r="AH732" s="1"/>
      <c r="AI732" s="10"/>
      <c r="AJ732" s="32"/>
      <c r="AL732" s="1"/>
    </row>
    <row r="733" spans="28:38" x14ac:dyDescent="0.3">
      <c r="AB733">
        <v>728</v>
      </c>
      <c r="AC733" s="7"/>
      <c r="AF733" s="7"/>
      <c r="AG733" s="10"/>
      <c r="AH733" s="1"/>
      <c r="AI733" s="10"/>
      <c r="AJ733" s="32"/>
      <c r="AL733" s="1"/>
    </row>
    <row r="734" spans="28:38" x14ac:dyDescent="0.3">
      <c r="AB734">
        <v>729</v>
      </c>
      <c r="AC734" s="7"/>
      <c r="AF734" s="7"/>
      <c r="AG734" s="10"/>
      <c r="AH734" s="1"/>
      <c r="AI734" s="10"/>
      <c r="AJ734" s="32"/>
      <c r="AL734" s="1"/>
    </row>
    <row r="735" spans="28:38" x14ac:dyDescent="0.3">
      <c r="AB735">
        <v>730</v>
      </c>
      <c r="AC735" s="7"/>
      <c r="AF735" s="7"/>
      <c r="AG735" s="10"/>
      <c r="AH735" s="1"/>
      <c r="AI735" s="10"/>
      <c r="AJ735" s="32"/>
      <c r="AL735" s="1"/>
    </row>
    <row r="736" spans="28:38" x14ac:dyDescent="0.3">
      <c r="AB736">
        <v>731</v>
      </c>
      <c r="AC736" s="7"/>
      <c r="AF736" s="7"/>
      <c r="AG736" s="10"/>
      <c r="AH736" s="1"/>
      <c r="AI736" s="10"/>
      <c r="AJ736" s="32"/>
      <c r="AL736" s="1"/>
    </row>
    <row r="737" spans="28:38" x14ac:dyDescent="0.3">
      <c r="AB737">
        <v>732</v>
      </c>
      <c r="AC737" s="7"/>
      <c r="AF737" s="7"/>
      <c r="AG737" s="10"/>
      <c r="AH737" s="1"/>
      <c r="AI737" s="10"/>
      <c r="AJ737" s="32"/>
      <c r="AL737" s="1"/>
    </row>
    <row r="738" spans="28:38" x14ac:dyDescent="0.3">
      <c r="AB738">
        <v>733</v>
      </c>
      <c r="AC738" s="7"/>
      <c r="AF738" s="7"/>
      <c r="AG738" s="10"/>
      <c r="AH738" s="1"/>
      <c r="AI738" s="10"/>
      <c r="AJ738" s="32"/>
      <c r="AL738" s="1"/>
    </row>
    <row r="739" spans="28:38" x14ac:dyDescent="0.3">
      <c r="AB739">
        <v>734</v>
      </c>
      <c r="AC739" s="7"/>
      <c r="AF739" s="7"/>
      <c r="AG739" s="10"/>
      <c r="AH739" s="1"/>
      <c r="AI739" s="10"/>
      <c r="AJ739" s="32"/>
      <c r="AL739" s="1"/>
    </row>
    <row r="740" spans="28:38" x14ac:dyDescent="0.3">
      <c r="AB740">
        <v>735</v>
      </c>
      <c r="AC740" s="7"/>
      <c r="AF740" s="7"/>
      <c r="AG740" s="10"/>
      <c r="AH740" s="1"/>
      <c r="AI740" s="10"/>
      <c r="AJ740" s="32"/>
      <c r="AL740" s="1"/>
    </row>
    <row r="741" spans="28:38" x14ac:dyDescent="0.3">
      <c r="AB741">
        <v>736</v>
      </c>
      <c r="AC741" s="7"/>
      <c r="AF741" s="7"/>
      <c r="AG741" s="10"/>
      <c r="AH741" s="1"/>
      <c r="AI741" s="10"/>
      <c r="AJ741" s="32"/>
      <c r="AL741" s="1"/>
    </row>
    <row r="742" spans="28:38" x14ac:dyDescent="0.3">
      <c r="AB742">
        <v>737</v>
      </c>
      <c r="AC742" s="7"/>
      <c r="AF742" s="7"/>
      <c r="AG742" s="10"/>
      <c r="AH742" s="1"/>
      <c r="AI742" s="10"/>
      <c r="AJ742" s="32"/>
      <c r="AL742" s="1"/>
    </row>
    <row r="743" spans="28:38" x14ac:dyDescent="0.3">
      <c r="AB743">
        <v>738</v>
      </c>
      <c r="AC743" s="7"/>
      <c r="AF743" s="7"/>
      <c r="AG743" s="10"/>
      <c r="AH743" s="1"/>
      <c r="AI743" s="10"/>
      <c r="AJ743" s="32"/>
      <c r="AL743" s="1"/>
    </row>
    <row r="744" spans="28:38" x14ac:dyDescent="0.3">
      <c r="AB744">
        <v>739</v>
      </c>
      <c r="AC744" s="7"/>
      <c r="AF744" s="7"/>
      <c r="AG744" s="10"/>
      <c r="AH744" s="1"/>
      <c r="AI744" s="10"/>
      <c r="AJ744" s="32"/>
      <c r="AL744" s="1"/>
    </row>
    <row r="745" spans="28:38" x14ac:dyDescent="0.3">
      <c r="AB745">
        <v>740</v>
      </c>
      <c r="AC745" s="7"/>
      <c r="AF745" s="7"/>
      <c r="AG745" s="10"/>
      <c r="AH745" s="1"/>
      <c r="AI745" s="10"/>
      <c r="AJ745" s="32"/>
      <c r="AL745" s="1"/>
    </row>
    <row r="746" spans="28:38" x14ac:dyDescent="0.3">
      <c r="AB746">
        <v>741</v>
      </c>
      <c r="AC746" s="7"/>
      <c r="AF746" s="7"/>
      <c r="AG746" s="10"/>
      <c r="AH746" s="1"/>
      <c r="AI746" s="10"/>
      <c r="AJ746" s="32"/>
      <c r="AL746" s="1"/>
    </row>
    <row r="747" spans="28:38" x14ac:dyDescent="0.3">
      <c r="AB747">
        <v>742</v>
      </c>
      <c r="AC747" s="7"/>
      <c r="AF747" s="7"/>
      <c r="AG747" s="10"/>
      <c r="AH747" s="1"/>
      <c r="AI747" s="10"/>
      <c r="AJ747" s="32"/>
      <c r="AL747" s="1"/>
    </row>
    <row r="748" spans="28:38" x14ac:dyDescent="0.3">
      <c r="AB748">
        <v>743</v>
      </c>
      <c r="AC748" s="7"/>
      <c r="AF748" s="7"/>
      <c r="AG748" s="10"/>
      <c r="AH748" s="1"/>
      <c r="AI748" s="10"/>
      <c r="AJ748" s="32"/>
      <c r="AL748" s="1"/>
    </row>
    <row r="749" spans="28:38" x14ac:dyDescent="0.3">
      <c r="AB749">
        <v>744</v>
      </c>
      <c r="AC749" s="7"/>
      <c r="AF749" s="7"/>
      <c r="AG749" s="10"/>
      <c r="AH749" s="1"/>
      <c r="AI749" s="10"/>
      <c r="AJ749" s="32"/>
      <c r="AL749" s="1"/>
    </row>
    <row r="750" spans="28:38" x14ac:dyDescent="0.3">
      <c r="AB750">
        <v>745</v>
      </c>
      <c r="AC750" s="7"/>
      <c r="AF750" s="7"/>
      <c r="AG750" s="10"/>
      <c r="AH750" s="1"/>
      <c r="AI750" s="10"/>
      <c r="AJ750" s="32"/>
      <c r="AL750" s="1"/>
    </row>
    <row r="751" spans="28:38" x14ac:dyDescent="0.3">
      <c r="AB751">
        <v>746</v>
      </c>
      <c r="AC751" s="7"/>
      <c r="AF751" s="7"/>
      <c r="AG751" s="10"/>
      <c r="AH751" s="1"/>
      <c r="AI751" s="10"/>
      <c r="AJ751" s="32"/>
      <c r="AL751" s="1"/>
    </row>
    <row r="752" spans="28:38" x14ac:dyDescent="0.3">
      <c r="AB752">
        <v>747</v>
      </c>
      <c r="AC752" s="7"/>
      <c r="AF752" s="7"/>
      <c r="AG752" s="10"/>
      <c r="AH752" s="1"/>
      <c r="AI752" s="10"/>
      <c r="AJ752" s="32"/>
      <c r="AL752" s="1"/>
    </row>
    <row r="753" spans="28:38" x14ac:dyDescent="0.3">
      <c r="AB753">
        <v>748</v>
      </c>
      <c r="AC753" s="7"/>
      <c r="AF753" s="7"/>
      <c r="AG753" s="10"/>
      <c r="AH753" s="1"/>
      <c r="AI753" s="10"/>
      <c r="AJ753" s="32"/>
      <c r="AL753" s="1"/>
    </row>
    <row r="754" spans="28:38" x14ac:dyDescent="0.3">
      <c r="AB754">
        <v>749</v>
      </c>
      <c r="AC754" s="7"/>
      <c r="AF754" s="7"/>
      <c r="AG754" s="10"/>
      <c r="AH754" s="1"/>
      <c r="AI754" s="10"/>
      <c r="AJ754" s="32"/>
      <c r="AL754" s="1"/>
    </row>
    <row r="755" spans="28:38" x14ac:dyDescent="0.3">
      <c r="AB755">
        <v>750</v>
      </c>
      <c r="AC755" s="7"/>
      <c r="AF755" s="7"/>
      <c r="AG755" s="10"/>
      <c r="AH755" s="1"/>
      <c r="AI755" s="10"/>
      <c r="AJ755" s="32"/>
      <c r="AL755" s="1"/>
    </row>
    <row r="756" spans="28:38" x14ac:dyDescent="0.3">
      <c r="AB756">
        <v>751</v>
      </c>
      <c r="AC756" s="7"/>
      <c r="AF756" s="7"/>
      <c r="AG756" s="10"/>
      <c r="AH756" s="1"/>
      <c r="AI756" s="10"/>
      <c r="AJ756" s="32"/>
      <c r="AL756" s="1"/>
    </row>
    <row r="757" spans="28:38" x14ac:dyDescent="0.3">
      <c r="AB757">
        <v>752</v>
      </c>
      <c r="AC757" s="7"/>
      <c r="AF757" s="7"/>
      <c r="AG757" s="10"/>
      <c r="AH757" s="1"/>
      <c r="AI757" s="10"/>
      <c r="AJ757" s="32"/>
      <c r="AL757" s="1"/>
    </row>
    <row r="758" spans="28:38" x14ac:dyDescent="0.3">
      <c r="AB758">
        <v>753</v>
      </c>
      <c r="AC758" s="7"/>
      <c r="AF758" s="7"/>
      <c r="AG758" s="10"/>
      <c r="AH758" s="1"/>
      <c r="AI758" s="10"/>
      <c r="AJ758" s="32"/>
      <c r="AL758" s="1"/>
    </row>
    <row r="759" spans="28:38" x14ac:dyDescent="0.3">
      <c r="AB759">
        <v>754</v>
      </c>
      <c r="AC759" s="7"/>
      <c r="AF759" s="7"/>
      <c r="AG759" s="10"/>
      <c r="AH759" s="1"/>
      <c r="AI759" s="10"/>
      <c r="AJ759" s="32"/>
      <c r="AL759" s="1"/>
    </row>
    <row r="760" spans="28:38" x14ac:dyDescent="0.3">
      <c r="AB760">
        <v>755</v>
      </c>
      <c r="AC760" s="7"/>
      <c r="AF760" s="7"/>
      <c r="AG760" s="10"/>
      <c r="AH760" s="1"/>
      <c r="AI760" s="10"/>
      <c r="AJ760" s="32"/>
      <c r="AL760" s="1"/>
    </row>
    <row r="761" spans="28:38" x14ac:dyDescent="0.3">
      <c r="AB761">
        <v>756</v>
      </c>
      <c r="AC761" s="7"/>
      <c r="AF761" s="7"/>
      <c r="AG761" s="10"/>
      <c r="AH761" s="1"/>
      <c r="AI761" s="10"/>
      <c r="AJ761" s="32"/>
      <c r="AL761" s="1"/>
    </row>
    <row r="762" spans="28:38" x14ac:dyDescent="0.3">
      <c r="AB762">
        <v>757</v>
      </c>
      <c r="AC762" s="7"/>
      <c r="AF762" s="7"/>
      <c r="AG762" s="10"/>
      <c r="AH762" s="1"/>
      <c r="AI762" s="10"/>
      <c r="AJ762" s="32"/>
      <c r="AL762" s="1"/>
    </row>
    <row r="763" spans="28:38" x14ac:dyDescent="0.3">
      <c r="AB763">
        <v>758</v>
      </c>
      <c r="AC763" s="7"/>
      <c r="AF763" s="7"/>
      <c r="AG763" s="10"/>
      <c r="AH763" s="1"/>
      <c r="AI763" s="10"/>
      <c r="AJ763" s="32"/>
      <c r="AL763" s="1"/>
    </row>
    <row r="764" spans="28:38" x14ac:dyDescent="0.3">
      <c r="AB764">
        <v>759</v>
      </c>
      <c r="AC764" s="7"/>
      <c r="AF764" s="7"/>
      <c r="AG764" s="10"/>
      <c r="AH764" s="1"/>
      <c r="AI764" s="10"/>
      <c r="AJ764" s="32"/>
      <c r="AL764" s="1"/>
    </row>
    <row r="765" spans="28:38" x14ac:dyDescent="0.3">
      <c r="AB765">
        <v>760</v>
      </c>
      <c r="AC765" s="7"/>
      <c r="AF765" s="7"/>
      <c r="AG765" s="10"/>
      <c r="AH765" s="1"/>
      <c r="AI765" s="10"/>
      <c r="AJ765" s="32"/>
      <c r="AL765" s="1"/>
    </row>
    <row r="766" spans="28:38" x14ac:dyDescent="0.3">
      <c r="AB766">
        <v>761</v>
      </c>
      <c r="AC766" s="7"/>
      <c r="AF766" s="7"/>
      <c r="AG766" s="10"/>
      <c r="AH766" s="1"/>
      <c r="AI766" s="10"/>
      <c r="AJ766" s="32"/>
      <c r="AL766" s="1"/>
    </row>
    <row r="767" spans="28:38" x14ac:dyDescent="0.3">
      <c r="AB767">
        <v>762</v>
      </c>
      <c r="AC767" s="7"/>
      <c r="AF767" s="7"/>
      <c r="AG767" s="10"/>
      <c r="AH767" s="1"/>
      <c r="AI767" s="10"/>
      <c r="AJ767" s="32"/>
      <c r="AL767" s="1"/>
    </row>
    <row r="768" spans="28:38" x14ac:dyDescent="0.3">
      <c r="AB768">
        <v>763</v>
      </c>
      <c r="AC768" s="7"/>
      <c r="AF768" s="7"/>
      <c r="AG768" s="10"/>
      <c r="AH768" s="1"/>
      <c r="AI768" s="10"/>
      <c r="AJ768" s="32"/>
      <c r="AL768" s="1"/>
    </row>
    <row r="769" spans="28:38" x14ac:dyDescent="0.3">
      <c r="AB769">
        <v>764</v>
      </c>
      <c r="AC769" s="7"/>
      <c r="AF769" s="7"/>
      <c r="AG769" s="10"/>
      <c r="AH769" s="1"/>
      <c r="AI769" s="10"/>
      <c r="AJ769" s="32"/>
      <c r="AL769" s="1"/>
    </row>
    <row r="770" spans="28:38" x14ac:dyDescent="0.3">
      <c r="AB770">
        <v>765</v>
      </c>
      <c r="AC770" s="7"/>
      <c r="AF770" s="7"/>
      <c r="AG770" s="10"/>
      <c r="AH770" s="1"/>
      <c r="AI770" s="10"/>
      <c r="AJ770" s="32"/>
      <c r="AL770" s="1"/>
    </row>
    <row r="771" spans="28:38" x14ac:dyDescent="0.3">
      <c r="AB771">
        <v>766</v>
      </c>
      <c r="AC771" s="7"/>
      <c r="AF771" s="7"/>
      <c r="AG771" s="10"/>
      <c r="AH771" s="1"/>
      <c r="AI771" s="10"/>
      <c r="AJ771" s="32"/>
      <c r="AL771" s="1"/>
    </row>
    <row r="772" spans="28:38" x14ac:dyDescent="0.3">
      <c r="AB772">
        <v>767</v>
      </c>
      <c r="AC772" s="7"/>
      <c r="AF772" s="7"/>
      <c r="AG772" s="10"/>
      <c r="AH772" s="1"/>
      <c r="AI772" s="10"/>
      <c r="AJ772" s="32"/>
      <c r="AL772" s="1"/>
    </row>
    <row r="773" spans="28:38" x14ac:dyDescent="0.3">
      <c r="AB773">
        <v>768</v>
      </c>
      <c r="AC773" s="7"/>
      <c r="AF773" s="7"/>
      <c r="AG773" s="10"/>
      <c r="AH773" s="1"/>
      <c r="AI773" s="10"/>
      <c r="AJ773" s="32"/>
      <c r="AL773" s="1"/>
    </row>
    <row r="774" spans="28:38" x14ac:dyDescent="0.3">
      <c r="AB774">
        <v>769</v>
      </c>
      <c r="AC774" s="7"/>
      <c r="AF774" s="7"/>
      <c r="AG774" s="10"/>
      <c r="AH774" s="1"/>
      <c r="AI774" s="10"/>
      <c r="AJ774" s="32"/>
      <c r="AL774" s="1"/>
    </row>
    <row r="775" spans="28:38" x14ac:dyDescent="0.3">
      <c r="AB775">
        <v>770</v>
      </c>
      <c r="AC775" s="7"/>
      <c r="AF775" s="7"/>
      <c r="AG775" s="10"/>
      <c r="AH775" s="1"/>
      <c r="AI775" s="10"/>
      <c r="AJ775" s="32"/>
      <c r="AL775" s="1"/>
    </row>
    <row r="776" spans="28:38" x14ac:dyDescent="0.3">
      <c r="AB776">
        <v>771</v>
      </c>
      <c r="AC776" s="7"/>
      <c r="AF776" s="7"/>
      <c r="AG776" s="10"/>
      <c r="AH776" s="1"/>
      <c r="AI776" s="10"/>
      <c r="AJ776" s="32"/>
      <c r="AL776" s="1"/>
    </row>
    <row r="777" spans="28:38" x14ac:dyDescent="0.3">
      <c r="AB777">
        <v>772</v>
      </c>
      <c r="AC777" s="7"/>
      <c r="AF777" s="7"/>
      <c r="AG777" s="10"/>
      <c r="AH777" s="1"/>
      <c r="AI777" s="10"/>
      <c r="AJ777" s="32"/>
      <c r="AL777" s="1"/>
    </row>
    <row r="778" spans="28:38" x14ac:dyDescent="0.3">
      <c r="AB778">
        <v>773</v>
      </c>
      <c r="AC778" s="7"/>
      <c r="AF778" s="7"/>
      <c r="AG778" s="10"/>
      <c r="AH778" s="1"/>
      <c r="AI778" s="10"/>
      <c r="AJ778" s="32"/>
      <c r="AL778" s="1"/>
    </row>
    <row r="779" spans="28:38" x14ac:dyDescent="0.3">
      <c r="AB779">
        <v>774</v>
      </c>
      <c r="AC779" s="7"/>
      <c r="AF779" s="7"/>
      <c r="AG779" s="10"/>
      <c r="AH779" s="1"/>
      <c r="AI779" s="10"/>
      <c r="AJ779" s="32"/>
      <c r="AL779" s="1"/>
    </row>
    <row r="780" spans="28:38" x14ac:dyDescent="0.3">
      <c r="AB780">
        <v>775</v>
      </c>
      <c r="AC780" s="7"/>
      <c r="AF780" s="7"/>
      <c r="AG780" s="10"/>
      <c r="AH780" s="1"/>
      <c r="AI780" s="10"/>
      <c r="AJ780" s="32"/>
      <c r="AL780" s="1"/>
    </row>
    <row r="781" spans="28:38" x14ac:dyDescent="0.3">
      <c r="AB781">
        <v>776</v>
      </c>
      <c r="AC781" s="7"/>
      <c r="AF781" s="7"/>
      <c r="AG781" s="10"/>
      <c r="AH781" s="1"/>
      <c r="AI781" s="10"/>
      <c r="AJ781" s="32"/>
      <c r="AL781" s="1"/>
    </row>
    <row r="782" spans="28:38" x14ac:dyDescent="0.3">
      <c r="AB782">
        <v>777</v>
      </c>
      <c r="AC782" s="7"/>
      <c r="AF782" s="7"/>
      <c r="AG782" s="10"/>
      <c r="AH782" s="1"/>
      <c r="AI782" s="10"/>
      <c r="AJ782" s="32"/>
      <c r="AL782" s="1"/>
    </row>
    <row r="783" spans="28:38" x14ac:dyDescent="0.3">
      <c r="AB783">
        <v>778</v>
      </c>
      <c r="AC783" s="7"/>
      <c r="AF783" s="7"/>
      <c r="AG783" s="10"/>
      <c r="AH783" s="1"/>
      <c r="AI783" s="10"/>
      <c r="AJ783" s="32"/>
      <c r="AL783" s="1"/>
    </row>
    <row r="784" spans="28:38" x14ac:dyDescent="0.3">
      <c r="AB784">
        <v>779</v>
      </c>
      <c r="AC784" s="7"/>
      <c r="AF784" s="7"/>
      <c r="AG784" s="10"/>
      <c r="AH784" s="1"/>
      <c r="AI784" s="10"/>
      <c r="AJ784" s="32"/>
      <c r="AL784" s="1"/>
    </row>
    <row r="785" spans="28:38" x14ac:dyDescent="0.3">
      <c r="AB785">
        <v>780</v>
      </c>
      <c r="AC785" s="7"/>
      <c r="AF785" s="7"/>
      <c r="AG785" s="10"/>
      <c r="AH785" s="1"/>
      <c r="AI785" s="10"/>
      <c r="AJ785" s="32"/>
      <c r="AL785" s="1"/>
    </row>
    <row r="786" spans="28:38" x14ac:dyDescent="0.3">
      <c r="AB786">
        <v>781</v>
      </c>
      <c r="AC786" s="7"/>
      <c r="AF786" s="7"/>
      <c r="AG786" s="10"/>
      <c r="AH786" s="1"/>
      <c r="AI786" s="10"/>
      <c r="AJ786" s="32"/>
      <c r="AL786" s="1"/>
    </row>
    <row r="787" spans="28:38" x14ac:dyDescent="0.3">
      <c r="AB787">
        <v>782</v>
      </c>
      <c r="AC787" s="7"/>
      <c r="AF787" s="7"/>
      <c r="AG787" s="10"/>
      <c r="AH787" s="1"/>
      <c r="AI787" s="10"/>
      <c r="AJ787" s="32"/>
      <c r="AL787" s="1"/>
    </row>
    <row r="788" spans="28:38" x14ac:dyDescent="0.3">
      <c r="AB788">
        <v>783</v>
      </c>
      <c r="AC788" s="7"/>
      <c r="AF788" s="7"/>
      <c r="AG788" s="10"/>
      <c r="AH788" s="1"/>
      <c r="AI788" s="10"/>
      <c r="AJ788" s="32"/>
      <c r="AL788" s="1"/>
    </row>
    <row r="789" spans="28:38" x14ac:dyDescent="0.3">
      <c r="AB789">
        <v>784</v>
      </c>
      <c r="AC789" s="7"/>
      <c r="AF789" s="7"/>
      <c r="AG789" s="10"/>
      <c r="AH789" s="1"/>
      <c r="AI789" s="10"/>
      <c r="AJ789" s="32"/>
      <c r="AL789" s="1"/>
    </row>
    <row r="790" spans="28:38" x14ac:dyDescent="0.3">
      <c r="AB790">
        <v>785</v>
      </c>
      <c r="AC790" s="7"/>
      <c r="AF790" s="7"/>
      <c r="AG790" s="10"/>
      <c r="AH790" s="1"/>
      <c r="AI790" s="10"/>
      <c r="AJ790" s="32"/>
      <c r="AL790" s="1"/>
    </row>
    <row r="791" spans="28:38" x14ac:dyDescent="0.3">
      <c r="AB791">
        <v>786</v>
      </c>
      <c r="AC791" s="7"/>
      <c r="AF791" s="7"/>
      <c r="AG791" s="10"/>
      <c r="AH791" s="1"/>
      <c r="AI791" s="10"/>
      <c r="AJ791" s="32"/>
      <c r="AL791" s="1"/>
    </row>
    <row r="792" spans="28:38" x14ac:dyDescent="0.3">
      <c r="AB792">
        <v>787</v>
      </c>
      <c r="AC792" s="7"/>
      <c r="AF792" s="7"/>
      <c r="AG792" s="10"/>
      <c r="AH792" s="1"/>
      <c r="AI792" s="10"/>
      <c r="AJ792" s="32"/>
      <c r="AL792" s="1"/>
    </row>
    <row r="793" spans="28:38" x14ac:dyDescent="0.3">
      <c r="AB793">
        <v>788</v>
      </c>
      <c r="AC793" s="7"/>
      <c r="AF793" s="7"/>
      <c r="AG793" s="10"/>
      <c r="AH793" s="1"/>
      <c r="AI793" s="10"/>
      <c r="AJ793" s="32"/>
      <c r="AL793" s="1"/>
    </row>
    <row r="794" spans="28:38" x14ac:dyDescent="0.3">
      <c r="AB794">
        <v>789</v>
      </c>
      <c r="AC794" s="7"/>
      <c r="AF794" s="7"/>
      <c r="AG794" s="10"/>
      <c r="AH794" s="1"/>
      <c r="AI794" s="10"/>
      <c r="AJ794" s="32"/>
      <c r="AL794" s="1"/>
    </row>
    <row r="795" spans="28:38" x14ac:dyDescent="0.3">
      <c r="AB795">
        <v>790</v>
      </c>
      <c r="AC795" s="7"/>
      <c r="AF795" s="7"/>
      <c r="AG795" s="10"/>
      <c r="AH795" s="1"/>
      <c r="AI795" s="10"/>
      <c r="AJ795" s="32"/>
      <c r="AL795" s="1"/>
    </row>
    <row r="796" spans="28:38" x14ac:dyDescent="0.3">
      <c r="AB796">
        <v>791</v>
      </c>
      <c r="AC796" s="7"/>
      <c r="AF796" s="7"/>
      <c r="AG796" s="10"/>
      <c r="AH796" s="1"/>
      <c r="AI796" s="10"/>
      <c r="AJ796" s="32"/>
      <c r="AL796" s="1"/>
    </row>
    <row r="797" spans="28:38" x14ac:dyDescent="0.3">
      <c r="AB797">
        <v>792</v>
      </c>
      <c r="AC797" s="7"/>
      <c r="AF797" s="7"/>
      <c r="AG797" s="10"/>
      <c r="AH797" s="1"/>
      <c r="AI797" s="10"/>
      <c r="AJ797" s="32"/>
      <c r="AL797" s="1"/>
    </row>
    <row r="798" spans="28:38" x14ac:dyDescent="0.3">
      <c r="AB798">
        <v>793</v>
      </c>
      <c r="AC798" s="7"/>
      <c r="AF798" s="7"/>
      <c r="AG798" s="10"/>
      <c r="AH798" s="1"/>
      <c r="AI798" s="10"/>
      <c r="AJ798" s="32"/>
      <c r="AL798" s="1"/>
    </row>
    <row r="799" spans="28:38" x14ac:dyDescent="0.3">
      <c r="AB799">
        <v>794</v>
      </c>
      <c r="AC799" s="7"/>
      <c r="AF799" s="7"/>
      <c r="AG799" s="10"/>
      <c r="AH799" s="1"/>
      <c r="AI799" s="10"/>
      <c r="AJ799" s="32"/>
      <c r="AL799" s="1"/>
    </row>
    <row r="800" spans="28:38" x14ac:dyDescent="0.3">
      <c r="AB800">
        <v>795</v>
      </c>
      <c r="AC800" s="7"/>
      <c r="AF800" s="7"/>
      <c r="AG800" s="10"/>
      <c r="AH800" s="1"/>
      <c r="AI800" s="10"/>
      <c r="AJ800" s="32"/>
      <c r="AL800" s="1"/>
    </row>
    <row r="801" spans="28:38" x14ac:dyDescent="0.3">
      <c r="AB801">
        <v>796</v>
      </c>
      <c r="AC801" s="7"/>
      <c r="AF801" s="7"/>
      <c r="AG801" s="10"/>
      <c r="AH801" s="1"/>
      <c r="AI801" s="10"/>
      <c r="AJ801" s="32"/>
      <c r="AL801" s="1"/>
    </row>
    <row r="802" spans="28:38" x14ac:dyDescent="0.3">
      <c r="AB802">
        <v>797</v>
      </c>
      <c r="AC802" s="7"/>
      <c r="AF802" s="7"/>
      <c r="AG802" s="10"/>
      <c r="AH802" s="1"/>
      <c r="AI802" s="10"/>
      <c r="AJ802" s="32"/>
      <c r="AL802" s="1"/>
    </row>
    <row r="803" spans="28:38" x14ac:dyDescent="0.3">
      <c r="AB803">
        <v>798</v>
      </c>
      <c r="AC803" s="7"/>
      <c r="AF803" s="7"/>
      <c r="AG803" s="10"/>
      <c r="AH803" s="1"/>
      <c r="AI803" s="10"/>
      <c r="AJ803" s="32"/>
      <c r="AL803" s="1"/>
    </row>
    <row r="804" spans="28:38" x14ac:dyDescent="0.3">
      <c r="AB804">
        <v>799</v>
      </c>
      <c r="AC804" s="7"/>
      <c r="AF804" s="7"/>
      <c r="AG804" s="10"/>
      <c r="AH804" s="1"/>
      <c r="AI804" s="10"/>
      <c r="AJ804" s="32"/>
      <c r="AL804" s="1"/>
    </row>
    <row r="805" spans="28:38" x14ac:dyDescent="0.3">
      <c r="AB805">
        <v>800</v>
      </c>
      <c r="AC805" s="7"/>
      <c r="AF805" s="7"/>
      <c r="AG805" s="10"/>
      <c r="AH805" s="1"/>
      <c r="AI805" s="10"/>
      <c r="AJ805" s="32"/>
      <c r="AL805" s="1"/>
    </row>
    <row r="806" spans="28:38" x14ac:dyDescent="0.3">
      <c r="AB806">
        <v>801</v>
      </c>
      <c r="AC806" s="7"/>
      <c r="AF806" s="7"/>
      <c r="AG806" s="10"/>
      <c r="AH806" s="1"/>
      <c r="AI806" s="10"/>
      <c r="AJ806" s="32"/>
      <c r="AL806" s="1"/>
    </row>
    <row r="807" spans="28:38" x14ac:dyDescent="0.3">
      <c r="AB807">
        <v>802</v>
      </c>
      <c r="AC807" s="7"/>
      <c r="AF807" s="7"/>
      <c r="AG807" s="10"/>
      <c r="AH807" s="1"/>
      <c r="AI807" s="10"/>
      <c r="AJ807" s="32"/>
      <c r="AL807" s="1"/>
    </row>
    <row r="808" spans="28:38" x14ac:dyDescent="0.3">
      <c r="AB808">
        <v>803</v>
      </c>
      <c r="AC808" s="7"/>
      <c r="AF808" s="7"/>
      <c r="AG808" s="10"/>
      <c r="AH808" s="1"/>
      <c r="AI808" s="10"/>
      <c r="AJ808" s="32"/>
      <c r="AL808" s="1"/>
    </row>
    <row r="809" spans="28:38" x14ac:dyDescent="0.3">
      <c r="AB809">
        <v>804</v>
      </c>
      <c r="AC809" s="7"/>
      <c r="AF809" s="7"/>
      <c r="AG809" s="10"/>
      <c r="AH809" s="1"/>
      <c r="AI809" s="10"/>
      <c r="AJ809" s="32"/>
      <c r="AL809" s="1"/>
    </row>
    <row r="810" spans="28:38" x14ac:dyDescent="0.3">
      <c r="AB810">
        <v>805</v>
      </c>
      <c r="AC810" s="7"/>
      <c r="AF810" s="7"/>
      <c r="AG810" s="10"/>
      <c r="AH810" s="1"/>
      <c r="AI810" s="10"/>
      <c r="AJ810" s="32"/>
      <c r="AL810" s="1"/>
    </row>
    <row r="811" spans="28:38" x14ac:dyDescent="0.3">
      <c r="AB811">
        <v>806</v>
      </c>
      <c r="AC811" s="7"/>
      <c r="AF811" s="7"/>
      <c r="AG811" s="10"/>
      <c r="AH811" s="1"/>
      <c r="AI811" s="10"/>
      <c r="AJ811" s="32"/>
      <c r="AL811" s="1"/>
    </row>
    <row r="812" spans="28:38" x14ac:dyDescent="0.3">
      <c r="AB812">
        <v>807</v>
      </c>
      <c r="AC812" s="7"/>
      <c r="AF812" s="7"/>
      <c r="AG812" s="10"/>
      <c r="AH812" s="1"/>
      <c r="AI812" s="10"/>
      <c r="AJ812" s="32"/>
      <c r="AL812" s="1"/>
    </row>
    <row r="813" spans="28:38" x14ac:dyDescent="0.3">
      <c r="AB813">
        <v>808</v>
      </c>
      <c r="AC813" s="7"/>
      <c r="AF813" s="7"/>
      <c r="AG813" s="10"/>
      <c r="AH813" s="1"/>
      <c r="AI813" s="10"/>
      <c r="AJ813" s="32"/>
      <c r="AL813" s="1"/>
    </row>
    <row r="814" spans="28:38" x14ac:dyDescent="0.3">
      <c r="AB814">
        <v>809</v>
      </c>
      <c r="AC814" s="7"/>
      <c r="AF814" s="7"/>
      <c r="AG814" s="10"/>
      <c r="AH814" s="1"/>
      <c r="AI814" s="10"/>
      <c r="AJ814" s="32"/>
      <c r="AL814" s="1"/>
    </row>
    <row r="815" spans="28:38" x14ac:dyDescent="0.3">
      <c r="AB815">
        <v>810</v>
      </c>
      <c r="AC815" s="7"/>
      <c r="AF815" s="7"/>
      <c r="AG815" s="10"/>
      <c r="AH815" s="1"/>
      <c r="AI815" s="10"/>
      <c r="AJ815" s="32"/>
      <c r="AL815" s="1"/>
    </row>
    <row r="816" spans="28:38" x14ac:dyDescent="0.3">
      <c r="AB816">
        <v>811</v>
      </c>
      <c r="AC816" s="7"/>
      <c r="AF816" s="7"/>
      <c r="AG816" s="10"/>
      <c r="AH816" s="1"/>
      <c r="AI816" s="10"/>
      <c r="AJ816" s="32"/>
      <c r="AL816" s="1"/>
    </row>
    <row r="817" spans="28:38" x14ac:dyDescent="0.3">
      <c r="AB817">
        <v>812</v>
      </c>
      <c r="AC817" s="7"/>
      <c r="AF817" s="7"/>
      <c r="AG817" s="10"/>
      <c r="AH817" s="1"/>
      <c r="AI817" s="10"/>
      <c r="AJ817" s="32"/>
      <c r="AL817" s="1"/>
    </row>
    <row r="818" spans="28:38" x14ac:dyDescent="0.3">
      <c r="AB818">
        <v>813</v>
      </c>
      <c r="AC818" s="7"/>
      <c r="AF818" s="7"/>
      <c r="AG818" s="10"/>
      <c r="AH818" s="1"/>
      <c r="AI818" s="10"/>
      <c r="AJ818" s="32"/>
      <c r="AL818" s="1"/>
    </row>
    <row r="819" spans="28:38" x14ac:dyDescent="0.3">
      <c r="AB819">
        <v>814</v>
      </c>
      <c r="AC819" s="7"/>
      <c r="AF819" s="7"/>
      <c r="AG819" s="10"/>
      <c r="AH819" s="1"/>
      <c r="AI819" s="10"/>
      <c r="AJ819" s="32"/>
      <c r="AL819" s="1"/>
    </row>
    <row r="820" spans="28:38" x14ac:dyDescent="0.3">
      <c r="AB820">
        <v>815</v>
      </c>
      <c r="AC820" s="7"/>
      <c r="AF820" s="7"/>
      <c r="AG820" s="10"/>
      <c r="AH820" s="1"/>
      <c r="AI820" s="10"/>
      <c r="AJ820" s="32"/>
      <c r="AL820" s="1"/>
    </row>
    <row r="821" spans="28:38" x14ac:dyDescent="0.3">
      <c r="AB821">
        <v>816</v>
      </c>
      <c r="AC821" s="7"/>
      <c r="AF821" s="7"/>
      <c r="AG821" s="10"/>
      <c r="AH821" s="1"/>
      <c r="AI821" s="10"/>
      <c r="AJ821" s="32"/>
      <c r="AL821" s="1"/>
    </row>
    <row r="822" spans="28:38" x14ac:dyDescent="0.3">
      <c r="AB822">
        <v>817</v>
      </c>
      <c r="AC822" s="7"/>
      <c r="AF822" s="7"/>
      <c r="AG822" s="10"/>
      <c r="AH822" s="1"/>
      <c r="AI822" s="10"/>
      <c r="AJ822" s="32"/>
      <c r="AL822" s="1"/>
    </row>
    <row r="823" spans="28:38" x14ac:dyDescent="0.3">
      <c r="AB823">
        <v>818</v>
      </c>
      <c r="AC823" s="7"/>
      <c r="AF823" s="7"/>
      <c r="AG823" s="10"/>
      <c r="AH823" s="1"/>
      <c r="AI823" s="10"/>
      <c r="AJ823" s="32"/>
      <c r="AL823" s="1"/>
    </row>
    <row r="824" spans="28:38" x14ac:dyDescent="0.3">
      <c r="AB824">
        <v>819</v>
      </c>
      <c r="AC824" s="7"/>
      <c r="AF824" s="7"/>
      <c r="AG824" s="10"/>
      <c r="AH824" s="1"/>
      <c r="AI824" s="10"/>
      <c r="AJ824" s="32"/>
      <c r="AL824" s="1"/>
    </row>
    <row r="825" spans="28:38" x14ac:dyDescent="0.3">
      <c r="AB825">
        <v>820</v>
      </c>
      <c r="AC825" s="7"/>
      <c r="AF825" s="7"/>
      <c r="AG825" s="10"/>
      <c r="AH825" s="1"/>
      <c r="AI825" s="10"/>
      <c r="AJ825" s="32"/>
      <c r="AL825" s="1"/>
    </row>
    <row r="826" spans="28:38" x14ac:dyDescent="0.3">
      <c r="AB826">
        <v>821</v>
      </c>
      <c r="AC826" s="7"/>
      <c r="AF826" s="7"/>
      <c r="AG826" s="10"/>
      <c r="AH826" s="1"/>
      <c r="AI826" s="10"/>
      <c r="AJ826" s="32"/>
      <c r="AL826" s="1"/>
    </row>
    <row r="827" spans="28:38" x14ac:dyDescent="0.3">
      <c r="AB827">
        <v>822</v>
      </c>
      <c r="AC827" s="7"/>
      <c r="AF827" s="7"/>
      <c r="AG827" s="10"/>
      <c r="AH827" s="1"/>
      <c r="AI827" s="10"/>
      <c r="AJ827" s="32"/>
      <c r="AL827" s="1"/>
    </row>
    <row r="828" spans="28:38" x14ac:dyDescent="0.3">
      <c r="AB828">
        <v>823</v>
      </c>
      <c r="AC828" s="7"/>
      <c r="AF828" s="7"/>
      <c r="AG828" s="10"/>
      <c r="AH828" s="1"/>
      <c r="AI828" s="10"/>
      <c r="AJ828" s="32"/>
      <c r="AL828" s="1"/>
    </row>
    <row r="829" spans="28:38" x14ac:dyDescent="0.3">
      <c r="AB829">
        <v>824</v>
      </c>
      <c r="AC829" s="7"/>
      <c r="AF829" s="7"/>
      <c r="AG829" s="10"/>
      <c r="AH829" s="1"/>
      <c r="AI829" s="10"/>
      <c r="AJ829" s="32"/>
      <c r="AL829" s="1"/>
    </row>
    <row r="830" spans="28:38" x14ac:dyDescent="0.3">
      <c r="AB830">
        <v>825</v>
      </c>
      <c r="AC830" s="7"/>
      <c r="AF830" s="7"/>
      <c r="AG830" s="10"/>
      <c r="AH830" s="1"/>
      <c r="AI830" s="10"/>
      <c r="AJ830" s="32"/>
      <c r="AL830" s="1"/>
    </row>
    <row r="831" spans="28:38" x14ac:dyDescent="0.3">
      <c r="AB831">
        <v>826</v>
      </c>
      <c r="AC831" s="7"/>
      <c r="AF831" s="7"/>
      <c r="AG831" s="10"/>
      <c r="AH831" s="1"/>
      <c r="AI831" s="10"/>
      <c r="AJ831" s="32"/>
      <c r="AL831" s="1"/>
    </row>
    <row r="832" spans="28:38" x14ac:dyDescent="0.3">
      <c r="AB832">
        <v>827</v>
      </c>
      <c r="AC832" s="7"/>
      <c r="AF832" s="7"/>
      <c r="AG832" s="10"/>
      <c r="AH832" s="1"/>
      <c r="AI832" s="10"/>
      <c r="AJ832" s="32"/>
      <c r="AL832" s="1"/>
    </row>
    <row r="833" spans="28:38" x14ac:dyDescent="0.3">
      <c r="AB833">
        <v>828</v>
      </c>
      <c r="AC833" s="7"/>
      <c r="AF833" s="7"/>
      <c r="AG833" s="10"/>
      <c r="AH833" s="1"/>
      <c r="AI833" s="10"/>
      <c r="AJ833" s="32"/>
      <c r="AL833" s="1"/>
    </row>
    <row r="834" spans="28:38" x14ac:dyDescent="0.3">
      <c r="AB834">
        <v>829</v>
      </c>
      <c r="AC834" s="7"/>
      <c r="AF834" s="7"/>
      <c r="AG834" s="10"/>
      <c r="AH834" s="1"/>
      <c r="AI834" s="10"/>
      <c r="AJ834" s="32"/>
      <c r="AL834" s="1"/>
    </row>
    <row r="835" spans="28:38" x14ac:dyDescent="0.3">
      <c r="AB835">
        <v>830</v>
      </c>
      <c r="AC835" s="7"/>
      <c r="AF835" s="7"/>
      <c r="AG835" s="10"/>
      <c r="AH835" s="1"/>
      <c r="AI835" s="10"/>
      <c r="AJ835" s="32"/>
      <c r="AL835" s="1"/>
    </row>
    <row r="836" spans="28:38" x14ac:dyDescent="0.3">
      <c r="AB836">
        <v>831</v>
      </c>
      <c r="AC836" s="7"/>
      <c r="AF836" s="7"/>
      <c r="AG836" s="10"/>
      <c r="AH836" s="1"/>
      <c r="AI836" s="10"/>
      <c r="AJ836" s="32"/>
      <c r="AL836" s="1"/>
    </row>
    <row r="837" spans="28:38" x14ac:dyDescent="0.3">
      <c r="AB837">
        <v>832</v>
      </c>
      <c r="AC837" s="7"/>
      <c r="AF837" s="7"/>
      <c r="AG837" s="10"/>
      <c r="AH837" s="1"/>
      <c r="AI837" s="10"/>
      <c r="AJ837" s="32"/>
      <c r="AL837" s="1"/>
    </row>
    <row r="838" spans="28:38" x14ac:dyDescent="0.3">
      <c r="AB838">
        <v>833</v>
      </c>
      <c r="AC838" s="7"/>
      <c r="AF838" s="7"/>
      <c r="AG838" s="10"/>
      <c r="AH838" s="1"/>
      <c r="AI838" s="10"/>
      <c r="AJ838" s="32"/>
      <c r="AL838" s="1"/>
    </row>
    <row r="839" spans="28:38" x14ac:dyDescent="0.3">
      <c r="AB839">
        <v>834</v>
      </c>
      <c r="AC839" s="7"/>
      <c r="AF839" s="7"/>
      <c r="AG839" s="10"/>
      <c r="AH839" s="1"/>
      <c r="AI839" s="10"/>
      <c r="AJ839" s="32"/>
      <c r="AL839" s="1"/>
    </row>
    <row r="840" spans="28:38" x14ac:dyDescent="0.3">
      <c r="AB840">
        <v>835</v>
      </c>
      <c r="AC840" s="7"/>
      <c r="AF840" s="7"/>
      <c r="AG840" s="10"/>
      <c r="AH840" s="1"/>
      <c r="AI840" s="10"/>
      <c r="AJ840" s="32"/>
      <c r="AL840" s="1"/>
    </row>
    <row r="841" spans="28:38" x14ac:dyDescent="0.3">
      <c r="AB841">
        <v>836</v>
      </c>
      <c r="AC841" s="7"/>
      <c r="AF841" s="7"/>
      <c r="AG841" s="10"/>
      <c r="AH841" s="1"/>
      <c r="AI841" s="10"/>
      <c r="AJ841" s="32"/>
      <c r="AL841" s="1"/>
    </row>
    <row r="842" spans="28:38" x14ac:dyDescent="0.3">
      <c r="AB842">
        <v>837</v>
      </c>
      <c r="AC842" s="7"/>
      <c r="AF842" s="7"/>
      <c r="AG842" s="10"/>
      <c r="AH842" s="1"/>
      <c r="AI842" s="10"/>
      <c r="AJ842" s="32"/>
      <c r="AL842" s="1"/>
    </row>
    <row r="843" spans="28:38" x14ac:dyDescent="0.3">
      <c r="AB843">
        <v>838</v>
      </c>
      <c r="AC843" s="7"/>
      <c r="AF843" s="7"/>
      <c r="AG843" s="10"/>
      <c r="AH843" s="1"/>
      <c r="AI843" s="10"/>
      <c r="AJ843" s="32"/>
      <c r="AL843" s="1"/>
    </row>
    <row r="844" spans="28:38" x14ac:dyDescent="0.3">
      <c r="AB844">
        <v>839</v>
      </c>
      <c r="AC844" s="7"/>
      <c r="AF844" s="7"/>
      <c r="AG844" s="10"/>
      <c r="AH844" s="1"/>
      <c r="AI844" s="10"/>
      <c r="AJ844" s="32"/>
      <c r="AL844" s="1"/>
    </row>
    <row r="845" spans="28:38" x14ac:dyDescent="0.3">
      <c r="AB845">
        <v>840</v>
      </c>
      <c r="AC845" s="7"/>
      <c r="AF845" s="7"/>
      <c r="AG845" s="10"/>
      <c r="AH845" s="1"/>
      <c r="AI845" s="10"/>
      <c r="AJ845" s="32"/>
      <c r="AL845" s="1"/>
    </row>
    <row r="846" spans="28:38" x14ac:dyDescent="0.3">
      <c r="AB846">
        <v>841</v>
      </c>
      <c r="AC846" s="7"/>
      <c r="AF846" s="7"/>
      <c r="AG846" s="10"/>
      <c r="AH846" s="1"/>
      <c r="AI846" s="10"/>
      <c r="AJ846" s="32"/>
      <c r="AL846" s="1"/>
    </row>
    <row r="847" spans="28:38" x14ac:dyDescent="0.3">
      <c r="AB847">
        <v>842</v>
      </c>
      <c r="AC847" s="7"/>
      <c r="AF847" s="7"/>
      <c r="AG847" s="10"/>
      <c r="AH847" s="1"/>
      <c r="AI847" s="10"/>
      <c r="AJ847" s="32"/>
      <c r="AL847" s="1"/>
    </row>
    <row r="848" spans="28:38" x14ac:dyDescent="0.3">
      <c r="AB848">
        <v>843</v>
      </c>
      <c r="AC848" s="7"/>
      <c r="AF848" s="7"/>
      <c r="AG848" s="10"/>
      <c r="AH848" s="1"/>
      <c r="AI848" s="10"/>
      <c r="AJ848" s="32"/>
      <c r="AL848" s="1"/>
    </row>
    <row r="849" spans="28:38" x14ac:dyDescent="0.3">
      <c r="AB849">
        <v>844</v>
      </c>
      <c r="AC849" s="7"/>
      <c r="AF849" s="7"/>
      <c r="AG849" s="10"/>
      <c r="AH849" s="1"/>
      <c r="AI849" s="10"/>
      <c r="AJ849" s="32"/>
      <c r="AL849" s="1"/>
    </row>
    <row r="850" spans="28:38" x14ac:dyDescent="0.3">
      <c r="AB850">
        <v>845</v>
      </c>
      <c r="AC850" s="7"/>
      <c r="AF850" s="7"/>
      <c r="AG850" s="10"/>
      <c r="AH850" s="1"/>
      <c r="AI850" s="10"/>
      <c r="AJ850" s="32"/>
      <c r="AL850" s="1"/>
    </row>
    <row r="851" spans="28:38" x14ac:dyDescent="0.3">
      <c r="AB851">
        <v>846</v>
      </c>
      <c r="AC851" s="7"/>
      <c r="AF851" s="7"/>
      <c r="AG851" s="10"/>
      <c r="AH851" s="1"/>
      <c r="AI851" s="10"/>
      <c r="AJ851" s="32"/>
      <c r="AL851" s="1"/>
    </row>
    <row r="852" spans="28:38" x14ac:dyDescent="0.3">
      <c r="AB852">
        <v>847</v>
      </c>
      <c r="AC852" s="7"/>
      <c r="AF852" s="7"/>
      <c r="AG852" s="10"/>
      <c r="AH852" s="1"/>
      <c r="AI852" s="10"/>
      <c r="AJ852" s="32"/>
      <c r="AL852" s="1"/>
    </row>
    <row r="853" spans="28:38" x14ac:dyDescent="0.3">
      <c r="AB853">
        <v>848</v>
      </c>
      <c r="AC853" s="7"/>
      <c r="AF853" s="7"/>
      <c r="AG853" s="10"/>
      <c r="AH853" s="1"/>
      <c r="AI853" s="10"/>
      <c r="AJ853" s="32"/>
      <c r="AL853" s="1"/>
    </row>
    <row r="854" spans="28:38" x14ac:dyDescent="0.3">
      <c r="AB854">
        <v>849</v>
      </c>
      <c r="AC854" s="7"/>
      <c r="AF854" s="7"/>
      <c r="AG854" s="10"/>
      <c r="AH854" s="1"/>
      <c r="AI854" s="10"/>
      <c r="AJ854" s="32"/>
      <c r="AL854" s="1"/>
    </row>
    <row r="855" spans="28:38" x14ac:dyDescent="0.3">
      <c r="AB855">
        <v>850</v>
      </c>
      <c r="AC855" s="7"/>
      <c r="AF855" s="7"/>
      <c r="AG855" s="10"/>
      <c r="AH855" s="1"/>
      <c r="AI855" s="10"/>
      <c r="AJ855" s="32"/>
      <c r="AL855" s="1"/>
    </row>
    <row r="856" spans="28:38" x14ac:dyDescent="0.3">
      <c r="AB856">
        <v>851</v>
      </c>
      <c r="AC856" s="7"/>
      <c r="AF856" s="7"/>
      <c r="AG856" s="10"/>
      <c r="AH856" s="1"/>
      <c r="AI856" s="10"/>
      <c r="AJ856" s="32"/>
      <c r="AL856" s="1"/>
    </row>
    <row r="857" spans="28:38" x14ac:dyDescent="0.3">
      <c r="AB857">
        <v>852</v>
      </c>
      <c r="AC857" s="7"/>
      <c r="AF857" s="7"/>
      <c r="AG857" s="10"/>
      <c r="AH857" s="1"/>
      <c r="AI857" s="10"/>
      <c r="AJ857" s="32"/>
      <c r="AL857" s="1"/>
    </row>
    <row r="858" spans="28:38" x14ac:dyDescent="0.3">
      <c r="AB858">
        <v>853</v>
      </c>
      <c r="AC858" s="7"/>
      <c r="AF858" s="7"/>
      <c r="AG858" s="10"/>
      <c r="AH858" s="1"/>
      <c r="AI858" s="10"/>
      <c r="AJ858" s="32"/>
      <c r="AL858" s="1"/>
    </row>
    <row r="859" spans="28:38" x14ac:dyDescent="0.3">
      <c r="AB859">
        <v>854</v>
      </c>
      <c r="AC859" s="7"/>
      <c r="AF859" s="7"/>
      <c r="AG859" s="10"/>
      <c r="AH859" s="1"/>
      <c r="AI859" s="10"/>
      <c r="AJ859" s="32"/>
      <c r="AL859" s="1"/>
    </row>
    <row r="860" spans="28:38" x14ac:dyDescent="0.3">
      <c r="AB860">
        <v>855</v>
      </c>
      <c r="AC860" s="7"/>
      <c r="AF860" s="7"/>
      <c r="AG860" s="10"/>
      <c r="AH860" s="1"/>
      <c r="AI860" s="10"/>
      <c r="AJ860" s="32"/>
      <c r="AL860" s="1"/>
    </row>
    <row r="861" spans="28:38" x14ac:dyDescent="0.3">
      <c r="AB861">
        <v>856</v>
      </c>
      <c r="AC861" s="7"/>
      <c r="AF861" s="7"/>
      <c r="AG861" s="10"/>
      <c r="AH861" s="1"/>
      <c r="AI861" s="10"/>
      <c r="AJ861" s="32"/>
      <c r="AL861" s="1"/>
    </row>
    <row r="862" spans="28:38" x14ac:dyDescent="0.3">
      <c r="AB862">
        <v>857</v>
      </c>
      <c r="AC862" s="7"/>
      <c r="AF862" s="7"/>
      <c r="AG862" s="10"/>
      <c r="AH862" s="1"/>
      <c r="AI862" s="10"/>
      <c r="AJ862" s="32"/>
      <c r="AL862" s="1"/>
    </row>
    <row r="863" spans="28:38" x14ac:dyDescent="0.3">
      <c r="AB863">
        <v>858</v>
      </c>
      <c r="AC863" s="7"/>
      <c r="AF863" s="7"/>
      <c r="AG863" s="10"/>
      <c r="AH863" s="1"/>
      <c r="AI863" s="10"/>
      <c r="AJ863" s="32"/>
      <c r="AL863" s="1"/>
    </row>
    <row r="864" spans="28:38" x14ac:dyDescent="0.3">
      <c r="AB864">
        <v>859</v>
      </c>
      <c r="AC864" s="7"/>
      <c r="AF864" s="7"/>
      <c r="AG864" s="10"/>
      <c r="AH864" s="1"/>
      <c r="AI864" s="10"/>
      <c r="AJ864" s="32"/>
      <c r="AL864" s="1"/>
    </row>
    <row r="865" spans="28:38" x14ac:dyDescent="0.3">
      <c r="AB865">
        <v>860</v>
      </c>
      <c r="AC865" s="7"/>
      <c r="AF865" s="7"/>
      <c r="AG865" s="10"/>
      <c r="AH865" s="1"/>
      <c r="AI865" s="10"/>
      <c r="AJ865" s="32"/>
      <c r="AL865" s="1"/>
    </row>
    <row r="866" spans="28:38" x14ac:dyDescent="0.3">
      <c r="AB866">
        <v>861</v>
      </c>
      <c r="AC866" s="7"/>
      <c r="AF866" s="7"/>
      <c r="AG866" s="10"/>
      <c r="AH866" s="1"/>
      <c r="AI866" s="10"/>
      <c r="AJ866" s="32"/>
      <c r="AL866" s="1"/>
    </row>
    <row r="867" spans="28:38" x14ac:dyDescent="0.3">
      <c r="AB867">
        <v>862</v>
      </c>
      <c r="AC867" s="7"/>
      <c r="AF867" s="7"/>
      <c r="AG867" s="10"/>
      <c r="AH867" s="1"/>
      <c r="AI867" s="10"/>
      <c r="AJ867" s="32"/>
      <c r="AL867" s="1"/>
    </row>
    <row r="868" spans="28:38" x14ac:dyDescent="0.3">
      <c r="AB868">
        <v>863</v>
      </c>
      <c r="AC868" s="7"/>
      <c r="AF868" s="7"/>
      <c r="AG868" s="10"/>
      <c r="AH868" s="1"/>
      <c r="AI868" s="10"/>
      <c r="AJ868" s="32"/>
      <c r="AL868" s="1"/>
    </row>
    <row r="869" spans="28:38" x14ac:dyDescent="0.3">
      <c r="AB869">
        <v>864</v>
      </c>
      <c r="AC869" s="7"/>
      <c r="AF869" s="7"/>
      <c r="AG869" s="10"/>
      <c r="AH869" s="1"/>
      <c r="AI869" s="10"/>
      <c r="AJ869" s="32"/>
      <c r="AL869" s="1"/>
    </row>
    <row r="870" spans="28:38" x14ac:dyDescent="0.3">
      <c r="AB870">
        <v>865</v>
      </c>
      <c r="AC870" s="7"/>
      <c r="AF870" s="7"/>
      <c r="AG870" s="10"/>
      <c r="AH870" s="1"/>
      <c r="AI870" s="10"/>
      <c r="AJ870" s="32"/>
      <c r="AL870" s="1"/>
    </row>
    <row r="871" spans="28:38" x14ac:dyDescent="0.3">
      <c r="AB871">
        <v>866</v>
      </c>
      <c r="AC871" s="7"/>
      <c r="AF871" s="7"/>
      <c r="AG871" s="10"/>
      <c r="AH871" s="1"/>
      <c r="AI871" s="10"/>
      <c r="AJ871" s="32"/>
      <c r="AL871" s="1"/>
    </row>
    <row r="872" spans="28:38" x14ac:dyDescent="0.3">
      <c r="AB872">
        <v>867</v>
      </c>
      <c r="AC872" s="7"/>
      <c r="AF872" s="7"/>
      <c r="AG872" s="10"/>
      <c r="AH872" s="1"/>
      <c r="AI872" s="10"/>
      <c r="AJ872" s="32"/>
      <c r="AL872" s="1"/>
    </row>
    <row r="873" spans="28:38" x14ac:dyDescent="0.3">
      <c r="AB873">
        <v>868</v>
      </c>
      <c r="AC873" s="7"/>
      <c r="AF873" s="7"/>
      <c r="AG873" s="10"/>
      <c r="AH873" s="1"/>
      <c r="AI873" s="10"/>
      <c r="AJ873" s="32"/>
      <c r="AL873" s="1"/>
    </row>
    <row r="874" spans="28:38" x14ac:dyDescent="0.3">
      <c r="AB874">
        <v>869</v>
      </c>
      <c r="AC874" s="7"/>
      <c r="AF874" s="7"/>
      <c r="AG874" s="10"/>
      <c r="AH874" s="1"/>
      <c r="AI874" s="10"/>
      <c r="AJ874" s="32"/>
      <c r="AL874" s="1"/>
    </row>
    <row r="875" spans="28:38" x14ac:dyDescent="0.3">
      <c r="AB875">
        <v>870</v>
      </c>
      <c r="AC875" s="7"/>
      <c r="AF875" s="7"/>
      <c r="AG875" s="10"/>
      <c r="AH875" s="1"/>
      <c r="AI875" s="10"/>
      <c r="AJ875" s="32"/>
      <c r="AL875" s="1"/>
    </row>
    <row r="876" spans="28:38" x14ac:dyDescent="0.3">
      <c r="AB876">
        <v>871</v>
      </c>
      <c r="AC876" s="7"/>
      <c r="AF876" s="7"/>
      <c r="AG876" s="10"/>
      <c r="AH876" s="1"/>
      <c r="AI876" s="10"/>
      <c r="AJ876" s="32"/>
      <c r="AL876" s="1"/>
    </row>
    <row r="877" spans="28:38" x14ac:dyDescent="0.3">
      <c r="AB877">
        <v>872</v>
      </c>
      <c r="AC877" s="7"/>
      <c r="AF877" s="7"/>
      <c r="AG877" s="10"/>
      <c r="AH877" s="1"/>
      <c r="AI877" s="10"/>
      <c r="AJ877" s="32"/>
      <c r="AL877" s="1"/>
    </row>
    <row r="878" spans="28:38" x14ac:dyDescent="0.3">
      <c r="AB878">
        <v>873</v>
      </c>
      <c r="AC878" s="7"/>
      <c r="AF878" s="7"/>
      <c r="AG878" s="10"/>
      <c r="AH878" s="1"/>
      <c r="AI878" s="10"/>
      <c r="AJ878" s="32"/>
      <c r="AL878" s="1"/>
    </row>
    <row r="879" spans="28:38" x14ac:dyDescent="0.3">
      <c r="AB879">
        <v>874</v>
      </c>
      <c r="AC879" s="7"/>
      <c r="AF879" s="7"/>
      <c r="AG879" s="10"/>
      <c r="AH879" s="1"/>
      <c r="AI879" s="10"/>
      <c r="AJ879" s="32"/>
      <c r="AL879" s="1"/>
    </row>
    <row r="880" spans="28:38" x14ac:dyDescent="0.3">
      <c r="AB880">
        <v>875</v>
      </c>
      <c r="AC880" s="7"/>
      <c r="AF880" s="7"/>
      <c r="AG880" s="10"/>
      <c r="AH880" s="1"/>
      <c r="AI880" s="10"/>
      <c r="AJ880" s="32"/>
      <c r="AL880" s="1"/>
    </row>
    <row r="881" spans="28:38" x14ac:dyDescent="0.3">
      <c r="AB881">
        <v>876</v>
      </c>
      <c r="AC881" s="7"/>
      <c r="AF881" s="7"/>
      <c r="AG881" s="10"/>
      <c r="AH881" s="1"/>
      <c r="AI881" s="10"/>
      <c r="AJ881" s="32"/>
      <c r="AL881" s="1"/>
    </row>
    <row r="882" spans="28:38" x14ac:dyDescent="0.3">
      <c r="AB882">
        <v>877</v>
      </c>
      <c r="AC882" s="7"/>
      <c r="AF882" s="7"/>
      <c r="AG882" s="10"/>
      <c r="AH882" s="1"/>
      <c r="AI882" s="10"/>
      <c r="AJ882" s="32"/>
      <c r="AL882" s="1"/>
    </row>
    <row r="883" spans="28:38" x14ac:dyDescent="0.3">
      <c r="AB883">
        <v>878</v>
      </c>
      <c r="AC883" s="7"/>
      <c r="AF883" s="7"/>
      <c r="AG883" s="10"/>
      <c r="AH883" s="1"/>
      <c r="AI883" s="10"/>
      <c r="AJ883" s="32"/>
      <c r="AL883" s="1"/>
    </row>
    <row r="884" spans="28:38" x14ac:dyDescent="0.3">
      <c r="AB884">
        <v>879</v>
      </c>
      <c r="AC884" s="7"/>
      <c r="AF884" s="7"/>
      <c r="AG884" s="10"/>
      <c r="AH884" s="1"/>
      <c r="AI884" s="10"/>
      <c r="AJ884" s="32"/>
      <c r="AL884" s="1"/>
    </row>
    <row r="885" spans="28:38" x14ac:dyDescent="0.3">
      <c r="AB885">
        <v>880</v>
      </c>
      <c r="AC885" s="7"/>
      <c r="AF885" s="7"/>
      <c r="AG885" s="10"/>
      <c r="AH885" s="1"/>
      <c r="AI885" s="10"/>
      <c r="AJ885" s="32"/>
      <c r="AL885" s="1"/>
    </row>
    <row r="886" spans="28:38" x14ac:dyDescent="0.3">
      <c r="AB886">
        <v>881</v>
      </c>
      <c r="AC886" s="7"/>
      <c r="AF886" s="7"/>
      <c r="AG886" s="10"/>
      <c r="AH886" s="1"/>
      <c r="AI886" s="10"/>
      <c r="AJ886" s="32"/>
      <c r="AL886" s="1"/>
    </row>
    <row r="887" spans="28:38" x14ac:dyDescent="0.3">
      <c r="AB887">
        <v>882</v>
      </c>
      <c r="AC887" s="7"/>
      <c r="AF887" s="7"/>
      <c r="AG887" s="10"/>
      <c r="AH887" s="1"/>
      <c r="AI887" s="10"/>
      <c r="AJ887" s="32"/>
      <c r="AL887" s="1"/>
    </row>
    <row r="888" spans="28:38" x14ac:dyDescent="0.3">
      <c r="AB888">
        <v>883</v>
      </c>
      <c r="AC888" s="7"/>
      <c r="AF888" s="7"/>
      <c r="AG888" s="10"/>
      <c r="AH888" s="1"/>
      <c r="AI888" s="10"/>
      <c r="AJ888" s="32"/>
      <c r="AL888" s="1"/>
    </row>
    <row r="889" spans="28:38" x14ac:dyDescent="0.3">
      <c r="AB889">
        <v>884</v>
      </c>
      <c r="AC889" s="7"/>
      <c r="AF889" s="7"/>
      <c r="AG889" s="10"/>
      <c r="AH889" s="1"/>
      <c r="AI889" s="10"/>
      <c r="AJ889" s="32"/>
      <c r="AL889" s="1"/>
    </row>
    <row r="890" spans="28:38" x14ac:dyDescent="0.3">
      <c r="AB890">
        <v>885</v>
      </c>
      <c r="AC890" s="7"/>
      <c r="AF890" s="7"/>
      <c r="AG890" s="10"/>
      <c r="AH890" s="1"/>
      <c r="AI890" s="10"/>
      <c r="AJ890" s="32"/>
      <c r="AL890" s="1"/>
    </row>
    <row r="891" spans="28:38" x14ac:dyDescent="0.3">
      <c r="AB891">
        <v>886</v>
      </c>
      <c r="AC891" s="7"/>
      <c r="AF891" s="7"/>
      <c r="AG891" s="10"/>
      <c r="AH891" s="1"/>
      <c r="AI891" s="10"/>
      <c r="AJ891" s="32"/>
      <c r="AL891" s="1"/>
    </row>
    <row r="892" spans="28:38" x14ac:dyDescent="0.3">
      <c r="AB892">
        <v>887</v>
      </c>
      <c r="AC892" s="7"/>
      <c r="AF892" s="7"/>
      <c r="AG892" s="10"/>
      <c r="AH892" s="1"/>
      <c r="AI892" s="10"/>
      <c r="AJ892" s="32"/>
      <c r="AL892" s="1"/>
    </row>
    <row r="893" spans="28:38" x14ac:dyDescent="0.3">
      <c r="AB893">
        <v>888</v>
      </c>
      <c r="AC893" s="7"/>
      <c r="AF893" s="7"/>
      <c r="AG893" s="10"/>
      <c r="AH893" s="1"/>
      <c r="AI893" s="10"/>
      <c r="AJ893" s="32"/>
      <c r="AL893" s="1"/>
    </row>
    <row r="894" spans="28:38" x14ac:dyDescent="0.3">
      <c r="AB894">
        <v>889</v>
      </c>
      <c r="AC894" s="7"/>
      <c r="AF894" s="7"/>
      <c r="AG894" s="10"/>
      <c r="AH894" s="1"/>
      <c r="AI894" s="10"/>
      <c r="AJ894" s="32"/>
      <c r="AL894" s="1"/>
    </row>
    <row r="895" spans="28:38" x14ac:dyDescent="0.3">
      <c r="AB895">
        <v>890</v>
      </c>
      <c r="AC895" s="7"/>
      <c r="AF895" s="7"/>
      <c r="AG895" s="10"/>
      <c r="AH895" s="1"/>
      <c r="AI895" s="10"/>
      <c r="AJ895" s="32"/>
      <c r="AL895" s="1"/>
    </row>
    <row r="896" spans="28:38" x14ac:dyDescent="0.3">
      <c r="AB896">
        <v>891</v>
      </c>
      <c r="AC896" s="7"/>
      <c r="AF896" s="7"/>
      <c r="AG896" s="10"/>
      <c r="AH896" s="1"/>
      <c r="AI896" s="10"/>
      <c r="AJ896" s="32"/>
      <c r="AL896" s="1"/>
    </row>
    <row r="897" spans="28:38" x14ac:dyDescent="0.3">
      <c r="AB897">
        <v>892</v>
      </c>
      <c r="AC897" s="7"/>
      <c r="AF897" s="7"/>
      <c r="AG897" s="10"/>
      <c r="AH897" s="1"/>
      <c r="AI897" s="10"/>
      <c r="AJ897" s="32"/>
      <c r="AL897" s="1"/>
    </row>
    <row r="898" spans="28:38" x14ac:dyDescent="0.3">
      <c r="AB898">
        <v>893</v>
      </c>
      <c r="AC898" s="7"/>
      <c r="AF898" s="7"/>
      <c r="AG898" s="10"/>
      <c r="AH898" s="1"/>
      <c r="AI898" s="10"/>
      <c r="AJ898" s="32"/>
      <c r="AL898" s="1"/>
    </row>
    <row r="899" spans="28:38" x14ac:dyDescent="0.3">
      <c r="AB899">
        <v>894</v>
      </c>
      <c r="AC899" s="7"/>
      <c r="AF899" s="7"/>
      <c r="AG899" s="10"/>
      <c r="AH899" s="1"/>
      <c r="AI899" s="10"/>
      <c r="AJ899" s="32"/>
      <c r="AL899" s="1"/>
    </row>
    <row r="900" spans="28:38" x14ac:dyDescent="0.3">
      <c r="AB900">
        <v>895</v>
      </c>
      <c r="AC900" s="7"/>
      <c r="AF900" s="7"/>
      <c r="AG900" s="10"/>
      <c r="AH900" s="1"/>
      <c r="AI900" s="10"/>
      <c r="AJ900" s="32"/>
      <c r="AL900" s="1"/>
    </row>
    <row r="901" spans="28:38" x14ac:dyDescent="0.3">
      <c r="AB901">
        <v>896</v>
      </c>
      <c r="AC901" s="7"/>
      <c r="AF901" s="7"/>
      <c r="AG901" s="10"/>
      <c r="AH901" s="1"/>
      <c r="AI901" s="10"/>
      <c r="AJ901" s="32"/>
      <c r="AL901" s="1"/>
    </row>
    <row r="902" spans="28:38" x14ac:dyDescent="0.3">
      <c r="AB902">
        <v>897</v>
      </c>
      <c r="AC902" s="7"/>
      <c r="AF902" s="7"/>
      <c r="AG902" s="10"/>
      <c r="AH902" s="1"/>
      <c r="AI902" s="10"/>
      <c r="AJ902" s="32"/>
      <c r="AL902" s="1"/>
    </row>
    <row r="903" spans="28:38" x14ac:dyDescent="0.3">
      <c r="AB903">
        <v>898</v>
      </c>
      <c r="AC903" s="7"/>
      <c r="AF903" s="7"/>
      <c r="AG903" s="10"/>
      <c r="AH903" s="1"/>
      <c r="AI903" s="10"/>
      <c r="AJ903" s="32"/>
      <c r="AL903" s="1"/>
    </row>
    <row r="904" spans="28:38" x14ac:dyDescent="0.3">
      <c r="AB904">
        <v>899</v>
      </c>
      <c r="AC904" s="7"/>
      <c r="AF904" s="7"/>
      <c r="AG904" s="10"/>
      <c r="AH904" s="1"/>
      <c r="AI904" s="10"/>
      <c r="AJ904" s="32"/>
      <c r="AL904" s="1"/>
    </row>
    <row r="905" spans="28:38" x14ac:dyDescent="0.3">
      <c r="AB905">
        <v>900</v>
      </c>
      <c r="AC905" s="7"/>
      <c r="AF905" s="7"/>
      <c r="AG905" s="10"/>
      <c r="AH905" s="1"/>
      <c r="AI905" s="10"/>
      <c r="AJ905" s="32"/>
      <c r="AL905" s="1"/>
    </row>
    <row r="906" spans="28:38" x14ac:dyDescent="0.3">
      <c r="AB906">
        <v>901</v>
      </c>
      <c r="AC906" s="7"/>
      <c r="AF906" s="7"/>
      <c r="AG906" s="10"/>
      <c r="AH906" s="1"/>
      <c r="AI906" s="10"/>
      <c r="AJ906" s="32"/>
      <c r="AL906" s="1"/>
    </row>
    <row r="907" spans="28:38" x14ac:dyDescent="0.3">
      <c r="AB907">
        <v>902</v>
      </c>
      <c r="AC907" s="7"/>
      <c r="AF907" s="7"/>
      <c r="AG907" s="10"/>
      <c r="AH907" s="1"/>
      <c r="AI907" s="10"/>
      <c r="AJ907" s="32"/>
      <c r="AL907" s="1"/>
    </row>
    <row r="908" spans="28:38" x14ac:dyDescent="0.3">
      <c r="AB908">
        <v>903</v>
      </c>
      <c r="AC908" s="7"/>
      <c r="AF908" s="7"/>
      <c r="AG908" s="10"/>
      <c r="AH908" s="1"/>
      <c r="AI908" s="10"/>
      <c r="AJ908" s="32"/>
      <c r="AL908" s="1"/>
    </row>
    <row r="909" spans="28:38" x14ac:dyDescent="0.3">
      <c r="AB909">
        <v>904</v>
      </c>
      <c r="AC909" s="7"/>
      <c r="AF909" s="7"/>
      <c r="AG909" s="10"/>
      <c r="AH909" s="1"/>
      <c r="AI909" s="10"/>
      <c r="AJ909" s="32"/>
      <c r="AL909" s="1"/>
    </row>
    <row r="910" spans="28:38" x14ac:dyDescent="0.3">
      <c r="AB910">
        <v>905</v>
      </c>
      <c r="AC910" s="7"/>
      <c r="AF910" s="7"/>
      <c r="AG910" s="10"/>
      <c r="AH910" s="1"/>
      <c r="AI910" s="10"/>
      <c r="AJ910" s="32"/>
      <c r="AL910" s="1"/>
    </row>
    <row r="911" spans="28:38" x14ac:dyDescent="0.3">
      <c r="AB911">
        <v>906</v>
      </c>
      <c r="AC911" s="7"/>
      <c r="AF911" s="7"/>
      <c r="AG911" s="10"/>
      <c r="AH911" s="1"/>
      <c r="AI911" s="10"/>
      <c r="AJ911" s="32"/>
      <c r="AL911" s="1"/>
    </row>
    <row r="912" spans="28:38" x14ac:dyDescent="0.3">
      <c r="AB912">
        <v>907</v>
      </c>
      <c r="AC912" s="7"/>
      <c r="AF912" s="7"/>
      <c r="AG912" s="10"/>
      <c r="AH912" s="1"/>
      <c r="AI912" s="10"/>
      <c r="AJ912" s="32"/>
      <c r="AL912" s="1"/>
    </row>
    <row r="913" spans="28:38" x14ac:dyDescent="0.3">
      <c r="AB913">
        <v>908</v>
      </c>
      <c r="AC913" s="7"/>
      <c r="AF913" s="7"/>
      <c r="AG913" s="10"/>
      <c r="AH913" s="1"/>
      <c r="AI913" s="10"/>
      <c r="AJ913" s="32"/>
      <c r="AL913" s="1"/>
    </row>
    <row r="914" spans="28:38" x14ac:dyDescent="0.3">
      <c r="AB914">
        <v>909</v>
      </c>
      <c r="AC914" s="7"/>
      <c r="AF914" s="7"/>
      <c r="AG914" s="10"/>
      <c r="AH914" s="1"/>
      <c r="AI914" s="10"/>
      <c r="AJ914" s="32"/>
      <c r="AL914" s="1"/>
    </row>
    <row r="915" spans="28:38" x14ac:dyDescent="0.3">
      <c r="AB915">
        <v>910</v>
      </c>
      <c r="AC915" s="7"/>
      <c r="AF915" s="7"/>
      <c r="AG915" s="10"/>
      <c r="AH915" s="1"/>
      <c r="AI915" s="10"/>
      <c r="AJ915" s="32"/>
      <c r="AL915" s="1"/>
    </row>
    <row r="916" spans="28:38" x14ac:dyDescent="0.3">
      <c r="AB916">
        <v>911</v>
      </c>
      <c r="AC916" s="7"/>
      <c r="AF916" s="7"/>
      <c r="AG916" s="10"/>
      <c r="AH916" s="1"/>
      <c r="AI916" s="10"/>
      <c r="AJ916" s="32"/>
      <c r="AL916" s="1"/>
    </row>
    <row r="917" spans="28:38" x14ac:dyDescent="0.3">
      <c r="AB917">
        <v>912</v>
      </c>
      <c r="AC917" s="7"/>
      <c r="AF917" s="7"/>
      <c r="AG917" s="10"/>
      <c r="AH917" s="1"/>
      <c r="AI917" s="10"/>
      <c r="AJ917" s="32"/>
      <c r="AL917" s="1"/>
    </row>
    <row r="918" spans="28:38" x14ac:dyDescent="0.3">
      <c r="AB918">
        <v>913</v>
      </c>
      <c r="AC918" s="7"/>
      <c r="AF918" s="7"/>
      <c r="AG918" s="10"/>
      <c r="AH918" s="1"/>
      <c r="AI918" s="10"/>
      <c r="AJ918" s="32"/>
      <c r="AL918" s="1"/>
    </row>
    <row r="919" spans="28:38" x14ac:dyDescent="0.3">
      <c r="AB919">
        <v>914</v>
      </c>
      <c r="AC919" s="7"/>
      <c r="AF919" s="7"/>
      <c r="AG919" s="10"/>
      <c r="AH919" s="1"/>
      <c r="AI919" s="10"/>
      <c r="AJ919" s="32"/>
      <c r="AL919" s="1"/>
    </row>
    <row r="920" spans="28:38" x14ac:dyDescent="0.3">
      <c r="AB920">
        <v>915</v>
      </c>
      <c r="AC920" s="7"/>
      <c r="AF920" s="7"/>
      <c r="AG920" s="10"/>
      <c r="AH920" s="1"/>
      <c r="AI920" s="10"/>
      <c r="AJ920" s="32"/>
      <c r="AL920" s="1"/>
    </row>
    <row r="921" spans="28:38" x14ac:dyDescent="0.3">
      <c r="AB921">
        <v>916</v>
      </c>
      <c r="AC921" s="7"/>
      <c r="AF921" s="7"/>
      <c r="AG921" s="10"/>
      <c r="AH921" s="1"/>
      <c r="AI921" s="10"/>
      <c r="AJ921" s="32"/>
      <c r="AL921" s="1"/>
    </row>
    <row r="922" spans="28:38" x14ac:dyDescent="0.3">
      <c r="AB922">
        <v>917</v>
      </c>
      <c r="AC922" s="7"/>
      <c r="AF922" s="7"/>
      <c r="AG922" s="10"/>
      <c r="AH922" s="1"/>
      <c r="AI922" s="10"/>
      <c r="AJ922" s="32"/>
      <c r="AL922" s="1"/>
    </row>
    <row r="923" spans="28:38" x14ac:dyDescent="0.3">
      <c r="AB923">
        <v>918</v>
      </c>
      <c r="AC923" s="7"/>
      <c r="AF923" s="7"/>
      <c r="AG923" s="10"/>
      <c r="AH923" s="1"/>
      <c r="AI923" s="10"/>
      <c r="AJ923" s="32"/>
      <c r="AL923" s="1"/>
    </row>
    <row r="924" spans="28:38" x14ac:dyDescent="0.3">
      <c r="AB924">
        <v>919</v>
      </c>
      <c r="AC924" s="7"/>
      <c r="AF924" s="7"/>
      <c r="AG924" s="10"/>
      <c r="AH924" s="1"/>
      <c r="AI924" s="10"/>
      <c r="AJ924" s="32"/>
      <c r="AL924" s="1"/>
    </row>
    <row r="925" spans="28:38" x14ac:dyDescent="0.3">
      <c r="AB925">
        <v>920</v>
      </c>
      <c r="AC925" s="7"/>
      <c r="AF925" s="7"/>
      <c r="AG925" s="10"/>
      <c r="AH925" s="1"/>
      <c r="AI925" s="10"/>
      <c r="AJ925" s="32"/>
      <c r="AL925" s="1"/>
    </row>
    <row r="926" spans="28:38" x14ac:dyDescent="0.3">
      <c r="AB926">
        <v>921</v>
      </c>
      <c r="AC926" s="7"/>
      <c r="AF926" s="7"/>
      <c r="AG926" s="10"/>
      <c r="AH926" s="1"/>
      <c r="AI926" s="10"/>
      <c r="AJ926" s="32"/>
      <c r="AL926" s="1"/>
    </row>
    <row r="927" spans="28:38" x14ac:dyDescent="0.3">
      <c r="AB927">
        <v>922</v>
      </c>
      <c r="AC927" s="7"/>
      <c r="AF927" s="7"/>
      <c r="AG927" s="10"/>
      <c r="AH927" s="1"/>
      <c r="AI927" s="10"/>
      <c r="AJ927" s="32"/>
      <c r="AL927" s="1"/>
    </row>
    <row r="928" spans="28:38" x14ac:dyDescent="0.3">
      <c r="AB928">
        <v>923</v>
      </c>
      <c r="AC928" s="7"/>
      <c r="AF928" s="7"/>
      <c r="AG928" s="10"/>
      <c r="AH928" s="1"/>
      <c r="AI928" s="10"/>
      <c r="AJ928" s="32"/>
      <c r="AL928" s="1"/>
    </row>
    <row r="929" spans="28:38" x14ac:dyDescent="0.3">
      <c r="AB929">
        <v>924</v>
      </c>
      <c r="AC929" s="7"/>
      <c r="AF929" s="7"/>
      <c r="AG929" s="10"/>
      <c r="AH929" s="1"/>
      <c r="AI929" s="10"/>
      <c r="AJ929" s="32"/>
      <c r="AL929" s="1"/>
    </row>
    <row r="930" spans="28:38" x14ac:dyDescent="0.3">
      <c r="AB930">
        <v>925</v>
      </c>
      <c r="AC930" s="7"/>
      <c r="AF930" s="7"/>
      <c r="AG930" s="10"/>
      <c r="AH930" s="1"/>
      <c r="AI930" s="10"/>
      <c r="AJ930" s="32"/>
      <c r="AL930" s="1"/>
    </row>
    <row r="931" spans="28:38" x14ac:dyDescent="0.3">
      <c r="AB931">
        <v>926</v>
      </c>
      <c r="AC931" s="7"/>
      <c r="AF931" s="7"/>
      <c r="AG931" s="10"/>
      <c r="AH931" s="1"/>
      <c r="AI931" s="10"/>
      <c r="AJ931" s="32"/>
      <c r="AL931" s="1"/>
    </row>
    <row r="932" spans="28:38" x14ac:dyDescent="0.3">
      <c r="AB932">
        <v>927</v>
      </c>
      <c r="AC932" s="7"/>
      <c r="AF932" s="7"/>
      <c r="AG932" s="10"/>
      <c r="AH932" s="1"/>
      <c r="AI932" s="10"/>
      <c r="AJ932" s="32"/>
      <c r="AL932" s="1"/>
    </row>
    <row r="933" spans="28:38" x14ac:dyDescent="0.3">
      <c r="AB933">
        <v>928</v>
      </c>
      <c r="AC933" s="7"/>
      <c r="AF933" s="7"/>
      <c r="AG933" s="10"/>
      <c r="AH933" s="1"/>
      <c r="AI933" s="10"/>
      <c r="AJ933" s="32"/>
      <c r="AL933" s="1"/>
    </row>
    <row r="934" spans="28:38" x14ac:dyDescent="0.3">
      <c r="AB934">
        <v>929</v>
      </c>
      <c r="AC934" s="7"/>
      <c r="AF934" s="7"/>
      <c r="AG934" s="10"/>
      <c r="AH934" s="1"/>
      <c r="AI934" s="10"/>
      <c r="AJ934" s="32"/>
      <c r="AL934" s="1"/>
    </row>
    <row r="935" spans="28:38" x14ac:dyDescent="0.3">
      <c r="AB935">
        <v>930</v>
      </c>
      <c r="AC935" s="7"/>
      <c r="AF935" s="7"/>
      <c r="AG935" s="10"/>
      <c r="AH935" s="1"/>
      <c r="AI935" s="10"/>
      <c r="AJ935" s="32"/>
      <c r="AL935" s="1"/>
    </row>
    <row r="936" spans="28:38" x14ac:dyDescent="0.3">
      <c r="AB936">
        <v>931</v>
      </c>
      <c r="AC936" s="7"/>
      <c r="AF936" s="7"/>
      <c r="AG936" s="10"/>
      <c r="AH936" s="1"/>
      <c r="AI936" s="10"/>
      <c r="AJ936" s="32"/>
      <c r="AL936" s="1"/>
    </row>
    <row r="937" spans="28:38" x14ac:dyDescent="0.3">
      <c r="AB937">
        <v>932</v>
      </c>
      <c r="AC937" s="7"/>
      <c r="AF937" s="7"/>
      <c r="AG937" s="10"/>
      <c r="AH937" s="1"/>
      <c r="AI937" s="10"/>
      <c r="AJ937" s="32"/>
      <c r="AL937" s="1"/>
    </row>
    <row r="938" spans="28:38" x14ac:dyDescent="0.3">
      <c r="AB938">
        <v>933</v>
      </c>
      <c r="AC938" s="7"/>
      <c r="AF938" s="7"/>
      <c r="AG938" s="10"/>
      <c r="AH938" s="1"/>
      <c r="AI938" s="10"/>
      <c r="AJ938" s="32"/>
      <c r="AL938" s="1"/>
    </row>
    <row r="939" spans="28:38" x14ac:dyDescent="0.3">
      <c r="AB939">
        <v>934</v>
      </c>
      <c r="AC939" s="7"/>
      <c r="AF939" s="7"/>
      <c r="AG939" s="10"/>
      <c r="AH939" s="1"/>
      <c r="AI939" s="10"/>
      <c r="AJ939" s="32"/>
      <c r="AL939" s="1"/>
    </row>
    <row r="940" spans="28:38" x14ac:dyDescent="0.3">
      <c r="AB940">
        <v>935</v>
      </c>
      <c r="AC940" s="7"/>
      <c r="AF940" s="7"/>
      <c r="AG940" s="10"/>
      <c r="AH940" s="1"/>
      <c r="AI940" s="10"/>
      <c r="AJ940" s="32"/>
      <c r="AL940" s="1"/>
    </row>
    <row r="941" spans="28:38" x14ac:dyDescent="0.3">
      <c r="AB941">
        <v>936</v>
      </c>
      <c r="AC941" s="7"/>
      <c r="AF941" s="7"/>
      <c r="AG941" s="10"/>
      <c r="AH941" s="1"/>
      <c r="AI941" s="10"/>
      <c r="AJ941" s="32"/>
      <c r="AL941" s="1"/>
    </row>
    <row r="942" spans="28:38" x14ac:dyDescent="0.3">
      <c r="AB942">
        <v>937</v>
      </c>
      <c r="AC942" s="7"/>
      <c r="AF942" s="7"/>
      <c r="AG942" s="10"/>
      <c r="AH942" s="1"/>
      <c r="AI942" s="10"/>
      <c r="AJ942" s="32"/>
      <c r="AL942" s="1"/>
    </row>
    <row r="943" spans="28:38" x14ac:dyDescent="0.3">
      <c r="AB943">
        <v>938</v>
      </c>
      <c r="AC943" s="7"/>
      <c r="AF943" s="7"/>
      <c r="AG943" s="10"/>
      <c r="AH943" s="1"/>
      <c r="AI943" s="10"/>
      <c r="AJ943" s="32"/>
      <c r="AL943" s="1"/>
    </row>
    <row r="944" spans="28:38" x14ac:dyDescent="0.3">
      <c r="AB944">
        <v>939</v>
      </c>
      <c r="AC944" s="7"/>
      <c r="AF944" s="7"/>
      <c r="AG944" s="10"/>
      <c r="AH944" s="1"/>
      <c r="AI944" s="10"/>
      <c r="AJ944" s="32"/>
      <c r="AL944" s="1"/>
    </row>
    <row r="945" spans="28:38" x14ac:dyDescent="0.3">
      <c r="AB945">
        <v>940</v>
      </c>
      <c r="AC945" s="7"/>
      <c r="AF945" s="7"/>
      <c r="AG945" s="10"/>
      <c r="AH945" s="1"/>
      <c r="AI945" s="10"/>
      <c r="AJ945" s="32"/>
      <c r="AL945" s="1"/>
    </row>
    <row r="946" spans="28:38" x14ac:dyDescent="0.3">
      <c r="AB946">
        <v>941</v>
      </c>
      <c r="AC946" s="7"/>
      <c r="AF946" s="7"/>
      <c r="AG946" s="10"/>
      <c r="AH946" s="1"/>
      <c r="AI946" s="10"/>
      <c r="AJ946" s="32"/>
      <c r="AL946" s="1"/>
    </row>
    <row r="947" spans="28:38" x14ac:dyDescent="0.3">
      <c r="AB947">
        <v>942</v>
      </c>
      <c r="AC947" s="7"/>
      <c r="AF947" s="7"/>
      <c r="AG947" s="10"/>
      <c r="AH947" s="1"/>
      <c r="AI947" s="10"/>
      <c r="AJ947" s="32"/>
      <c r="AL947" s="1"/>
    </row>
    <row r="948" spans="28:38" x14ac:dyDescent="0.3">
      <c r="AB948">
        <v>943</v>
      </c>
      <c r="AC948" s="7"/>
      <c r="AF948" s="7"/>
      <c r="AG948" s="10"/>
      <c r="AH948" s="1"/>
      <c r="AI948" s="10"/>
      <c r="AJ948" s="32"/>
      <c r="AL948" s="1"/>
    </row>
    <row r="949" spans="28:38" x14ac:dyDescent="0.3">
      <c r="AB949">
        <v>944</v>
      </c>
      <c r="AC949" s="7"/>
      <c r="AF949" s="7"/>
      <c r="AG949" s="10"/>
      <c r="AH949" s="1"/>
      <c r="AI949" s="10"/>
      <c r="AJ949" s="32"/>
      <c r="AL949" s="1"/>
    </row>
    <row r="950" spans="28:38" x14ac:dyDescent="0.3">
      <c r="AB950">
        <v>945</v>
      </c>
      <c r="AC950" s="7"/>
      <c r="AF950" s="7"/>
      <c r="AG950" s="10"/>
      <c r="AH950" s="1"/>
      <c r="AI950" s="10"/>
      <c r="AJ950" s="32"/>
      <c r="AL950" s="1"/>
    </row>
    <row r="951" spans="28:38" x14ac:dyDescent="0.3">
      <c r="AB951">
        <v>946</v>
      </c>
      <c r="AC951" s="7"/>
      <c r="AF951" s="7"/>
      <c r="AG951" s="10"/>
      <c r="AH951" s="1"/>
      <c r="AI951" s="10"/>
      <c r="AJ951" s="32"/>
      <c r="AL951" s="1"/>
    </row>
    <row r="952" spans="28:38" x14ac:dyDescent="0.3">
      <c r="AB952">
        <v>947</v>
      </c>
      <c r="AC952" s="7"/>
      <c r="AF952" s="7"/>
      <c r="AG952" s="10"/>
      <c r="AH952" s="1"/>
      <c r="AI952" s="10"/>
      <c r="AJ952" s="32"/>
      <c r="AL952" s="1"/>
    </row>
    <row r="953" spans="28:38" x14ac:dyDescent="0.3">
      <c r="AB953">
        <v>948</v>
      </c>
      <c r="AC953" s="7"/>
      <c r="AF953" s="7"/>
      <c r="AG953" s="10"/>
      <c r="AH953" s="1"/>
      <c r="AI953" s="10"/>
      <c r="AJ953" s="32"/>
      <c r="AL953" s="1"/>
    </row>
    <row r="954" spans="28:38" x14ac:dyDescent="0.3">
      <c r="AB954">
        <v>949</v>
      </c>
      <c r="AC954" s="7"/>
      <c r="AF954" s="7"/>
      <c r="AG954" s="10"/>
      <c r="AH954" s="1"/>
      <c r="AI954" s="10"/>
      <c r="AJ954" s="32"/>
      <c r="AL954" s="1"/>
    </row>
    <row r="955" spans="28:38" x14ac:dyDescent="0.3">
      <c r="AB955">
        <v>950</v>
      </c>
      <c r="AC955" s="7"/>
      <c r="AF955" s="7"/>
      <c r="AG955" s="10"/>
      <c r="AH955" s="1"/>
      <c r="AI955" s="10"/>
      <c r="AJ955" s="32"/>
      <c r="AL955" s="1"/>
    </row>
    <row r="956" spans="28:38" x14ac:dyDescent="0.3">
      <c r="AB956">
        <v>951</v>
      </c>
      <c r="AC956" s="7"/>
      <c r="AF956" s="7"/>
      <c r="AG956" s="10"/>
      <c r="AH956" s="1"/>
      <c r="AI956" s="10"/>
      <c r="AJ956" s="32"/>
      <c r="AL956" s="1"/>
    </row>
    <row r="957" spans="28:38" x14ac:dyDescent="0.3">
      <c r="AB957">
        <v>952</v>
      </c>
      <c r="AC957" s="7"/>
      <c r="AF957" s="7"/>
      <c r="AG957" s="10"/>
      <c r="AH957" s="1"/>
      <c r="AI957" s="10"/>
      <c r="AJ957" s="32"/>
      <c r="AL957" s="1"/>
    </row>
    <row r="958" spans="28:38" x14ac:dyDescent="0.3">
      <c r="AB958">
        <v>953</v>
      </c>
      <c r="AC958" s="7"/>
      <c r="AF958" s="7"/>
      <c r="AG958" s="10"/>
      <c r="AH958" s="1"/>
      <c r="AI958" s="10"/>
      <c r="AJ958" s="32"/>
      <c r="AL958" s="1"/>
    </row>
    <row r="959" spans="28:38" x14ac:dyDescent="0.3">
      <c r="AB959">
        <v>954</v>
      </c>
      <c r="AC959" s="7"/>
      <c r="AF959" s="7"/>
      <c r="AG959" s="10"/>
      <c r="AH959" s="1"/>
      <c r="AI959" s="10"/>
      <c r="AJ959" s="32"/>
      <c r="AL959" s="1"/>
    </row>
    <row r="960" spans="28:38" x14ac:dyDescent="0.3">
      <c r="AB960">
        <v>955</v>
      </c>
      <c r="AC960" s="7"/>
      <c r="AF960" s="7"/>
      <c r="AG960" s="10"/>
      <c r="AH960" s="1"/>
      <c r="AI960" s="10"/>
      <c r="AJ960" s="32"/>
      <c r="AL960" s="1"/>
    </row>
    <row r="961" spans="28:38" x14ac:dyDescent="0.3">
      <c r="AB961">
        <v>956</v>
      </c>
      <c r="AC961" s="7"/>
      <c r="AF961" s="7"/>
      <c r="AG961" s="10"/>
      <c r="AH961" s="1"/>
      <c r="AI961" s="10"/>
      <c r="AJ961" s="32"/>
      <c r="AL961" s="1"/>
    </row>
    <row r="962" spans="28:38" x14ac:dyDescent="0.3">
      <c r="AB962">
        <v>957</v>
      </c>
      <c r="AC962" s="7"/>
      <c r="AF962" s="7"/>
      <c r="AG962" s="10"/>
      <c r="AH962" s="1"/>
      <c r="AI962" s="10"/>
      <c r="AJ962" s="32"/>
      <c r="AL962" s="1"/>
    </row>
    <row r="963" spans="28:38" x14ac:dyDescent="0.3">
      <c r="AB963">
        <v>958</v>
      </c>
      <c r="AC963" s="7"/>
      <c r="AF963" s="7"/>
      <c r="AG963" s="10"/>
      <c r="AH963" s="1"/>
      <c r="AI963" s="10"/>
      <c r="AJ963" s="32"/>
      <c r="AL963" s="1"/>
    </row>
    <row r="964" spans="28:38" x14ac:dyDescent="0.3">
      <c r="AB964">
        <v>959</v>
      </c>
      <c r="AC964" s="7"/>
      <c r="AF964" s="7"/>
      <c r="AG964" s="10"/>
      <c r="AH964" s="1"/>
      <c r="AI964" s="10"/>
      <c r="AJ964" s="32"/>
      <c r="AL964" s="1"/>
    </row>
    <row r="965" spans="28:38" x14ac:dyDescent="0.3">
      <c r="AB965">
        <v>960</v>
      </c>
      <c r="AC965" s="7"/>
      <c r="AF965" s="7"/>
      <c r="AG965" s="10"/>
      <c r="AH965" s="1"/>
      <c r="AI965" s="10"/>
      <c r="AJ965" s="32"/>
      <c r="AL965" s="1"/>
    </row>
    <row r="966" spans="28:38" x14ac:dyDescent="0.3">
      <c r="AB966">
        <v>961</v>
      </c>
      <c r="AC966" s="7"/>
      <c r="AF966" s="7"/>
      <c r="AG966" s="10"/>
      <c r="AH966" s="1"/>
      <c r="AI966" s="10"/>
      <c r="AJ966" s="32"/>
      <c r="AL966" s="1"/>
    </row>
    <row r="967" spans="28:38" x14ac:dyDescent="0.3">
      <c r="AB967">
        <v>962</v>
      </c>
      <c r="AC967" s="7"/>
      <c r="AF967" s="7"/>
      <c r="AG967" s="10"/>
      <c r="AH967" s="1"/>
      <c r="AI967" s="10"/>
      <c r="AJ967" s="32"/>
      <c r="AL967" s="1"/>
    </row>
    <row r="968" spans="28:38" x14ac:dyDescent="0.3">
      <c r="AB968">
        <v>963</v>
      </c>
      <c r="AC968" s="7"/>
      <c r="AF968" s="7"/>
      <c r="AG968" s="10"/>
      <c r="AH968" s="1"/>
      <c r="AI968" s="10"/>
      <c r="AJ968" s="32"/>
      <c r="AL968" s="1"/>
    </row>
    <row r="969" spans="28:38" x14ac:dyDescent="0.3">
      <c r="AB969">
        <v>964</v>
      </c>
      <c r="AC969" s="7"/>
      <c r="AF969" s="7"/>
      <c r="AG969" s="10"/>
      <c r="AH969" s="1"/>
      <c r="AI969" s="10"/>
      <c r="AJ969" s="32"/>
      <c r="AL969" s="1"/>
    </row>
    <row r="970" spans="28:38" x14ac:dyDescent="0.3">
      <c r="AB970">
        <v>965</v>
      </c>
      <c r="AC970" s="7"/>
      <c r="AF970" s="7"/>
      <c r="AG970" s="10"/>
      <c r="AH970" s="1"/>
      <c r="AI970" s="10"/>
      <c r="AJ970" s="32"/>
      <c r="AL970" s="1"/>
    </row>
    <row r="971" spans="28:38" x14ac:dyDescent="0.3">
      <c r="AB971">
        <v>966</v>
      </c>
      <c r="AC971" s="7"/>
      <c r="AF971" s="7"/>
      <c r="AG971" s="10"/>
      <c r="AH971" s="1"/>
      <c r="AI971" s="10"/>
      <c r="AJ971" s="32"/>
      <c r="AL971" s="1"/>
    </row>
    <row r="972" spans="28:38" x14ac:dyDescent="0.3">
      <c r="AB972">
        <v>967</v>
      </c>
      <c r="AC972" s="7"/>
      <c r="AF972" s="7"/>
      <c r="AG972" s="10"/>
      <c r="AH972" s="1"/>
      <c r="AI972" s="10"/>
      <c r="AJ972" s="32"/>
      <c r="AL972" s="1"/>
    </row>
    <row r="973" spans="28:38" x14ac:dyDescent="0.3">
      <c r="AB973">
        <v>968</v>
      </c>
      <c r="AC973" s="7"/>
      <c r="AF973" s="7"/>
      <c r="AG973" s="10"/>
      <c r="AH973" s="1"/>
      <c r="AI973" s="10"/>
      <c r="AJ973" s="32"/>
      <c r="AL973" s="1"/>
    </row>
    <row r="974" spans="28:38" x14ac:dyDescent="0.3">
      <c r="AB974">
        <v>969</v>
      </c>
      <c r="AC974" s="7"/>
      <c r="AF974" s="7"/>
      <c r="AG974" s="10"/>
      <c r="AH974" s="1"/>
      <c r="AI974" s="10"/>
      <c r="AJ974" s="32"/>
      <c r="AL974" s="1"/>
    </row>
    <row r="975" spans="28:38" x14ac:dyDescent="0.3">
      <c r="AB975">
        <v>970</v>
      </c>
      <c r="AC975" s="7"/>
      <c r="AF975" s="7"/>
      <c r="AG975" s="10"/>
      <c r="AH975" s="1"/>
      <c r="AI975" s="10"/>
      <c r="AJ975" s="32"/>
      <c r="AL975" s="1"/>
    </row>
    <row r="976" spans="28:38" x14ac:dyDescent="0.3">
      <c r="AB976">
        <v>971</v>
      </c>
      <c r="AC976" s="7"/>
      <c r="AF976" s="7"/>
      <c r="AG976" s="10"/>
      <c r="AH976" s="1"/>
      <c r="AI976" s="10"/>
      <c r="AJ976" s="32"/>
      <c r="AL976" s="1"/>
    </row>
    <row r="977" spans="28:38" x14ac:dyDescent="0.3">
      <c r="AB977">
        <v>972</v>
      </c>
      <c r="AC977" s="7"/>
      <c r="AF977" s="7"/>
      <c r="AG977" s="10"/>
      <c r="AH977" s="1"/>
      <c r="AI977" s="10"/>
      <c r="AJ977" s="32"/>
      <c r="AL977" s="1"/>
    </row>
    <row r="978" spans="28:38" x14ac:dyDescent="0.3">
      <c r="AB978">
        <v>973</v>
      </c>
      <c r="AC978" s="7"/>
      <c r="AF978" s="7"/>
      <c r="AG978" s="10"/>
      <c r="AH978" s="1"/>
      <c r="AI978" s="10"/>
      <c r="AJ978" s="32"/>
      <c r="AL978" s="1"/>
    </row>
    <row r="979" spans="28:38" x14ac:dyDescent="0.3">
      <c r="AB979">
        <v>974</v>
      </c>
      <c r="AC979" s="7"/>
      <c r="AF979" s="7"/>
      <c r="AG979" s="10"/>
      <c r="AH979" s="1"/>
      <c r="AI979" s="10"/>
      <c r="AJ979" s="32"/>
      <c r="AL979" s="1"/>
    </row>
    <row r="980" spans="28:38" x14ac:dyDescent="0.3">
      <c r="AB980">
        <v>975</v>
      </c>
      <c r="AC980" s="7"/>
      <c r="AF980" s="7"/>
      <c r="AG980" s="10"/>
      <c r="AH980" s="1"/>
      <c r="AI980" s="10"/>
      <c r="AJ980" s="32"/>
      <c r="AL980" s="1"/>
    </row>
    <row r="981" spans="28:38" x14ac:dyDescent="0.3">
      <c r="AB981">
        <v>976</v>
      </c>
      <c r="AC981" s="7"/>
      <c r="AF981" s="7"/>
      <c r="AG981" s="10"/>
      <c r="AH981" s="1"/>
      <c r="AI981" s="10"/>
      <c r="AJ981" s="32"/>
      <c r="AL981" s="1"/>
    </row>
    <row r="982" spans="28:38" x14ac:dyDescent="0.3">
      <c r="AB982">
        <v>977</v>
      </c>
      <c r="AC982" s="7"/>
      <c r="AF982" s="7"/>
      <c r="AG982" s="10"/>
      <c r="AH982" s="1"/>
      <c r="AI982" s="10"/>
      <c r="AJ982" s="32"/>
      <c r="AL982" s="1"/>
    </row>
    <row r="983" spans="28:38" x14ac:dyDescent="0.3">
      <c r="AB983">
        <v>978</v>
      </c>
      <c r="AC983" s="7"/>
      <c r="AF983" s="7"/>
      <c r="AG983" s="10"/>
      <c r="AH983" s="1"/>
      <c r="AI983" s="10"/>
      <c r="AJ983" s="32"/>
      <c r="AL983" s="1"/>
    </row>
    <row r="984" spans="28:38" x14ac:dyDescent="0.3">
      <c r="AB984">
        <v>979</v>
      </c>
      <c r="AC984" s="7"/>
      <c r="AF984" s="7"/>
      <c r="AG984" s="10"/>
      <c r="AH984" s="1"/>
      <c r="AI984" s="10"/>
      <c r="AJ984" s="32"/>
      <c r="AL984" s="1"/>
    </row>
    <row r="985" spans="28:38" x14ac:dyDescent="0.3">
      <c r="AB985">
        <v>980</v>
      </c>
      <c r="AC985" s="7"/>
      <c r="AF985" s="7"/>
      <c r="AG985" s="10"/>
      <c r="AH985" s="1"/>
      <c r="AI985" s="10"/>
      <c r="AJ985" s="32"/>
      <c r="AL985" s="1"/>
    </row>
    <row r="986" spans="28:38" x14ac:dyDescent="0.3">
      <c r="AB986">
        <v>981</v>
      </c>
      <c r="AC986" s="7"/>
      <c r="AF986" s="7"/>
      <c r="AG986" s="10"/>
      <c r="AH986" s="1"/>
      <c r="AI986" s="10"/>
      <c r="AJ986" s="32"/>
      <c r="AL986" s="1"/>
    </row>
    <row r="987" spans="28:38" x14ac:dyDescent="0.3">
      <c r="AB987">
        <v>982</v>
      </c>
      <c r="AC987" s="7"/>
      <c r="AF987" s="7"/>
      <c r="AG987" s="10"/>
      <c r="AH987" s="1"/>
      <c r="AI987" s="10"/>
      <c r="AJ987" s="32"/>
      <c r="AL987" s="1"/>
    </row>
    <row r="988" spans="28:38" x14ac:dyDescent="0.3">
      <c r="AB988">
        <v>983</v>
      </c>
      <c r="AC988" s="7"/>
      <c r="AF988" s="7"/>
      <c r="AG988" s="10"/>
      <c r="AH988" s="1"/>
      <c r="AI988" s="10"/>
      <c r="AJ988" s="32"/>
      <c r="AL988" s="1"/>
    </row>
    <row r="989" spans="28:38" x14ac:dyDescent="0.3">
      <c r="AB989">
        <v>984</v>
      </c>
      <c r="AC989" s="7"/>
      <c r="AF989" s="7"/>
      <c r="AG989" s="10"/>
      <c r="AH989" s="1"/>
      <c r="AI989" s="10"/>
      <c r="AJ989" s="32"/>
      <c r="AL989" s="1"/>
    </row>
    <row r="990" spans="28:38" x14ac:dyDescent="0.3">
      <c r="AB990">
        <v>985</v>
      </c>
      <c r="AC990" s="7"/>
      <c r="AF990" s="7"/>
      <c r="AG990" s="10"/>
      <c r="AH990" s="1"/>
      <c r="AI990" s="10"/>
      <c r="AJ990" s="32"/>
      <c r="AL990" s="1"/>
    </row>
    <row r="991" spans="28:38" x14ac:dyDescent="0.3">
      <c r="AB991">
        <v>986</v>
      </c>
      <c r="AC991" s="7"/>
      <c r="AF991" s="7"/>
      <c r="AG991" s="10"/>
      <c r="AH991" s="1"/>
      <c r="AI991" s="10"/>
      <c r="AJ991" s="32"/>
      <c r="AL991" s="1"/>
    </row>
    <row r="992" spans="28:38" x14ac:dyDescent="0.3">
      <c r="AB992">
        <v>987</v>
      </c>
      <c r="AC992" s="7"/>
      <c r="AF992" s="7"/>
      <c r="AG992" s="10"/>
      <c r="AH992" s="1"/>
      <c r="AI992" s="10"/>
      <c r="AJ992" s="32"/>
      <c r="AL992" s="1"/>
    </row>
    <row r="993" spans="28:38" x14ac:dyDescent="0.3">
      <c r="AB993">
        <v>988</v>
      </c>
      <c r="AC993" s="7"/>
      <c r="AF993" s="7"/>
      <c r="AG993" s="10"/>
      <c r="AH993" s="1"/>
      <c r="AI993" s="10"/>
      <c r="AJ993" s="32"/>
      <c r="AL993" s="1"/>
    </row>
    <row r="994" spans="28:38" x14ac:dyDescent="0.3">
      <c r="AB994">
        <v>989</v>
      </c>
      <c r="AC994" s="7"/>
      <c r="AF994" s="7"/>
      <c r="AG994" s="10"/>
      <c r="AH994" s="1"/>
      <c r="AI994" s="10"/>
      <c r="AJ994" s="32"/>
      <c r="AL994" s="1"/>
    </row>
    <row r="995" spans="28:38" x14ac:dyDescent="0.3">
      <c r="AB995">
        <v>990</v>
      </c>
      <c r="AC995" s="7"/>
      <c r="AF995" s="7"/>
      <c r="AG995" s="10"/>
      <c r="AH995" s="1"/>
      <c r="AI995" s="10"/>
      <c r="AJ995" s="32"/>
      <c r="AL995" s="1"/>
    </row>
    <row r="996" spans="28:38" x14ac:dyDescent="0.3">
      <c r="AB996">
        <v>991</v>
      </c>
      <c r="AC996" s="7"/>
      <c r="AF996" s="7"/>
      <c r="AG996" s="10"/>
      <c r="AH996" s="1"/>
      <c r="AI996" s="10"/>
      <c r="AJ996" s="32"/>
      <c r="AL996" s="1"/>
    </row>
    <row r="997" spans="28:38" x14ac:dyDescent="0.3">
      <c r="AB997">
        <v>992</v>
      </c>
      <c r="AC997" s="7"/>
      <c r="AF997" s="7"/>
      <c r="AG997" s="10"/>
      <c r="AH997" s="1"/>
      <c r="AI997" s="10"/>
      <c r="AJ997" s="32"/>
      <c r="AL997" s="1"/>
    </row>
    <row r="998" spans="28:38" x14ac:dyDescent="0.3">
      <c r="AB998">
        <v>993</v>
      </c>
      <c r="AC998" s="7"/>
      <c r="AF998" s="7"/>
      <c r="AG998" s="10"/>
      <c r="AH998" s="1"/>
      <c r="AI998" s="10"/>
      <c r="AJ998" s="32"/>
      <c r="AL998" s="1"/>
    </row>
    <row r="999" spans="28:38" x14ac:dyDescent="0.3">
      <c r="AB999">
        <v>994</v>
      </c>
      <c r="AC999" s="7"/>
      <c r="AF999" s="7"/>
      <c r="AG999" s="10"/>
      <c r="AH999" s="1"/>
      <c r="AI999" s="10"/>
      <c r="AJ999" s="32"/>
      <c r="AL999" s="1"/>
    </row>
    <row r="1000" spans="28:38" x14ac:dyDescent="0.3">
      <c r="AB1000">
        <v>995</v>
      </c>
      <c r="AC1000" s="7"/>
      <c r="AF1000" s="7"/>
      <c r="AG1000" s="10"/>
      <c r="AH1000" s="1"/>
      <c r="AI1000" s="10"/>
      <c r="AJ1000" s="32"/>
      <c r="AL1000" s="1"/>
    </row>
    <row r="1001" spans="28:38" x14ac:dyDescent="0.3">
      <c r="AB1001">
        <v>996</v>
      </c>
      <c r="AC1001" s="7"/>
      <c r="AF1001" s="7"/>
      <c r="AG1001" s="10"/>
      <c r="AH1001" s="1"/>
      <c r="AI1001" s="10"/>
      <c r="AJ1001" s="32"/>
      <c r="AL1001" s="1"/>
    </row>
    <row r="1002" spans="28:38" x14ac:dyDescent="0.3">
      <c r="AB1002">
        <v>997</v>
      </c>
      <c r="AC1002" s="7"/>
      <c r="AF1002" s="7"/>
      <c r="AG1002" s="10"/>
      <c r="AH1002" s="1"/>
      <c r="AI1002" s="10"/>
      <c r="AJ1002" s="32"/>
      <c r="AL1002" s="1"/>
    </row>
    <row r="1003" spans="28:38" x14ac:dyDescent="0.3">
      <c r="AB1003">
        <v>998</v>
      </c>
      <c r="AC1003" s="7"/>
      <c r="AF1003" s="7"/>
      <c r="AG1003" s="10"/>
      <c r="AH1003" s="1"/>
      <c r="AI1003" s="10"/>
      <c r="AJ1003" s="32"/>
      <c r="AL1003" s="1"/>
    </row>
    <row r="1004" spans="28:38" x14ac:dyDescent="0.3">
      <c r="AB1004">
        <v>999</v>
      </c>
      <c r="AC1004" s="7"/>
      <c r="AF1004" s="7"/>
      <c r="AG1004" s="10"/>
      <c r="AH1004" s="1"/>
      <c r="AI1004" s="10"/>
      <c r="AJ1004" s="32"/>
      <c r="AL1004" s="1"/>
    </row>
    <row r="1005" spans="28:38" x14ac:dyDescent="0.3">
      <c r="AB1005">
        <v>1000</v>
      </c>
      <c r="AC1005" s="7"/>
      <c r="AF1005" s="7"/>
      <c r="AG1005" s="10"/>
      <c r="AH1005" s="1"/>
      <c r="AI1005" s="10"/>
      <c r="AJ1005" s="32"/>
      <c r="AL1005" s="1"/>
    </row>
    <row r="1006" spans="28:38" x14ac:dyDescent="0.3">
      <c r="AB1006">
        <v>1001</v>
      </c>
    </row>
    <row r="1007" spans="28:38" x14ac:dyDescent="0.3">
      <c r="AB1007">
        <v>1002</v>
      </c>
    </row>
    <row r="1008" spans="28:38" x14ac:dyDescent="0.3">
      <c r="AB1008">
        <v>1003</v>
      </c>
    </row>
    <row r="1009" spans="28:28" x14ac:dyDescent="0.3">
      <c r="AB1009">
        <v>1004</v>
      </c>
    </row>
    <row r="1010" spans="28:28" x14ac:dyDescent="0.3">
      <c r="AB1010">
        <v>1005</v>
      </c>
    </row>
    <row r="1011" spans="28:28" x14ac:dyDescent="0.3">
      <c r="AB1011">
        <v>1006</v>
      </c>
    </row>
    <row r="1012" spans="28:28" x14ac:dyDescent="0.3">
      <c r="AB1012">
        <v>1007</v>
      </c>
    </row>
    <row r="1013" spans="28:28" x14ac:dyDescent="0.3">
      <c r="AB1013">
        <v>1008</v>
      </c>
    </row>
    <row r="1014" spans="28:28" x14ac:dyDescent="0.3">
      <c r="AB1014">
        <v>1009</v>
      </c>
    </row>
    <row r="1015" spans="28:28" x14ac:dyDescent="0.3">
      <c r="AB1015">
        <v>1010</v>
      </c>
    </row>
    <row r="1016" spans="28:28" x14ac:dyDescent="0.3">
      <c r="AB1016">
        <v>1011</v>
      </c>
    </row>
    <row r="1017" spans="28:28" x14ac:dyDescent="0.3">
      <c r="AB1017">
        <v>1012</v>
      </c>
    </row>
    <row r="1018" spans="28:28" x14ac:dyDescent="0.3">
      <c r="AB1018">
        <v>1013</v>
      </c>
    </row>
    <row r="1019" spans="28:28" x14ac:dyDescent="0.3">
      <c r="AB1019">
        <v>1014</v>
      </c>
    </row>
    <row r="1020" spans="28:28" x14ac:dyDescent="0.3">
      <c r="AB1020">
        <v>1015</v>
      </c>
    </row>
    <row r="1021" spans="28:28" x14ac:dyDescent="0.3">
      <c r="AB1021">
        <v>1016</v>
      </c>
    </row>
    <row r="1022" spans="28:28" x14ac:dyDescent="0.3">
      <c r="AB1022">
        <v>1017</v>
      </c>
    </row>
    <row r="1023" spans="28:28" x14ac:dyDescent="0.3">
      <c r="AB1023">
        <v>1018</v>
      </c>
    </row>
    <row r="1024" spans="28:28" x14ac:dyDescent="0.3">
      <c r="AB1024">
        <v>1019</v>
      </c>
    </row>
    <row r="1025" spans="28:28" x14ac:dyDescent="0.3">
      <c r="AB1025">
        <v>1020</v>
      </c>
    </row>
    <row r="1026" spans="28:28" x14ac:dyDescent="0.3">
      <c r="AB1026">
        <v>1021</v>
      </c>
    </row>
    <row r="1027" spans="28:28" x14ac:dyDescent="0.3">
      <c r="AB1027">
        <v>1022</v>
      </c>
    </row>
    <row r="1028" spans="28:28" x14ac:dyDescent="0.3">
      <c r="AB1028">
        <v>1023</v>
      </c>
    </row>
    <row r="1029" spans="28:28" x14ac:dyDescent="0.3">
      <c r="AB1029">
        <v>1024</v>
      </c>
    </row>
    <row r="1030" spans="28:28" x14ac:dyDescent="0.3">
      <c r="AB1030">
        <v>1025</v>
      </c>
    </row>
    <row r="1031" spans="28:28" x14ac:dyDescent="0.3">
      <c r="AB1031">
        <v>1026</v>
      </c>
    </row>
    <row r="1032" spans="28:28" x14ac:dyDescent="0.3">
      <c r="AB1032">
        <v>1027</v>
      </c>
    </row>
    <row r="1033" spans="28:28" x14ac:dyDescent="0.3">
      <c r="AB1033">
        <v>1028</v>
      </c>
    </row>
    <row r="1034" spans="28:28" x14ac:dyDescent="0.3">
      <c r="AB1034">
        <v>1029</v>
      </c>
    </row>
    <row r="1035" spans="28:28" x14ac:dyDescent="0.3">
      <c r="AB1035">
        <v>1030</v>
      </c>
    </row>
    <row r="1036" spans="28:28" x14ac:dyDescent="0.3">
      <c r="AB1036">
        <v>1031</v>
      </c>
    </row>
    <row r="1037" spans="28:28" x14ac:dyDescent="0.3">
      <c r="AB1037">
        <v>1032</v>
      </c>
    </row>
    <row r="1038" spans="28:28" x14ac:dyDescent="0.3">
      <c r="AB1038">
        <v>1033</v>
      </c>
    </row>
    <row r="1039" spans="28:28" x14ac:dyDescent="0.3">
      <c r="AB1039">
        <v>1034</v>
      </c>
    </row>
    <row r="1040" spans="28:28" x14ac:dyDescent="0.3">
      <c r="AB1040">
        <v>1035</v>
      </c>
    </row>
    <row r="1041" spans="28:28" x14ac:dyDescent="0.3">
      <c r="AB1041">
        <v>1036</v>
      </c>
    </row>
    <row r="1042" spans="28:28" x14ac:dyDescent="0.3">
      <c r="AB1042">
        <v>1037</v>
      </c>
    </row>
    <row r="1043" spans="28:28" x14ac:dyDescent="0.3">
      <c r="AB1043">
        <v>1038</v>
      </c>
    </row>
    <row r="1044" spans="28:28" x14ac:dyDescent="0.3">
      <c r="AB1044">
        <v>1039</v>
      </c>
    </row>
    <row r="1045" spans="28:28" x14ac:dyDescent="0.3">
      <c r="AB1045">
        <v>1040</v>
      </c>
    </row>
  </sheetData>
  <pageMargins left="0.7" right="0.7" top="0.75" bottom="0.75" header="0.3" footer="0.3"/>
  <pageSetup scale="11" orientation="landscape" r:id="rId1"/>
  <drawing r:id="rId2"/>
  <legacyDrawing r:id="rId3"/>
  <oleObjects>
    <mc:AlternateContent xmlns:mc="http://schemas.openxmlformats.org/markup-compatibility/2006">
      <mc:Choice Requires="x14">
        <oleObject progId="Equation.3" shapeId="1025" r:id="rId4">
          <objectPr defaultSize="0" autoPict="0" r:id="rId5">
            <anchor moveWithCells="1" sizeWithCells="1">
              <from>
                <xdr:col>7</xdr:col>
                <xdr:colOff>723900</xdr:colOff>
                <xdr:row>1</xdr:row>
                <xdr:rowOff>7620</xdr:rowOff>
              </from>
              <to>
                <xdr:col>12</xdr:col>
                <xdr:colOff>365760</xdr:colOff>
                <xdr:row>6</xdr:row>
                <xdr:rowOff>0</xdr:rowOff>
              </to>
            </anchor>
          </objectPr>
        </oleObject>
      </mc:Choice>
      <mc:Fallback>
        <oleObject progId="Equation.3" shapeId="1025" r:id="rId4"/>
      </mc:Fallback>
    </mc:AlternateContent>
    <mc:AlternateContent xmlns:mc="http://schemas.openxmlformats.org/markup-compatibility/2006">
      <mc:Choice Requires="x14">
        <oleObject progId="Equation.3" shapeId="1026" r:id="rId6">
          <objectPr defaultSize="0" autoPict="0" r:id="rId7">
            <anchor moveWithCells="1" sizeWithCells="1">
              <from>
                <xdr:col>12</xdr:col>
                <xdr:colOff>762000</xdr:colOff>
                <xdr:row>0</xdr:row>
                <xdr:rowOff>182880</xdr:rowOff>
              </from>
              <to>
                <xdr:col>14</xdr:col>
                <xdr:colOff>525780</xdr:colOff>
                <xdr:row>2</xdr:row>
                <xdr:rowOff>45720</xdr:rowOff>
              </to>
            </anchor>
          </objectPr>
        </oleObject>
      </mc:Choice>
      <mc:Fallback>
        <oleObject progId="Equation.3" shapeId="1026" r:id="rId6"/>
      </mc:Fallback>
    </mc:AlternateContent>
    <mc:AlternateContent xmlns:mc="http://schemas.openxmlformats.org/markup-compatibility/2006">
      <mc:Choice Requires="x14">
        <oleObject progId="Equation.3" shapeId="1027" r:id="rId8">
          <objectPr defaultSize="0" autoPict="0" r:id="rId9">
            <anchor moveWithCells="1" sizeWithCells="1">
              <from>
                <xdr:col>15</xdr:col>
                <xdr:colOff>0</xdr:colOff>
                <xdr:row>1</xdr:row>
                <xdr:rowOff>0</xdr:rowOff>
              </from>
              <to>
                <xdr:col>21</xdr:col>
                <xdr:colOff>45720</xdr:colOff>
                <xdr:row>3</xdr:row>
                <xdr:rowOff>68580</xdr:rowOff>
              </to>
            </anchor>
          </objectPr>
        </oleObject>
      </mc:Choice>
      <mc:Fallback>
        <oleObject progId="Equation.3" shapeId="1027" r:id="rId8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Q129"/>
  <sheetViews>
    <sheetView topLeftCell="A49" workbookViewId="0">
      <selection activeCell="C18" sqref="C18"/>
    </sheetView>
  </sheetViews>
  <sheetFormatPr defaultColWidth="9.109375" defaultRowHeight="15.6" x14ac:dyDescent="0.3"/>
  <cols>
    <col min="1" max="1" width="9" style="43" customWidth="1"/>
    <col min="2" max="13" width="9" style="42" customWidth="1"/>
    <col min="14" max="16384" width="9.109375" style="42"/>
  </cols>
  <sheetData>
    <row r="1" spans="1:17" ht="15.75" x14ac:dyDescent="0.25">
      <c r="A1" s="41" t="s">
        <v>54</v>
      </c>
    </row>
    <row r="2" spans="1:17" ht="16.5" thickBot="1" x14ac:dyDescent="0.3">
      <c r="A2" s="43" t="s">
        <v>55</v>
      </c>
      <c r="B2" s="42">
        <f>alpha/(1-rho)</f>
        <v>19.999999999999982</v>
      </c>
      <c r="F2" s="44"/>
    </row>
    <row r="3" spans="1:17" ht="15.75" x14ac:dyDescent="0.25">
      <c r="A3" s="43" t="s">
        <v>56</v>
      </c>
      <c r="B3" s="45">
        <f>(gamma*xinf+1)^(1/gamma)</f>
        <v>242.99999999999952</v>
      </c>
      <c r="C3" s="46" t="s">
        <v>57</v>
      </c>
      <c r="D3" s="45">
        <v>0.95</v>
      </c>
      <c r="G3" s="42">
        <f>EXP(-0.55)</f>
        <v>0.57694981038048665</v>
      </c>
    </row>
    <row r="4" spans="1:17" ht="16.5" thickBot="1" x14ac:dyDescent="0.3">
      <c r="A4" s="47" t="s">
        <v>15</v>
      </c>
      <c r="B4" s="48">
        <f>-LN(D3)</f>
        <v>5.1293294387550578E-2</v>
      </c>
      <c r="C4" s="46" t="s">
        <v>58</v>
      </c>
      <c r="D4" s="49">
        <v>1</v>
      </c>
    </row>
    <row r="5" spans="1:17" ht="19.5" thickBot="1" x14ac:dyDescent="0.4">
      <c r="A5" s="43" t="s">
        <v>59</v>
      </c>
      <c r="B5" s="49">
        <v>0</v>
      </c>
      <c r="C5" s="46" t="s">
        <v>60</v>
      </c>
      <c r="D5" s="42">
        <v>0.4</v>
      </c>
    </row>
    <row r="7" spans="1:17" ht="16.5" thickBot="1" x14ac:dyDescent="0.3">
      <c r="A7" s="43" t="s">
        <v>61</v>
      </c>
      <c r="B7" s="42">
        <v>1</v>
      </c>
      <c r="C7" s="42">
        <v>2</v>
      </c>
      <c r="D7" s="42">
        <v>3</v>
      </c>
      <c r="E7" s="42">
        <v>4</v>
      </c>
      <c r="F7" s="42">
        <v>5</v>
      </c>
      <c r="G7" s="42">
        <v>6</v>
      </c>
      <c r="H7" s="42">
        <v>7</v>
      </c>
      <c r="I7" s="42">
        <v>8</v>
      </c>
      <c r="J7" s="42">
        <v>9</v>
      </c>
      <c r="K7" s="42">
        <v>10</v>
      </c>
      <c r="L7" s="42">
        <v>11</v>
      </c>
      <c r="M7" s="42">
        <v>12</v>
      </c>
    </row>
    <row r="8" spans="1:17" ht="19.5" thickBot="1" x14ac:dyDescent="0.4">
      <c r="A8" s="43" t="s">
        <v>62</v>
      </c>
      <c r="B8" s="50">
        <f>$B$3*(1-EXP(-$B$4*(B7-$B$5)))</f>
        <v>12.149999999999986</v>
      </c>
      <c r="C8" s="51">
        <f t="shared" ref="C8:M8" si="0">$B$3*(1-EXP(-$B$4*(C7-$B$5)))</f>
        <v>23.69249999999996</v>
      </c>
      <c r="D8" s="51">
        <f t="shared" si="0"/>
        <v>34.657874999999962</v>
      </c>
      <c r="E8" s="51">
        <f t="shared" si="0"/>
        <v>45.074981249999944</v>
      </c>
      <c r="F8" s="51">
        <f t="shared" si="0"/>
        <v>54.97123218749995</v>
      </c>
      <c r="G8" s="51">
        <f t="shared" si="0"/>
        <v>64.372670578124925</v>
      </c>
      <c r="H8" s="51">
        <f t="shared" si="0"/>
        <v>73.30403704921865</v>
      </c>
      <c r="I8" s="51">
        <f t="shared" si="0"/>
        <v>81.788835196757717</v>
      </c>
      <c r="J8" s="51">
        <f t="shared" si="0"/>
        <v>89.849393436919812</v>
      </c>
      <c r="K8" s="51">
        <f t="shared" si="0"/>
        <v>97.506923765073793</v>
      </c>
      <c r="L8" s="51">
        <f t="shared" si="0"/>
        <v>104.7815775768201</v>
      </c>
      <c r="M8" s="52">
        <f t="shared" si="0"/>
        <v>111.69249869797908</v>
      </c>
    </row>
    <row r="9" spans="1:17" ht="16.5" thickBot="1" x14ac:dyDescent="0.3"/>
    <row r="10" spans="1:17" ht="18.75" x14ac:dyDescent="0.25">
      <c r="A10" s="47" t="s">
        <v>63</v>
      </c>
      <c r="B10" s="45">
        <v>2</v>
      </c>
      <c r="C10" s="42" t="s">
        <v>64</v>
      </c>
    </row>
    <row r="11" spans="1:17" ht="15.75" x14ac:dyDescent="0.25">
      <c r="A11" s="43" t="s">
        <v>65</v>
      </c>
      <c r="B11" s="53">
        <v>7</v>
      </c>
      <c r="C11" s="54">
        <f>(gamma*B11+1)^(1/gamma)</f>
        <v>28.148742067808303</v>
      </c>
    </row>
    <row r="12" spans="1:17" ht="21" thickBot="1" x14ac:dyDescent="0.4">
      <c r="A12" s="47" t="s">
        <v>66</v>
      </c>
      <c r="B12" s="49">
        <v>0</v>
      </c>
    </row>
    <row r="13" spans="1:17" ht="15.75" x14ac:dyDescent="0.25">
      <c r="A13" s="47"/>
    </row>
    <row r="14" spans="1:17" ht="15.75" x14ac:dyDescent="0.25">
      <c r="A14" s="47" t="s">
        <v>67</v>
      </c>
      <c r="B14" s="55">
        <v>0</v>
      </c>
      <c r="C14" s="55">
        <v>1</v>
      </c>
      <c r="D14" s="55">
        <v>2</v>
      </c>
      <c r="E14" s="55">
        <v>3</v>
      </c>
      <c r="F14" s="55">
        <v>4</v>
      </c>
      <c r="G14" s="55">
        <v>5</v>
      </c>
      <c r="H14" s="55">
        <v>6</v>
      </c>
      <c r="I14" s="55">
        <v>7</v>
      </c>
      <c r="J14" s="55">
        <v>8</v>
      </c>
      <c r="K14" s="55">
        <v>9</v>
      </c>
      <c r="L14" s="55">
        <v>10</v>
      </c>
      <c r="M14" s="55">
        <v>11</v>
      </c>
      <c r="N14" s="55">
        <v>12</v>
      </c>
      <c r="O14" s="55">
        <v>13</v>
      </c>
      <c r="P14" s="55">
        <v>14</v>
      </c>
      <c r="Q14" s="55">
        <v>15</v>
      </c>
    </row>
    <row r="15" spans="1:17" ht="15.75" x14ac:dyDescent="0.25">
      <c r="A15" s="56" t="s">
        <v>68</v>
      </c>
      <c r="B15" s="57">
        <f t="shared" ref="B15:Q15" si="1">B14+$C$7</f>
        <v>2</v>
      </c>
      <c r="C15" s="57">
        <f t="shared" si="1"/>
        <v>3</v>
      </c>
      <c r="D15" s="57">
        <f t="shared" si="1"/>
        <v>4</v>
      </c>
      <c r="E15" s="57">
        <f t="shared" si="1"/>
        <v>5</v>
      </c>
      <c r="F15" s="57">
        <f t="shared" si="1"/>
        <v>6</v>
      </c>
      <c r="G15" s="57">
        <f t="shared" si="1"/>
        <v>7</v>
      </c>
      <c r="H15" s="57">
        <f t="shared" si="1"/>
        <v>8</v>
      </c>
      <c r="I15" s="57">
        <f t="shared" si="1"/>
        <v>9</v>
      </c>
      <c r="J15" s="57">
        <f t="shared" si="1"/>
        <v>10</v>
      </c>
      <c r="K15" s="57">
        <f t="shared" si="1"/>
        <v>11</v>
      </c>
      <c r="L15" s="57">
        <f t="shared" si="1"/>
        <v>12</v>
      </c>
      <c r="M15" s="57">
        <f t="shared" si="1"/>
        <v>13</v>
      </c>
      <c r="N15" s="57">
        <f t="shared" si="1"/>
        <v>14</v>
      </c>
      <c r="O15" s="57">
        <f t="shared" si="1"/>
        <v>15</v>
      </c>
      <c r="P15" s="57">
        <f t="shared" si="1"/>
        <v>16</v>
      </c>
      <c r="Q15" s="57">
        <f t="shared" si="1"/>
        <v>17</v>
      </c>
    </row>
    <row r="16" spans="1:17" ht="18.75" x14ac:dyDescent="0.35">
      <c r="A16" s="47" t="s">
        <v>69</v>
      </c>
      <c r="B16" s="58">
        <f>B11</f>
        <v>7</v>
      </c>
      <c r="C16" s="58">
        <f t="shared" ref="C16:Q16" si="2">alpha+rho*B16</f>
        <v>7.6499999999999995</v>
      </c>
      <c r="D16" s="58">
        <f t="shared" si="2"/>
        <v>8.2674999999999983</v>
      </c>
      <c r="E16" s="58">
        <f t="shared" si="2"/>
        <v>8.854124999999998</v>
      </c>
      <c r="F16" s="58">
        <f t="shared" si="2"/>
        <v>9.4114187499999975</v>
      </c>
      <c r="G16" s="58">
        <f t="shared" si="2"/>
        <v>9.9408478124999977</v>
      </c>
      <c r="H16" s="58">
        <f t="shared" si="2"/>
        <v>10.443805421874998</v>
      </c>
      <c r="I16" s="58">
        <f t="shared" si="2"/>
        <v>10.921615150781248</v>
      </c>
      <c r="J16" s="58">
        <f t="shared" si="2"/>
        <v>11.375534393242186</v>
      </c>
      <c r="K16" s="58">
        <f t="shared" si="2"/>
        <v>11.806757673580076</v>
      </c>
      <c r="L16" s="58">
        <f t="shared" si="2"/>
        <v>12.216419789901073</v>
      </c>
      <c r="M16" s="58">
        <f t="shared" si="2"/>
        <v>12.605598800406019</v>
      </c>
      <c r="N16" s="58">
        <f t="shared" si="2"/>
        <v>12.975318860385718</v>
      </c>
      <c r="O16" s="58">
        <f t="shared" si="2"/>
        <v>13.326552917366431</v>
      </c>
      <c r="P16" s="58">
        <f t="shared" si="2"/>
        <v>13.66022527149811</v>
      </c>
      <c r="Q16" s="58">
        <f t="shared" si="2"/>
        <v>13.977214007923203</v>
      </c>
    </row>
    <row r="17" spans="1:17" ht="18.75" x14ac:dyDescent="0.35">
      <c r="A17" s="43" t="s">
        <v>70</v>
      </c>
      <c r="B17" s="58">
        <f>$B$10*(1-$D$3^(2*B14))/(1-$D$3^2)+$D$3^(2*B14)*$B$12</f>
        <v>0</v>
      </c>
      <c r="C17" s="58">
        <f t="shared" ref="C17:Q17" si="3">$B$10*(1-$D$3^(2*C14))/(1-$D$3^2)+$D$3^(2*C14)*$B$12</f>
        <v>2</v>
      </c>
      <c r="D17" s="58">
        <f t="shared" si="3"/>
        <v>3.8049999999999988</v>
      </c>
      <c r="E17" s="58">
        <f t="shared" si="3"/>
        <v>5.4340124999999997</v>
      </c>
      <c r="F17" s="58">
        <f t="shared" si="3"/>
        <v>6.9041962812499982</v>
      </c>
      <c r="G17" s="58">
        <f t="shared" si="3"/>
        <v>8.2310371438281233</v>
      </c>
      <c r="H17" s="58">
        <f t="shared" si="3"/>
        <v>9.4285110223048818</v>
      </c>
      <c r="I17" s="58">
        <f t="shared" si="3"/>
        <v>10.509231197630157</v>
      </c>
      <c r="J17" s="58">
        <f t="shared" si="3"/>
        <v>11.484581155861214</v>
      </c>
      <c r="K17" s="58">
        <f t="shared" si="3"/>
        <v>12.364834493164746</v>
      </c>
      <c r="L17" s="58">
        <f t="shared" si="3"/>
        <v>13.159263130081182</v>
      </c>
      <c r="M17" s="58">
        <f t="shared" si="3"/>
        <v>13.876234974898265</v>
      </c>
      <c r="N17" s="58">
        <f t="shared" si="3"/>
        <v>14.523302064845685</v>
      </c>
      <c r="O17" s="58">
        <f t="shared" si="3"/>
        <v>15.107280113523229</v>
      </c>
      <c r="P17" s="58">
        <f t="shared" si="3"/>
        <v>15.634320302454714</v>
      </c>
      <c r="Q17" s="58">
        <f t="shared" si="3"/>
        <v>16.109974072965379</v>
      </c>
    </row>
    <row r="18" spans="1:17" ht="18.75" x14ac:dyDescent="0.35">
      <c r="A18" s="43" t="s">
        <v>71</v>
      </c>
      <c r="B18" s="58">
        <f t="shared" ref="B18:Q18" si="4">SQRT(B17)</f>
        <v>0</v>
      </c>
      <c r="C18" s="58">
        <f t="shared" si="4"/>
        <v>1.4142135623730951</v>
      </c>
      <c r="D18" s="58">
        <f t="shared" si="4"/>
        <v>1.9506409203131156</v>
      </c>
      <c r="E18" s="58">
        <f t="shared" si="4"/>
        <v>2.331096844835066</v>
      </c>
      <c r="F18" s="58">
        <f t="shared" si="4"/>
        <v>2.6275837343936344</v>
      </c>
      <c r="G18" s="58">
        <f t="shared" si="4"/>
        <v>2.8689784146675144</v>
      </c>
      <c r="H18" s="58">
        <f t="shared" si="4"/>
        <v>3.0705880580606837</v>
      </c>
      <c r="I18" s="58">
        <f t="shared" si="4"/>
        <v>3.2417944409894588</v>
      </c>
      <c r="J18" s="58">
        <f t="shared" si="4"/>
        <v>3.3888908444889774</v>
      </c>
      <c r="K18" s="58">
        <f t="shared" si="4"/>
        <v>3.5163666607970145</v>
      </c>
      <c r="L18" s="58">
        <f t="shared" si="4"/>
        <v>3.6275698656374882</v>
      </c>
      <c r="M18" s="58">
        <f t="shared" si="4"/>
        <v>3.7250818749254715</v>
      </c>
      <c r="N18" s="58">
        <f t="shared" si="4"/>
        <v>3.8109450356631602</v>
      </c>
      <c r="O18" s="58">
        <f t="shared" si="4"/>
        <v>3.8868084739955004</v>
      </c>
      <c r="P18" s="58">
        <f t="shared" si="4"/>
        <v>3.9540258348238844</v>
      </c>
      <c r="Q18" s="58">
        <f t="shared" si="4"/>
        <v>4.013723218280675</v>
      </c>
    </row>
    <row r="19" spans="1:17" ht="15.75" x14ac:dyDescent="0.25">
      <c r="A19" s="43" t="s">
        <v>72</v>
      </c>
      <c r="B19" s="59">
        <f t="shared" ref="B19:Q19" si="5">(gamma*B16+1)^(1/gamma)</f>
        <v>28.148742067808303</v>
      </c>
      <c r="C19" s="59">
        <f t="shared" si="5"/>
        <v>33.213533687001764</v>
      </c>
      <c r="D19" s="59">
        <f t="shared" si="5"/>
        <v>38.497912351221551</v>
      </c>
      <c r="E19" s="59">
        <f t="shared" si="5"/>
        <v>43.957618568380859</v>
      </c>
      <c r="F19" s="59">
        <f t="shared" si="5"/>
        <v>49.551717268521905</v>
      </c>
      <c r="G19" s="59">
        <f t="shared" si="5"/>
        <v>55.242703211843903</v>
      </c>
      <c r="H19" s="59">
        <f t="shared" si="5"/>
        <v>60.996500279849087</v>
      </c>
      <c r="I19" s="59">
        <f t="shared" si="5"/>
        <v>66.782386197002367</v>
      </c>
      <c r="J19" s="59">
        <f t="shared" si="5"/>
        <v>72.572865941847738</v>
      </c>
      <c r="K19" s="59">
        <f t="shared" si="5"/>
        <v>78.343511093217884</v>
      </c>
      <c r="L19" s="59">
        <f t="shared" si="5"/>
        <v>84.072777926758178</v>
      </c>
      <c r="M19" s="59">
        <f t="shared" si="5"/>
        <v>89.741813773428134</v>
      </c>
      <c r="N19" s="59">
        <f t="shared" si="5"/>
        <v>95.334258665794792</v>
      </c>
      <c r="O19" s="59">
        <f t="shared" si="5"/>
        <v>100.83604741491968</v>
      </c>
      <c r="P19" s="59">
        <f t="shared" si="5"/>
        <v>106.2352158279209</v>
      </c>
      <c r="Q19" s="59">
        <f t="shared" si="5"/>
        <v>111.52171368355957</v>
      </c>
    </row>
    <row r="20" spans="1:17" ht="15.75" x14ac:dyDescent="0.25">
      <c r="A20" s="43" t="s">
        <v>73</v>
      </c>
      <c r="B20" s="59">
        <f t="shared" ref="B20:Q20" si="6">SQRT($B$10*(1-rho^(2*B14))/(1-rho^2))</f>
        <v>0</v>
      </c>
      <c r="C20" s="59">
        <f t="shared" si="6"/>
        <v>1.4142135623730951</v>
      </c>
      <c r="D20" s="59">
        <f t="shared" si="6"/>
        <v>1.9506409203131156</v>
      </c>
      <c r="E20" s="59">
        <f t="shared" si="6"/>
        <v>2.331096844835066</v>
      </c>
      <c r="F20" s="59">
        <f t="shared" si="6"/>
        <v>2.6275837343936344</v>
      </c>
      <c r="G20" s="59">
        <f t="shared" si="6"/>
        <v>2.8689784146675144</v>
      </c>
      <c r="H20" s="59">
        <f t="shared" si="6"/>
        <v>3.0705880580606837</v>
      </c>
      <c r="I20" s="59">
        <f t="shared" si="6"/>
        <v>3.2417944409894588</v>
      </c>
      <c r="J20" s="59">
        <f t="shared" si="6"/>
        <v>3.3888908444889774</v>
      </c>
      <c r="K20" s="59">
        <f t="shared" si="6"/>
        <v>3.5163666607970145</v>
      </c>
      <c r="L20" s="59">
        <f t="shared" si="6"/>
        <v>3.6275698656374882</v>
      </c>
      <c r="M20" s="59">
        <f t="shared" si="6"/>
        <v>3.7250818749254715</v>
      </c>
      <c r="N20" s="59">
        <f t="shared" si="6"/>
        <v>3.8109450356631602</v>
      </c>
      <c r="O20" s="59">
        <f t="shared" si="6"/>
        <v>3.8868084739955004</v>
      </c>
      <c r="P20" s="59">
        <f t="shared" si="6"/>
        <v>3.9540258348238844</v>
      </c>
      <c r="Q20" s="59">
        <f t="shared" si="6"/>
        <v>4.013723218280675</v>
      </c>
    </row>
    <row r="21" spans="1:17" ht="15.75" x14ac:dyDescent="0.25">
      <c r="B21" s="54"/>
      <c r="C21" s="54"/>
      <c r="D21" s="54"/>
      <c r="E21" s="54"/>
      <c r="F21" s="54"/>
      <c r="G21" s="54"/>
    </row>
    <row r="22" spans="1:17" ht="15.75" x14ac:dyDescent="0.25">
      <c r="B22" s="47" t="s">
        <v>67</v>
      </c>
      <c r="C22" s="42">
        <v>0</v>
      </c>
      <c r="D22" s="42">
        <v>1</v>
      </c>
      <c r="E22" s="42">
        <v>2</v>
      </c>
      <c r="F22" s="42">
        <v>3</v>
      </c>
      <c r="G22" s="42">
        <v>4</v>
      </c>
      <c r="H22" s="42">
        <v>5</v>
      </c>
    </row>
    <row r="23" spans="1:17" ht="15.75" x14ac:dyDescent="0.25">
      <c r="A23" s="43" t="s">
        <v>74</v>
      </c>
      <c r="B23" s="43" t="s">
        <v>75</v>
      </c>
      <c r="C23" s="43" t="s">
        <v>76</v>
      </c>
      <c r="D23" s="43" t="s">
        <v>76</v>
      </c>
      <c r="E23" s="43" t="s">
        <v>76</v>
      </c>
      <c r="F23" s="43" t="s">
        <v>76</v>
      </c>
      <c r="G23" s="43" t="s">
        <v>76</v>
      </c>
      <c r="H23" s="43" t="s">
        <v>76</v>
      </c>
    </row>
    <row r="24" spans="1:17" ht="15.75" x14ac:dyDescent="0.25">
      <c r="A24" s="43">
        <f t="shared" ref="A24:A55" si="7">(B24^gamma-1)/gamma</f>
        <v>4.8854423476569426</v>
      </c>
      <c r="B24" s="43">
        <v>15</v>
      </c>
      <c r="C24" s="42">
        <v>0</v>
      </c>
      <c r="D24" s="42">
        <f t="shared" ref="D24:H39" si="8">NORMDIST($A24,C$16,C$18,FALSE)</f>
        <v>4.1743694177103281E-2</v>
      </c>
      <c r="E24" s="42">
        <f t="shared" si="8"/>
        <v>4.5494669004465763E-2</v>
      </c>
      <c r="F24" s="42">
        <f t="shared" si="8"/>
        <v>4.0174473983548398E-2</v>
      </c>
      <c r="G24" s="42">
        <f t="shared" si="8"/>
        <v>3.4441867709015271E-2</v>
      </c>
      <c r="H24" s="42">
        <f t="shared" si="8"/>
        <v>2.9440629346307E-2</v>
      </c>
    </row>
    <row r="25" spans="1:17" ht="15.75" x14ac:dyDescent="0.25">
      <c r="A25" s="43">
        <f t="shared" si="7"/>
        <v>5.0785828325519899</v>
      </c>
      <c r="B25" s="43">
        <v>16</v>
      </c>
      <c r="C25" s="42">
        <v>0</v>
      </c>
      <c r="D25" s="42">
        <f t="shared" si="8"/>
        <v>5.4011478740108886E-2</v>
      </c>
      <c r="E25" s="42">
        <f t="shared" si="8"/>
        <v>5.3751165996665268E-2</v>
      </c>
      <c r="F25" s="42">
        <f t="shared" si="8"/>
        <v>4.6102070720477742E-2</v>
      </c>
      <c r="G25" s="42">
        <f t="shared" si="8"/>
        <v>3.8985224660677199E-2</v>
      </c>
      <c r="H25" s="42">
        <f t="shared" si="8"/>
        <v>3.3073562803317587E-2</v>
      </c>
    </row>
    <row r="26" spans="1:17" x14ac:dyDescent="0.3">
      <c r="A26" s="43">
        <f t="shared" si="7"/>
        <v>5.2646087539943309</v>
      </c>
      <c r="B26" s="43">
        <v>17</v>
      </c>
      <c r="C26" s="42">
        <v>0</v>
      </c>
      <c r="D26" s="42">
        <f t="shared" si="8"/>
        <v>6.8014458417890084E-2</v>
      </c>
      <c r="E26" s="42">
        <f t="shared" si="8"/>
        <v>6.2534830301720565E-2</v>
      </c>
      <c r="F26" s="42">
        <f t="shared" si="8"/>
        <v>5.2296224238147899E-2</v>
      </c>
      <c r="G26" s="42">
        <f t="shared" si="8"/>
        <v>4.3703144361613218E-2</v>
      </c>
      <c r="H26" s="42">
        <f t="shared" si="8"/>
        <v>3.6837706325134854E-2</v>
      </c>
    </row>
    <row r="27" spans="1:17" x14ac:dyDescent="0.3">
      <c r="A27" s="43">
        <f t="shared" si="7"/>
        <v>5.4441788078660913</v>
      </c>
      <c r="B27" s="43">
        <v>18</v>
      </c>
      <c r="C27" s="42">
        <v>0</v>
      </c>
      <c r="D27" s="42">
        <f t="shared" si="8"/>
        <v>8.3582266349311443E-2</v>
      </c>
      <c r="E27" s="42">
        <f t="shared" si="8"/>
        <v>7.1751046187280343E-2</v>
      </c>
      <c r="F27" s="42">
        <f t="shared" si="8"/>
        <v>5.8707929083238013E-2</v>
      </c>
      <c r="G27" s="42">
        <f t="shared" si="8"/>
        <v>4.8566719756473684E-2</v>
      </c>
      <c r="H27" s="42">
        <f t="shared" si="8"/>
        <v>4.071436603132271E-2</v>
      </c>
    </row>
    <row r="28" spans="1:17" x14ac:dyDescent="0.3">
      <c r="A28" s="43">
        <f t="shared" si="7"/>
        <v>5.6178579778391713</v>
      </c>
      <c r="B28" s="43">
        <v>19</v>
      </c>
      <c r="C28" s="42">
        <v>0</v>
      </c>
      <c r="D28" s="42">
        <f t="shared" si="8"/>
        <v>0.10046836038972697</v>
      </c>
      <c r="E28" s="42">
        <f t="shared" si="8"/>
        <v>8.1296998652164915E-2</v>
      </c>
      <c r="F28" s="42">
        <f t="shared" si="8"/>
        <v>6.5286563868071398E-2</v>
      </c>
      <c r="G28" s="42">
        <f t="shared" si="8"/>
        <v>5.3546599850817493E-2</v>
      </c>
      <c r="H28" s="42">
        <f t="shared" si="8"/>
        <v>4.4684679440371404E-2</v>
      </c>
    </row>
    <row r="29" spans="1:17" x14ac:dyDescent="0.3">
      <c r="A29" s="43">
        <f t="shared" si="7"/>
        <v>5.786135043349967</v>
      </c>
      <c r="B29" s="43">
        <v>20</v>
      </c>
      <c r="C29" s="42">
        <v>0</v>
      </c>
      <c r="D29" s="42">
        <f t="shared" si="8"/>
        <v>0.11836167880747711</v>
      </c>
      <c r="E29" s="42">
        <f t="shared" si="8"/>
        <v>9.1064598188252036E-2</v>
      </c>
      <c r="F29" s="42">
        <f t="shared" si="8"/>
        <v>7.1980797235062371E-2</v>
      </c>
      <c r="G29" s="42">
        <f t="shared" si="8"/>
        <v>5.8613358634633538E-2</v>
      </c>
      <c r="H29" s="42">
        <f t="shared" si="8"/>
        <v>4.8729796181349989E-2</v>
      </c>
    </row>
    <row r="30" spans="1:17" x14ac:dyDescent="0.3">
      <c r="A30" s="43">
        <f t="shared" si="7"/>
        <v>5.9494361130885718</v>
      </c>
      <c r="B30" s="43">
        <v>21</v>
      </c>
      <c r="C30" s="42">
        <v>0</v>
      </c>
      <c r="D30" s="42">
        <f t="shared" si="8"/>
        <v>0.1369017851652235</v>
      </c>
      <c r="E30" s="42">
        <f t="shared" si="8"/>
        <v>0.10094328832161015</v>
      </c>
      <c r="F30" s="42">
        <f t="shared" si="8"/>
        <v>7.8739412233941222E-2</v>
      </c>
      <c r="G30" s="42">
        <f t="shared" si="8"/>
        <v>6.3737825618259747E-2</v>
      </c>
      <c r="H30" s="42">
        <f t="shared" si="8"/>
        <v>5.2831039607088556E-2</v>
      </c>
    </row>
    <row r="31" spans="1:17" x14ac:dyDescent="0.3">
      <c r="A31" s="43">
        <f t="shared" si="7"/>
        <v>6.1081352310038639</v>
      </c>
      <c r="B31" s="43">
        <v>22</v>
      </c>
      <c r="C31" s="42">
        <v>0</v>
      </c>
      <c r="D31" s="42">
        <f t="shared" si="8"/>
        <v>0.15569615973639034</v>
      </c>
      <c r="E31" s="42">
        <f t="shared" si="8"/>
        <v>0.11082265924683989</v>
      </c>
      <c r="F31" s="42">
        <f t="shared" si="8"/>
        <v>8.5512043278174119E-2</v>
      </c>
      <c r="G31" s="42">
        <f t="shared" si="8"/>
        <v>6.8891378361643399E-2</v>
      </c>
      <c r="H31" s="42">
        <f t="shared" si="8"/>
        <v>5.6970050024395945E-2</v>
      </c>
    </row>
    <row r="32" spans="1:17" x14ac:dyDescent="0.3">
      <c r="A32" s="43">
        <f t="shared" si="7"/>
        <v>6.2625627912932229</v>
      </c>
      <c r="B32" s="43">
        <v>23</v>
      </c>
      <c r="C32" s="42">
        <v>0</v>
      </c>
      <c r="D32" s="42">
        <f t="shared" si="8"/>
        <v>0.17433829808170961</v>
      </c>
      <c r="E32" s="42">
        <f t="shared" si="8"/>
        <v>0.1205948104145973</v>
      </c>
      <c r="F32" s="42">
        <f t="shared" si="8"/>
        <v>9.2249822794826325E-2</v>
      </c>
      <c r="G32" s="42">
        <f t="shared" si="8"/>
        <v>7.4046197913389261E-2</v>
      </c>
      <c r="H32" s="42">
        <f t="shared" si="8"/>
        <v>6.1128910361279834E-2</v>
      </c>
    </row>
    <row r="33" spans="1:8" x14ac:dyDescent="0.3">
      <c r="A33" s="43">
        <f t="shared" si="7"/>
        <v>6.4130122898300179</v>
      </c>
      <c r="B33" s="43">
        <v>24</v>
      </c>
      <c r="C33" s="42">
        <v>0</v>
      </c>
      <c r="D33" s="42">
        <f t="shared" si="8"/>
        <v>0.19242539241255197</v>
      </c>
      <c r="E33" s="42">
        <f t="shared" si="8"/>
        <v>0.13015642293243559</v>
      </c>
      <c r="F33" s="42">
        <f t="shared" si="8"/>
        <v>9.8905937134570188E-2</v>
      </c>
      <c r="G33" s="42">
        <f t="shared" si="8"/>
        <v>7.9175488500080826E-2</v>
      </c>
      <c r="H33" s="42">
        <f t="shared" si="8"/>
        <v>6.5290255168662339E-2</v>
      </c>
    </row>
    <row r="34" spans="1:8" x14ac:dyDescent="0.3">
      <c r="A34" s="43">
        <f t="shared" si="7"/>
        <v>6.5597457959711942</v>
      </c>
      <c r="B34" s="43">
        <v>25</v>
      </c>
      <c r="C34" s="42">
        <v>0</v>
      </c>
      <c r="D34" s="42">
        <f t="shared" si="8"/>
        <v>0.20957456568202973</v>
      </c>
      <c r="E34" s="42">
        <f t="shared" si="8"/>
        <v>0.13941051868142779</v>
      </c>
      <c r="F34" s="42">
        <f t="shared" si="8"/>
        <v>0.105436093308985</v>
      </c>
      <c r="G34" s="42">
        <f t="shared" si="8"/>
        <v>8.4253663133563403E-2</v>
      </c>
      <c r="H34" s="42">
        <f t="shared" si="8"/>
        <v>6.9437363908504829E-2</v>
      </c>
    </row>
    <row r="35" spans="1:8" x14ac:dyDescent="0.3">
      <c r="A35" s="43">
        <f t="shared" si="7"/>
        <v>6.7029984283672706</v>
      </c>
      <c r="B35" s="43">
        <v>26</v>
      </c>
      <c r="C35" s="42">
        <v>0</v>
      </c>
      <c r="D35" s="42">
        <f t="shared" si="8"/>
        <v>0.22543686937667734</v>
      </c>
      <c r="E35" s="42">
        <f t="shared" si="8"/>
        <v>0.14826789691093642</v>
      </c>
      <c r="F35" s="42">
        <f t="shared" si="8"/>
        <v>0.11179889971596331</v>
      </c>
      <c r="G35" s="42">
        <f t="shared" si="8"/>
        <v>8.9256497047514205E-2</v>
      </c>
      <c r="H35" s="42">
        <f t="shared" si="8"/>
        <v>7.3554239514964592E-2</v>
      </c>
    </row>
    <row r="36" spans="1:8" x14ac:dyDescent="0.3">
      <c r="A36" s="43">
        <f t="shared" si="7"/>
        <v>6.8429820471163803</v>
      </c>
      <c r="B36" s="43">
        <v>27</v>
      </c>
      <c r="C36" s="42">
        <v>0</v>
      </c>
      <c r="D36" s="42">
        <f t="shared" si="8"/>
        <v>0.23970851429234516</v>
      </c>
      <c r="E36" s="42">
        <f t="shared" si="8"/>
        <v>0.15664825067451638</v>
      </c>
      <c r="F36" s="42">
        <f t="shared" si="8"/>
        <v>0.11795616524629533</v>
      </c>
      <c r="G36" s="42">
        <f t="shared" si="8"/>
        <v>9.4161251046625288E-2</v>
      </c>
      <c r="H36" s="42">
        <f t="shared" si="8"/>
        <v>7.7625673233182133E-2</v>
      </c>
    </row>
    <row r="37" spans="1:8" x14ac:dyDescent="0.3">
      <c r="A37" s="43">
        <f t="shared" si="7"/>
        <v>6.9798883231986579</v>
      </c>
      <c r="B37" s="43">
        <v>28</v>
      </c>
      <c r="C37" s="42">
        <v>1</v>
      </c>
      <c r="D37" s="42">
        <f t="shared" si="8"/>
        <v>0.25213905494272382</v>
      </c>
      <c r="E37" s="42">
        <f t="shared" si="8"/>
        <v>0.16448097484694191</v>
      </c>
      <c r="F37" s="42">
        <f t="shared" si="8"/>
        <v>0.12387312207970125</v>
      </c>
      <c r="G37" s="42">
        <f t="shared" si="8"/>
        <v>9.8946766962830154E-2</v>
      </c>
      <c r="H37" s="42">
        <f t="shared" si="8"/>
        <v>8.1637296744205265E-2</v>
      </c>
    </row>
    <row r="38" spans="1:8" x14ac:dyDescent="0.3">
      <c r="A38" s="43">
        <f t="shared" si="7"/>
        <v>7.113891308546938</v>
      </c>
      <c r="B38" s="43">
        <v>29</v>
      </c>
      <c r="C38" s="42">
        <v>0</v>
      </c>
      <c r="D38" s="42">
        <f t="shared" si="8"/>
        <v>0.26253647459962409</v>
      </c>
      <c r="E38" s="42">
        <f t="shared" si="8"/>
        <v>0.17170568473312264</v>
      </c>
      <c r="F38" s="42">
        <f t="shared" si="8"/>
        <v>0.12951857811906145</v>
      </c>
      <c r="G38" s="42">
        <f t="shared" si="8"/>
        <v>0.10359353747277149</v>
      </c>
      <c r="H38" s="42">
        <f t="shared" si="8"/>
        <v>8.5575622576720314E-2</v>
      </c>
    </row>
    <row r="39" spans="1:8" x14ac:dyDescent="0.3">
      <c r="A39" s="43">
        <f t="shared" si="7"/>
        <v>7.2451496022904722</v>
      </c>
      <c r="B39" s="43">
        <v>30</v>
      </c>
      <c r="C39" s="42">
        <v>0</v>
      </c>
      <c r="D39" s="42">
        <f t="shared" si="8"/>
        <v>0.27076930746069877</v>
      </c>
      <c r="E39" s="42">
        <f t="shared" si="8"/>
        <v>0.17827246961758142</v>
      </c>
      <c r="F39" s="42">
        <f t="shared" si="8"/>
        <v>0.13486500541715205</v>
      </c>
      <c r="G39" s="42">
        <f t="shared" si="8"/>
        <v>0.10808375254764339</v>
      </c>
      <c r="H39" s="42">
        <f t="shared" si="8"/>
        <v>8.9428073788741749E-2</v>
      </c>
    </row>
    <row r="40" spans="1:8" x14ac:dyDescent="0.3">
      <c r="A40" s="43">
        <f t="shared" si="7"/>
        <v>7.3738081878757438</v>
      </c>
      <c r="B40" s="43">
        <v>31</v>
      </c>
      <c r="C40" s="42">
        <v>0</v>
      </c>
      <c r="D40" s="42">
        <f t="shared" ref="D40:H55" si="9">NORMDIST($A40,C$16,C$18,FALSE)</f>
        <v>0.27676608092564647</v>
      </c>
      <c r="E40" s="42">
        <f t="shared" si="9"/>
        <v>0.18414190921619375</v>
      </c>
      <c r="F40" s="42">
        <f t="shared" si="9"/>
        <v>0.1398885711576264</v>
      </c>
      <c r="G40" s="42">
        <f t="shared" si="9"/>
        <v>0.11240132478816799</v>
      </c>
      <c r="H40" s="42">
        <f t="shared" si="9"/>
        <v>9.3183003877019471E-2</v>
      </c>
    </row>
    <row r="41" spans="1:8" x14ac:dyDescent="0.3">
      <c r="A41" s="43">
        <f t="shared" si="7"/>
        <v>7.5000000000000018</v>
      </c>
      <c r="B41" s="43">
        <v>32</v>
      </c>
      <c r="C41" s="42">
        <v>0</v>
      </c>
      <c r="D41" s="42">
        <f t="shared" si="9"/>
        <v>0.28051246304186256</v>
      </c>
      <c r="E41" s="42">
        <f t="shared" si="9"/>
        <v>0.18928488310562103</v>
      </c>
      <c r="F41" s="42">
        <f t="shared" si="9"/>
        <v>0.14456911779488593</v>
      </c>
      <c r="G41" s="42">
        <f t="shared" si="9"/>
        <v>0.1165318958503848</v>
      </c>
      <c r="H41" s="42">
        <f t="shared" si="9"/>
        <v>9.6829707840224474E-2</v>
      </c>
    </row>
    <row r="42" spans="1:8" x14ac:dyDescent="0.3">
      <c r="A42" s="43">
        <f t="shared" si="7"/>
        <v>7.6238472682392278</v>
      </c>
      <c r="B42" s="43">
        <v>33</v>
      </c>
      <c r="C42" s="42">
        <v>0</v>
      </c>
      <c r="D42" s="42">
        <f t="shared" si="9"/>
        <v>0.28204656012983181</v>
      </c>
      <c r="E42" s="42">
        <f t="shared" si="9"/>
        <v>0.19368220405027478</v>
      </c>
      <c r="F42" s="42">
        <f t="shared" si="9"/>
        <v>0.14889009886618559</v>
      </c>
      <c r="G42" s="42">
        <f t="shared" si="9"/>
        <v>0.12046282609794755</v>
      </c>
      <c r="H42" s="42">
        <f t="shared" si="9"/>
        <v>0.10035842528536049</v>
      </c>
    </row>
    <row r="43" spans="1:8" x14ac:dyDescent="0.3">
      <c r="A43" s="43">
        <f t="shared" si="7"/>
        <v>7.7454626749519857</v>
      </c>
      <c r="B43" s="43">
        <v>34</v>
      </c>
      <c r="C43" s="42">
        <v>0</v>
      </c>
      <c r="D43" s="42">
        <f t="shared" si="9"/>
        <v>0.28145283224847373</v>
      </c>
      <c r="E43" s="42">
        <f t="shared" si="9"/>
        <v>0.19732410594606975</v>
      </c>
      <c r="F43" s="42">
        <f t="shared" si="9"/>
        <v>0.15283847679084211</v>
      </c>
      <c r="G43" s="42">
        <f t="shared" si="9"/>
        <v>0.1241831695287533</v>
      </c>
      <c r="H43" s="42">
        <f t="shared" si="9"/>
        <v>0.10376033642649565</v>
      </c>
    </row>
    <row r="44" spans="1:8" x14ac:dyDescent="0.3">
      <c r="A44" s="43">
        <f t="shared" si="7"/>
        <v>7.864950357803151</v>
      </c>
      <c r="B44" s="43">
        <v>35</v>
      </c>
      <c r="C44" s="42">
        <v>0</v>
      </c>
      <c r="D44" s="42">
        <f t="shared" si="9"/>
        <v>0.27885508587497104</v>
      </c>
      <c r="E44" s="42">
        <f t="shared" si="9"/>
        <v>0.20020961606633311</v>
      </c>
      <c r="F44" s="42">
        <f t="shared" si="9"/>
        <v>0.15640458868963628</v>
      </c>
      <c r="G44" s="42">
        <f t="shared" si="9"/>
        <v>0.12768363592234941</v>
      </c>
      <c r="H44" s="42">
        <f t="shared" si="9"/>
        <v>0.10702755178185969</v>
      </c>
    </row>
    <row r="45" spans="1:8" x14ac:dyDescent="0.3">
      <c r="A45" s="43">
        <f t="shared" si="7"/>
        <v>7.9824067815736894</v>
      </c>
      <c r="B45" s="43">
        <v>36</v>
      </c>
      <c r="C45" s="42">
        <v>0</v>
      </c>
      <c r="D45" s="42">
        <f t="shared" si="9"/>
        <v>0.2744089709787163</v>
      </c>
      <c r="E45" s="42">
        <f t="shared" si="9"/>
        <v>0.20234583962216302</v>
      </c>
      <c r="F45" s="42">
        <f t="shared" si="9"/>
        <v>0.15958198591324979</v>
      </c>
      <c r="G45" s="42">
        <f t="shared" si="9"/>
        <v>0.13095654204341034</v>
      </c>
      <c r="H45" s="42">
        <f t="shared" si="9"/>
        <v>0.11015309633048301</v>
      </c>
    </row>
    <row r="46" spans="1:8" x14ac:dyDescent="0.3">
      <c r="A46" s="43">
        <f t="shared" si="7"/>
        <v>8.0979214994345217</v>
      </c>
      <c r="B46" s="43">
        <v>37</v>
      </c>
      <c r="C46" s="42">
        <v>0</v>
      </c>
      <c r="D46" s="42">
        <f t="shared" si="9"/>
        <v>0.26829436056819916</v>
      </c>
      <c r="E46" s="42">
        <f t="shared" si="9"/>
        <v>0.20374718251102458</v>
      </c>
      <c r="F46" s="42">
        <f t="shared" si="9"/>
        <v>0.16236725257984588</v>
      </c>
      <c r="G46" s="42">
        <f t="shared" si="9"/>
        <v>0.13399575361885377</v>
      </c>
      <c r="H46" s="42">
        <f t="shared" si="9"/>
        <v>0.1131308888436226</v>
      </c>
    </row>
    <row r="47" spans="1:8" x14ac:dyDescent="0.3">
      <c r="A47" s="43">
        <f t="shared" si="7"/>
        <v>8.2115778202896372</v>
      </c>
      <c r="B47" s="43">
        <v>38</v>
      </c>
      <c r="C47" s="42">
        <v>0</v>
      </c>
      <c r="D47" s="42">
        <f t="shared" si="9"/>
        <v>0.26070793126579955</v>
      </c>
      <c r="E47" s="42">
        <f t="shared" si="9"/>
        <v>0.20443453567538128</v>
      </c>
      <c r="F47" s="42">
        <f t="shared" si="9"/>
        <v>0.16475980800405005</v>
      </c>
      <c r="G47" s="42">
        <f t="shared" si="9"/>
        <v>0.1367966196845781</v>
      </c>
      <c r="H47" s="42">
        <f t="shared" si="9"/>
        <v>0.11595571705986421</v>
      </c>
    </row>
    <row r="48" spans="1:8" x14ac:dyDescent="0.3">
      <c r="A48" s="43">
        <f t="shared" si="7"/>
        <v>8.3234533959302865</v>
      </c>
      <c r="B48" s="43">
        <v>39</v>
      </c>
      <c r="C48" s="42">
        <v>0</v>
      </c>
      <c r="D48" s="42">
        <f t="shared" si="9"/>
        <v>0.25185619915836327</v>
      </c>
      <c r="E48" s="42">
        <f t="shared" si="9"/>
        <v>0.20443444185761198</v>
      </c>
      <c r="F48" s="42">
        <f t="shared" si="9"/>
        <v>0.1667616974655636</v>
      </c>
      <c r="G48" s="42">
        <f t="shared" si="9"/>
        <v>0.13935590077463142</v>
      </c>
      <c r="H48" s="42">
        <f t="shared" si="9"/>
        <v>0.11862320932655075</v>
      </c>
    </row>
    <row r="49" spans="1:8" x14ac:dyDescent="0.3">
      <c r="A49" s="43">
        <f t="shared" si="7"/>
        <v>8.4336207394327811</v>
      </c>
      <c r="B49" s="43">
        <v>40</v>
      </c>
      <c r="C49" s="42">
        <v>0</v>
      </c>
      <c r="D49" s="42">
        <f t="shared" si="9"/>
        <v>0.24194920070518858</v>
      </c>
      <c r="E49" s="42">
        <f t="shared" si="9"/>
        <v>0.20377826282688069</v>
      </c>
      <c r="F49" s="42">
        <f t="shared" si="9"/>
        <v>0.16837737532621541</v>
      </c>
      <c r="G49" s="42">
        <f t="shared" si="9"/>
        <v>0.1416716923027467</v>
      </c>
      <c r="H49" s="42">
        <f t="shared" si="9"/>
        <v>0.12112980328450682</v>
      </c>
    </row>
    <row r="50" spans="1:8" x14ac:dyDescent="0.3">
      <c r="A50" s="43">
        <f t="shared" si="7"/>
        <v>8.5421476843590423</v>
      </c>
      <c r="B50" s="43">
        <v>41</v>
      </c>
      <c r="C50" s="42">
        <v>0</v>
      </c>
      <c r="D50" s="42">
        <f t="shared" si="9"/>
        <v>0.23119494741560451</v>
      </c>
      <c r="E50" s="42">
        <f t="shared" si="9"/>
        <v>0.20250136245637421</v>
      </c>
      <c r="F50" s="42">
        <f t="shared" si="9"/>
        <v>0.16961348406824575</v>
      </c>
      <c r="G50" s="42">
        <f t="shared" si="9"/>
        <v>0.14374334436515507</v>
      </c>
      <c r="H50" s="42">
        <f t="shared" si="9"/>
        <v>0.12347271212828241</v>
      </c>
    </row>
    <row r="51" spans="1:8" x14ac:dyDescent="0.3">
      <c r="A51" s="43">
        <f t="shared" si="7"/>
        <v>8.6490977927905455</v>
      </c>
      <c r="B51" s="43">
        <v>42</v>
      </c>
      <c r="C51" s="42">
        <v>0</v>
      </c>
      <c r="D51" s="42">
        <f t="shared" si="9"/>
        <v>0.21979472786091417</v>
      </c>
      <c r="E51" s="42">
        <f t="shared" si="9"/>
        <v>0.20064231841524877</v>
      </c>
      <c r="F51" s="42">
        <f t="shared" si="9"/>
        <v>0.17047863240109601</v>
      </c>
      <c r="G51" s="42">
        <f t="shared" si="9"/>
        <v>0.14557137907566528</v>
      </c>
      <c r="H51" s="42">
        <f t="shared" si="9"/>
        <v>0.12564988893062073</v>
      </c>
    </row>
    <row r="52" spans="1:8" x14ac:dyDescent="0.3">
      <c r="A52" s="43">
        <f t="shared" si="7"/>
        <v>8.7545307189726032</v>
      </c>
      <c r="B52" s="43">
        <v>43</v>
      </c>
      <c r="C52" s="42">
        <v>0</v>
      </c>
      <c r="D52" s="42">
        <f t="shared" si="9"/>
        <v>0.20793928295323649</v>
      </c>
      <c r="E52" s="42">
        <f t="shared" si="9"/>
        <v>0.19824217276195399</v>
      </c>
      <c r="F52" s="42">
        <f t="shared" si="9"/>
        <v>0.17098317517450631</v>
      </c>
      <c r="G52" s="42">
        <f t="shared" si="9"/>
        <v>0.14715740643016503</v>
      </c>
      <c r="H52" s="42">
        <f t="shared" si="9"/>
        <v>0.12765998947780371</v>
      </c>
    </row>
    <row r="53" spans="1:8" x14ac:dyDescent="0.3">
      <c r="A53" s="43">
        <f t="shared" si="7"/>
        <v>8.8585025343124499</v>
      </c>
      <c r="B53" s="43">
        <v>44</v>
      </c>
      <c r="C53" s="42">
        <v>0</v>
      </c>
      <c r="D53" s="42">
        <f t="shared" si="9"/>
        <v>0.19580584110288674</v>
      </c>
      <c r="E53" s="42">
        <f t="shared" si="9"/>
        <v>0.19534372942291547</v>
      </c>
      <c r="F53" s="42">
        <f t="shared" si="9"/>
        <v>0.17113899744652422</v>
      </c>
      <c r="G53" s="42">
        <f t="shared" si="9"/>
        <v>0.14850403958872571</v>
      </c>
      <c r="H53" s="42">
        <f t="shared" si="9"/>
        <v>0.12950233402213407</v>
      </c>
    </row>
    <row r="54" spans="1:8" x14ac:dyDescent="0.3">
      <c r="A54" s="43">
        <f t="shared" si="7"/>
        <v>8.9610660186184905</v>
      </c>
      <c r="B54" s="43">
        <v>45</v>
      </c>
      <c r="C54" s="42">
        <v>0</v>
      </c>
      <c r="D54" s="42">
        <f t="shared" si="9"/>
        <v>0.18355596900733887</v>
      </c>
      <c r="E54" s="42">
        <f t="shared" si="9"/>
        <v>0.19199090443884231</v>
      </c>
      <c r="F54" s="42">
        <f t="shared" si="9"/>
        <v>0.17095930468917911</v>
      </c>
      <c r="G54" s="42">
        <f t="shared" si="9"/>
        <v>0.14961481035994459</v>
      </c>
      <c r="H54" s="42">
        <f t="shared" si="9"/>
        <v>0.13117686831920805</v>
      </c>
    </row>
    <row r="55" spans="1:8" x14ac:dyDescent="0.3">
      <c r="A55" s="43">
        <f t="shared" si="7"/>
        <v>9.062270921755621</v>
      </c>
      <c r="B55" s="43">
        <v>46</v>
      </c>
      <c r="C55" s="42">
        <v>0</v>
      </c>
      <c r="D55" s="42">
        <f t="shared" si="9"/>
        <v>0.17133417108707397</v>
      </c>
      <c r="E55" s="42">
        <f t="shared" si="9"/>
        <v>0.18822813297548335</v>
      </c>
      <c r="F55" s="42">
        <f t="shared" si="9"/>
        <v>0.17045842077417597</v>
      </c>
      <c r="G55" s="42">
        <f t="shared" si="9"/>
        <v>0.15049408557444144</v>
      </c>
      <c r="H55" s="42">
        <f t="shared" si="9"/>
        <v>0.13268412428092169</v>
      </c>
    </row>
    <row r="56" spans="1:8" x14ac:dyDescent="0.3">
      <c r="A56" s="43">
        <f t="shared" ref="A56:A87" si="10">(B56^gamma-1)/gamma</f>
        <v>9.1621641992962353</v>
      </c>
      <c r="B56" s="43">
        <v>47</v>
      </c>
      <c r="C56" s="42">
        <v>0</v>
      </c>
      <c r="D56" s="42">
        <f t="shared" ref="D56:H71" si="11">NORMDIST($A56,C$16,C$18,FALSE)</f>
        <v>0.15926715527614177</v>
      </c>
      <c r="E56" s="42">
        <f t="shared" si="11"/>
        <v>0.18409983543297853</v>
      </c>
      <c r="F56" s="42">
        <f t="shared" si="11"/>
        <v>0.16965159506728278</v>
      </c>
      <c r="G56" s="42">
        <f t="shared" si="11"/>
        <v>0.15114698494280307</v>
      </c>
      <c r="H56" s="42">
        <f t="shared" si="11"/>
        <v>0.13402518054040183</v>
      </c>
    </row>
    <row r="57" spans="1:8" x14ac:dyDescent="0.3">
      <c r="A57" s="43">
        <f t="shared" si="10"/>
        <v>9.2607902252467369</v>
      </c>
      <c r="B57" s="43">
        <v>48</v>
      </c>
      <c r="C57" s="42">
        <v>0</v>
      </c>
      <c r="D57" s="42">
        <f t="shared" si="11"/>
        <v>0.14746367408516151</v>
      </c>
      <c r="E57" s="42">
        <f t="shared" si="11"/>
        <v>0.17964994354740069</v>
      </c>
      <c r="F57" s="42">
        <f t="shared" si="11"/>
        <v>0.16855481967370345</v>
      </c>
      <c r="G57" s="42">
        <f t="shared" si="11"/>
        <v>0.15157930090787608</v>
      </c>
      <c r="H57" s="42">
        <f t="shared" si="11"/>
        <v>0.13520162319229373</v>
      </c>
    </row>
    <row r="58" spans="1:8" x14ac:dyDescent="0.3">
      <c r="A58" s="43">
        <f t="shared" si="10"/>
        <v>9.3581909845084166</v>
      </c>
      <c r="B58" s="43">
        <v>49</v>
      </c>
      <c r="C58" s="42">
        <v>0</v>
      </c>
      <c r="D58" s="42">
        <f t="shared" si="11"/>
        <v>0.13601484655296656</v>
      </c>
      <c r="E58" s="42">
        <f t="shared" si="11"/>
        <v>0.17492148615340705</v>
      </c>
      <c r="F58" s="42">
        <f t="shared" si="11"/>
        <v>0.16718465761765985</v>
      </c>
      <c r="G58" s="42">
        <f t="shared" si="11"/>
        <v>0.1517974209221884</v>
      </c>
      <c r="H58" s="42">
        <f t="shared" si="11"/>
        <v>0.13621550694108658</v>
      </c>
    </row>
    <row r="59" spans="1:8" x14ac:dyDescent="0.3">
      <c r="A59" s="43">
        <f t="shared" si="10"/>
        <v>9.4544062473754629</v>
      </c>
      <c r="B59" s="43">
        <v>50</v>
      </c>
      <c r="C59" s="42">
        <v>0</v>
      </c>
      <c r="D59" s="42">
        <f t="shared" si="11"/>
        <v>0.12499486783077078</v>
      </c>
      <c r="E59" s="42">
        <f t="shared" si="11"/>
        <v>0.16995623325762313</v>
      </c>
      <c r="F59" s="42">
        <f t="shared" si="11"/>
        <v>0.16555808250720191</v>
      </c>
      <c r="G59" s="42">
        <f t="shared" si="11"/>
        <v>0.15180825250838811</v>
      </c>
      <c r="H59" s="42">
        <f t="shared" si="11"/>
        <v>0.13706931686140275</v>
      </c>
    </row>
    <row r="60" spans="1:8" x14ac:dyDescent="0.3">
      <c r="A60" s="43">
        <f t="shared" si="10"/>
        <v>9.5494737280705575</v>
      </c>
      <c r="B60" s="43">
        <v>51</v>
      </c>
      <c r="C60" s="42">
        <v>0</v>
      </c>
      <c r="D60" s="42">
        <f t="shared" si="11"/>
        <v>0.11446201767390597</v>
      </c>
      <c r="E60" s="42">
        <f t="shared" si="11"/>
        <v>0.16479439624489722</v>
      </c>
      <c r="F60" s="42">
        <f t="shared" si="11"/>
        <v>0.16369233002911293</v>
      </c>
      <c r="G60" s="42">
        <f t="shared" si="11"/>
        <v>0.15161915139381305</v>
      </c>
      <c r="H60" s="42">
        <f t="shared" si="11"/>
        <v>0.13776593094739462</v>
      </c>
    </row>
    <row r="61" spans="1:8" x14ac:dyDescent="0.3">
      <c r="A61" s="43">
        <f t="shared" si="10"/>
        <v>9.6434292290611268</v>
      </c>
      <c r="B61" s="43">
        <v>52</v>
      </c>
      <c r="C61" s="42">
        <v>0</v>
      </c>
      <c r="D61" s="42">
        <f t="shared" si="11"/>
        <v>0.10445988610424556</v>
      </c>
      <c r="E61" s="42">
        <f t="shared" si="11"/>
        <v>0.15947438138822564</v>
      </c>
      <c r="F61" s="42">
        <f t="shared" si="11"/>
        <v>0.16160476143758318</v>
      </c>
      <c r="G61" s="42">
        <f t="shared" si="11"/>
        <v>0.151237852949478</v>
      </c>
      <c r="H61" s="42">
        <f t="shared" si="11"/>
        <v>0.13830858360353906</v>
      </c>
    </row>
    <row r="62" spans="1:8" x14ac:dyDescent="0.3">
      <c r="A62" s="43">
        <f t="shared" si="10"/>
        <v>9.7363067726791925</v>
      </c>
      <c r="B62" s="43">
        <v>53</v>
      </c>
      <c r="C62" s="42">
        <v>0</v>
      </c>
      <c r="D62" s="42">
        <f t="shared" si="11"/>
        <v>9.5018743112919177E-2</v>
      </c>
      <c r="E62" s="42">
        <f t="shared" si="11"/>
        <v>0.15403259334108604</v>
      </c>
      <c r="F62" s="42">
        <f t="shared" si="11"/>
        <v>0.15931273904278989</v>
      </c>
      <c r="G62" s="42">
        <f t="shared" si="11"/>
        <v>0.15067240710867894</v>
      </c>
      <c r="H62" s="42">
        <f t="shared" si="11"/>
        <v>0.13870083020614482</v>
      </c>
    </row>
    <row r="63" spans="1:8" x14ac:dyDescent="0.3">
      <c r="A63" s="43">
        <f t="shared" si="10"/>
        <v>9.8281387213791938</v>
      </c>
      <c r="B63" s="43">
        <v>54</v>
      </c>
      <c r="C63" s="42">
        <v>0</v>
      </c>
      <c r="D63" s="42">
        <f t="shared" si="11"/>
        <v>8.6156988782721919E-2</v>
      </c>
      <c r="E63" s="42">
        <f t="shared" si="11"/>
        <v>0.14850328494068293</v>
      </c>
      <c r="F63" s="42">
        <f t="shared" si="11"/>
        <v>0.15683351357018308</v>
      </c>
      <c r="G63" s="42">
        <f t="shared" si="11"/>
        <v>0.14993111689082048</v>
      </c>
      <c r="H63" s="42">
        <f t="shared" si="11"/>
        <v>0.13894651284372969</v>
      </c>
    </row>
    <row r="64" spans="1:8" x14ac:dyDescent="0.3">
      <c r="A64" s="43">
        <f t="shared" si="10"/>
        <v>9.9189558878058417</v>
      </c>
      <c r="B64" s="43">
        <v>55</v>
      </c>
      <c r="C64" s="42">
        <v>0</v>
      </c>
      <c r="D64" s="42">
        <f t="shared" si="11"/>
        <v>7.7882630035753547E-2</v>
      </c>
      <c r="E64" s="42">
        <f t="shared" si="11"/>
        <v>0.14291844942479029</v>
      </c>
      <c r="F64" s="42">
        <f t="shared" si="11"/>
        <v>0.15418412314659843</v>
      </c>
      <c r="G64" s="42">
        <f t="shared" si="11"/>
        <v>0.14902248061170728</v>
      </c>
      <c r="H64" s="42">
        <f t="shared" si="11"/>
        <v>0.13904972732501328</v>
      </c>
    </row>
    <row r="65" spans="1:8" x14ac:dyDescent="0.3">
      <c r="A65" s="43">
        <f t="shared" si="10"/>
        <v>10.008787635704222</v>
      </c>
      <c r="B65" s="43">
        <v>56</v>
      </c>
      <c r="C65" s="42">
        <v>0</v>
      </c>
      <c r="D65" s="42">
        <f t="shared" si="11"/>
        <v>7.019473989191255E-2</v>
      </c>
      <c r="E65" s="42">
        <f t="shared" si="11"/>
        <v>0.13730775104648144</v>
      </c>
      <c r="F65" s="42">
        <f t="shared" si="11"/>
        <v>0.15138130357368246</v>
      </c>
      <c r="G65" s="42">
        <f t="shared" si="11"/>
        <v>0.14795513782211267</v>
      </c>
      <c r="H65" s="42">
        <f t="shared" si="11"/>
        <v>0.13901479152553292</v>
      </c>
    </row>
    <row r="66" spans="1:8" x14ac:dyDescent="0.3">
      <c r="A66" s="43">
        <f t="shared" si="10"/>
        <v>10.097661972583209</v>
      </c>
      <c r="B66" s="43">
        <v>57</v>
      </c>
      <c r="C66" s="42">
        <v>0</v>
      </c>
      <c r="D66" s="42">
        <f t="shared" si="11"/>
        <v>6.3084864311269528E-2</v>
      </c>
      <c r="E66" s="42">
        <f t="shared" si="11"/>
        <v>0.13169849004387055</v>
      </c>
      <c r="F66" s="42">
        <f t="shared" si="11"/>
        <v>0.14844140947091533</v>
      </c>
      <c r="G66" s="42">
        <f t="shared" si="11"/>
        <v>0.14673781898165655</v>
      </c>
      <c r="H66" s="42">
        <f t="shared" si="11"/>
        <v>0.13884621512774897</v>
      </c>
    </row>
    <row r="67" spans="1:8" x14ac:dyDescent="0.3">
      <c r="A67" s="43">
        <f t="shared" si="10"/>
        <v>10.185605634938456</v>
      </c>
      <c r="B67" s="43">
        <v>58</v>
      </c>
      <c r="C67" s="42">
        <v>0</v>
      </c>
      <c r="D67" s="42">
        <f t="shared" si="11"/>
        <v>5.6538350144418173E-2</v>
      </c>
      <c r="E67" s="42">
        <f t="shared" si="11"/>
        <v>0.12611559797082966</v>
      </c>
      <c r="F67" s="42">
        <f t="shared" si="11"/>
        <v>0.14538034580812645</v>
      </c>
      <c r="G67" s="42">
        <f t="shared" si="11"/>
        <v>0.14537929884458153</v>
      </c>
      <c r="H67" s="42">
        <f t="shared" si="11"/>
        <v>0.13854867079487573</v>
      </c>
    </row>
    <row r="68" spans="1:8" x14ac:dyDescent="0.3">
      <c r="A68" s="43">
        <f t="shared" si="10"/>
        <v>10.272644166749672</v>
      </c>
      <c r="B68" s="43">
        <v>59</v>
      </c>
      <c r="C68" s="42">
        <v>0</v>
      </c>
      <c r="D68" s="42">
        <f t="shared" si="11"/>
        <v>5.0535575274730654E-2</v>
      </c>
      <c r="E68" s="42">
        <f t="shared" si="11"/>
        <v>0.12058165950550001</v>
      </c>
      <c r="F68" s="42">
        <f t="shared" si="11"/>
        <v>0.14221350929926788</v>
      </c>
      <c r="G68" s="42">
        <f t="shared" si="11"/>
        <v>0.14388835350761686</v>
      </c>
      <c r="H68" s="42">
        <f t="shared" si="11"/>
        <v>0.13812696680547923</v>
      </c>
    </row>
    <row r="69" spans="1:8" x14ac:dyDescent="0.3">
      <c r="A69" s="43">
        <f t="shared" si="10"/>
        <v>10.358801991887605</v>
      </c>
      <c r="B69" s="43">
        <v>60</v>
      </c>
      <c r="C69" s="42">
        <v>0</v>
      </c>
      <c r="D69" s="42">
        <f t="shared" si="11"/>
        <v>4.5053068623518967E-2</v>
      </c>
      <c r="E69" s="42">
        <f t="shared" si="11"/>
        <v>0.11511695701347416</v>
      </c>
      <c r="F69" s="42">
        <f t="shared" si="11"/>
        <v>0.13895573909378645</v>
      </c>
      <c r="G69" s="42">
        <f t="shared" si="11"/>
        <v>0.14227372104744831</v>
      </c>
      <c r="H69" s="42">
        <f t="shared" si="11"/>
        <v>0.13758602116403598</v>
      </c>
    </row>
    <row r="70" spans="1:8" x14ac:dyDescent="0.3">
      <c r="A70" s="43">
        <f t="shared" si="10"/>
        <v>10.444102480996419</v>
      </c>
      <c r="B70" s="43">
        <v>61</v>
      </c>
      <c r="C70" s="42">
        <v>0</v>
      </c>
      <c r="D70" s="42">
        <f t="shared" si="11"/>
        <v>4.006451328091111E-2</v>
      </c>
      <c r="E70" s="42">
        <f t="shared" si="11"/>
        <v>0.1097395343403906</v>
      </c>
      <c r="F70" s="42">
        <f t="shared" si="11"/>
        <v>0.13562127617780004</v>
      </c>
      <c r="G70" s="42">
        <f t="shared" si="11"/>
        <v>0.14054406565609182</v>
      </c>
      <c r="H70" s="42">
        <f t="shared" si="11"/>
        <v>0.13693083719206683</v>
      </c>
    </row>
    <row r="71" spans="1:8" x14ac:dyDescent="0.3">
      <c r="A71" s="43">
        <f t="shared" si="10"/>
        <v>10.528568013356221</v>
      </c>
      <c r="B71" s="43">
        <v>62</v>
      </c>
      <c r="C71" s="42">
        <v>0</v>
      </c>
      <c r="D71" s="42">
        <f t="shared" si="11"/>
        <v>3.554163064429456E-2</v>
      </c>
      <c r="E71" s="42">
        <f t="shared" si="11"/>
        <v>0.10446527653419262</v>
      </c>
      <c r="F71" s="42">
        <f t="shared" si="11"/>
        <v>0.13222373088303876</v>
      </c>
      <c r="G71" s="42">
        <f t="shared" si="11"/>
        <v>0.13870794516639759</v>
      </c>
      <c r="H71" s="42">
        <f t="shared" si="11"/>
        <v>0.13616648059506531</v>
      </c>
    </row>
    <row r="72" spans="1:8" x14ac:dyDescent="0.3">
      <c r="A72" s="43">
        <f t="shared" si="10"/>
        <v>10.612220034177101</v>
      </c>
      <c r="B72" s="43">
        <v>63</v>
      </c>
      <c r="C72" s="42">
        <v>0</v>
      </c>
      <c r="D72" s="42">
        <f t="shared" ref="D72:H87" si="12">NORMDIST($A72,C$16,C$18,FALSE)</f>
        <v>3.1454947147952148E-2</v>
      </c>
      <c r="E72" s="42">
        <f t="shared" si="12"/>
        <v>9.9308002441609811E-2</v>
      </c>
      <c r="F72" s="42">
        <f t="shared" si="12"/>
        <v>0.12877605789587354</v>
      </c>
      <c r="G72" s="42">
        <f t="shared" si="12"/>
        <v>0.13677378184671865</v>
      </c>
      <c r="H72" s="42">
        <f t="shared" si="12"/>
        <v>0.13529805799215311</v>
      </c>
    </row>
    <row r="73" spans="1:8" x14ac:dyDescent="0.3">
      <c r="A73" s="43">
        <f t="shared" si="10"/>
        <v>10.695079107728942</v>
      </c>
      <c r="B73" s="43">
        <v>64</v>
      </c>
      <c r="C73" s="42">
        <v>0</v>
      </c>
      <c r="D73" s="42">
        <f t="shared" si="12"/>
        <v>2.7774448029853755E-2</v>
      </c>
      <c r="E73" s="42">
        <f t="shared" si="12"/>
        <v>9.4279567378927273E-2</v>
      </c>
      <c r="F73" s="42">
        <f t="shared" si="12"/>
        <v>0.12529053816052721</v>
      </c>
      <c r="G73" s="42">
        <f t="shared" si="12"/>
        <v>0.13474983633319632</v>
      </c>
      <c r="H73" s="42">
        <f t="shared" si="12"/>
        <v>0.13433069688813187</v>
      </c>
    </row>
    <row r="74" spans="1:8" x14ac:dyDescent="0.3">
      <c r="A74" s="43">
        <f t="shared" si="10"/>
        <v>10.777164966669694</v>
      </c>
      <c r="B74" s="43">
        <v>65</v>
      </c>
      <c r="C74" s="42">
        <v>0</v>
      </c>
      <c r="D74" s="42">
        <f t="shared" si="12"/>
        <v>2.4470124695800091E-2</v>
      </c>
      <c r="E74" s="42">
        <f t="shared" si="12"/>
        <v>8.9389973337347689E-2</v>
      </c>
      <c r="F74" s="42">
        <f t="shared" si="12"/>
        <v>0.12177876707864008</v>
      </c>
      <c r="G74" s="42">
        <f t="shared" si="12"/>
        <v>0.13264418455989599</v>
      </c>
      <c r="H74" s="42">
        <f t="shared" si="12"/>
        <v>0.13326952706129594</v>
      </c>
    </row>
    <row r="75" spans="1:8" x14ac:dyDescent="0.3">
      <c r="A75" s="43">
        <f t="shared" si="10"/>
        <v>10.858496557898214</v>
      </c>
      <c r="B75" s="43">
        <v>66</v>
      </c>
      <c r="C75" s="42">
        <v>0</v>
      </c>
      <c r="D75" s="42">
        <f t="shared" si="12"/>
        <v>2.151242370494964E-2</v>
      </c>
      <c r="E75" s="42">
        <f t="shared" si="12"/>
        <v>8.4647484442831766E-2</v>
      </c>
      <c r="F75" s="42">
        <f t="shared" si="12"/>
        <v>0.11825164842071569</v>
      </c>
      <c r="G75" s="42">
        <f t="shared" si="12"/>
        <v>0.13046469754091997</v>
      </c>
      <c r="H75" s="42">
        <f t="shared" si="12"/>
        <v>0.13211966333493982</v>
      </c>
    </row>
    <row r="76" spans="1:8" x14ac:dyDescent="0.3">
      <c r="A76" s="43">
        <f t="shared" si="10"/>
        <v>10.939092085225278</v>
      </c>
      <c r="B76" s="43">
        <v>67</v>
      </c>
      <c r="C76" s="42">
        <v>0</v>
      </c>
      <c r="D76" s="42">
        <f t="shared" si="12"/>
        <v>1.8872606312733506E-2</v>
      </c>
      <c r="E76" s="42">
        <f t="shared" si="12"/>
        <v>8.0058745644837101E-2</v>
      </c>
      <c r="F76" s="42">
        <f t="shared" si="12"/>
        <v>0.11471939338269262</v>
      </c>
      <c r="G76" s="42">
        <f t="shared" si="12"/>
        <v>0.12821902385441469</v>
      </c>
      <c r="H76" s="42">
        <f t="shared" si="12"/>
        <v>0.13088618969587856</v>
      </c>
    </row>
    <row r="77" spans="1:8" x14ac:dyDescent="0.3">
      <c r="A77" s="43">
        <f t="shared" si="10"/>
        <v>11.018969049127563</v>
      </c>
      <c r="B77" s="43">
        <v>68</v>
      </c>
      <c r="C77" s="42">
        <v>0</v>
      </c>
      <c r="D77" s="42">
        <f t="shared" si="12"/>
        <v>1.6523027962454518E-2</v>
      </c>
      <c r="E77" s="42">
        <f t="shared" si="12"/>
        <v>7.5628902854342137E-2</v>
      </c>
      <c r="F77" s="42">
        <f t="shared" si="12"/>
        <v>0.11119152424213112</v>
      </c>
      <c r="G77" s="42">
        <f t="shared" si="12"/>
        <v>0.1259145746758604</v>
      </c>
      <c r="H77" s="42">
        <f t="shared" si="12"/>
        <v>0.12957414471942294</v>
      </c>
    </row>
    <row r="78" spans="1:8" x14ac:dyDescent="0.3">
      <c r="A78" s="43">
        <f t="shared" si="10"/>
        <v>11.098144283823808</v>
      </c>
      <c r="B78" s="43">
        <v>69</v>
      </c>
      <c r="C78" s="42">
        <v>0</v>
      </c>
      <c r="D78" s="42">
        <f t="shared" si="12"/>
        <v>1.4437347204397141E-2</v>
      </c>
      <c r="E78" s="42">
        <f t="shared" si="12"/>
        <v>7.1361722986204301E-2</v>
      </c>
      <c r="F78" s="42">
        <f t="shared" si="12"/>
        <v>0.10767688209251858</v>
      </c>
      <c r="G78" s="42">
        <f t="shared" si="12"/>
        <v>0.12355851120698338</v>
      </c>
      <c r="H78" s="42">
        <f t="shared" si="12"/>
        <v>0.12818850825705835</v>
      </c>
    </row>
    <row r="79" spans="1:8" x14ac:dyDescent="0.3">
      <c r="A79" s="43">
        <f t="shared" si="10"/>
        <v>11.176633991889599</v>
      </c>
      <c r="B79" s="43">
        <v>70</v>
      </c>
      <c r="C79" s="42">
        <v>0</v>
      </c>
      <c r="D79" s="42">
        <f t="shared" si="12"/>
        <v>1.2590673321805069E-2</v>
      </c>
      <c r="E79" s="42">
        <f t="shared" si="12"/>
        <v>6.7259712582241435E-2</v>
      </c>
      <c r="F79" s="42">
        <f t="shared" si="12"/>
        <v>0.10418363816031968</v>
      </c>
      <c r="G79" s="42">
        <f t="shared" si="12"/>
        <v>0.12115773434688303</v>
      </c>
      <c r="H79" s="42">
        <f t="shared" si="12"/>
        <v>0.12673418934050054</v>
      </c>
    </row>
    <row r="80" spans="1:8" x14ac:dyDescent="0.3">
      <c r="A80" s="43">
        <f t="shared" si="10"/>
        <v>11.254453776606841</v>
      </c>
      <c r="B80" s="43">
        <v>71</v>
      </c>
      <c r="C80" s="42">
        <v>0</v>
      </c>
      <c r="D80" s="42">
        <f t="shared" si="12"/>
        <v>1.0959661528136088E-2</v>
      </c>
      <c r="E80" s="42">
        <f t="shared" si="12"/>
        <v>6.3324233898006066E-2</v>
      </c>
      <c r="F80" s="42">
        <f t="shared" si="12"/>
        <v>0.1007193082370315</v>
      </c>
      <c r="G80" s="42">
        <f t="shared" si="12"/>
        <v>0.11871887645334733</v>
      </c>
      <c r="H80" s="42">
        <f t="shared" si="12"/>
        <v>0.12521601525378953</v>
      </c>
    </row>
    <row r="81" spans="1:8" x14ac:dyDescent="0.3">
      <c r="A81" s="43">
        <f t="shared" si="10"/>
        <v>11.331618672225915</v>
      </c>
      <c r="B81" s="43">
        <v>72</v>
      </c>
      <c r="C81" s="42">
        <v>0</v>
      </c>
      <c r="D81" s="42">
        <f t="shared" si="12"/>
        <v>9.5225640314692273E-3</v>
      </c>
      <c r="E81" s="42">
        <f t="shared" si="12"/>
        <v>5.9555617527129748E-2</v>
      </c>
      <c r="F81" s="42">
        <f t="shared" si="12"/>
        <v>9.7290769787131776E-2</v>
      </c>
      <c r="G81" s="42">
        <f t="shared" si="12"/>
        <v>0.11624829504468347</v>
      </c>
      <c r="H81" s="42">
        <f t="shared" si="12"/>
        <v>0.12363872172357984</v>
      </c>
    </row>
    <row r="82" spans="1:8" x14ac:dyDescent="0.3">
      <c r="A82" s="43">
        <f t="shared" si="10"/>
        <v>11.408143172302184</v>
      </c>
      <c r="B82" s="43">
        <v>73</v>
      </c>
      <c r="C82" s="42">
        <v>0</v>
      </c>
      <c r="D82" s="42">
        <f t="shared" si="12"/>
        <v>8.2592445921602278E-3</v>
      </c>
      <c r="E82" s="42">
        <f t="shared" si="12"/>
        <v>5.5953270811892379E-2</v>
      </c>
      <c r="F82" s="42">
        <f t="shared" si="12"/>
        <v>9.3904281321977881E-2</v>
      </c>
      <c r="G82" s="42">
        <f t="shared" si="12"/>
        <v>0.11375206829557009</v>
      </c>
      <c r="H82" s="42">
        <f t="shared" si="12"/>
        <v>0.12200694417673964</v>
      </c>
    </row>
    <row r="83" spans="1:8" x14ac:dyDescent="0.3">
      <c r="A83" s="43">
        <f t="shared" si="10"/>
        <v>11.484041256253985</v>
      </c>
      <c r="B83" s="43">
        <v>74</v>
      </c>
      <c r="C83" s="42">
        <v>0</v>
      </c>
      <c r="D83" s="42">
        <f t="shared" si="12"/>
        <v>7.1511634720610199E-3</v>
      </c>
      <c r="E83" s="42">
        <f t="shared" si="12"/>
        <v>5.2515781447199969E-2</v>
      </c>
      <c r="F83" s="42">
        <f t="shared" si="12"/>
        <v>9.05655036590374E-2</v>
      </c>
      <c r="G83" s="42">
        <f t="shared" si="12"/>
        <v>0.11123599218432009</v>
      </c>
      <c r="H83" s="42">
        <f t="shared" si="12"/>
        <v>0.12032521001373957</v>
      </c>
    </row>
    <row r="84" spans="1:8" x14ac:dyDescent="0.3">
      <c r="A84" s="43">
        <f t="shared" si="10"/>
        <v>11.559326414276182</v>
      </c>
      <c r="B84" s="43">
        <v>75</v>
      </c>
      <c r="C84" s="42">
        <v>0</v>
      </c>
      <c r="D84" s="42">
        <f t="shared" si="12"/>
        <v>6.1813389226757116E-3</v>
      </c>
      <c r="E84" s="42">
        <f t="shared" si="12"/>
        <v>4.9241015827634085E-2</v>
      </c>
      <c r="F84" s="42">
        <f t="shared" si="12"/>
        <v>8.7279522714968874E-2</v>
      </c>
      <c r="G84" s="42">
        <f t="shared" si="12"/>
        <v>0.10870557915339377</v>
      </c>
      <c r="H84" s="42">
        <f t="shared" si="12"/>
        <v>0.11859793184604298</v>
      </c>
    </row>
    <row r="85" spans="1:8" x14ac:dyDescent="0.3">
      <c r="A85" s="43">
        <f t="shared" si="10"/>
        <v>11.634011670731651</v>
      </c>
      <c r="B85" s="43">
        <v>76</v>
      </c>
      <c r="C85" s="42">
        <v>0</v>
      </c>
      <c r="D85" s="42">
        <f t="shared" si="12"/>
        <v>5.3342906128037576E-3</v>
      </c>
      <c r="E85" s="42">
        <f t="shared" si="12"/>
        <v>4.6126211814105103E-2</v>
      </c>
      <c r="F85" s="42">
        <f t="shared" si="12"/>
        <v>8.4050873509750532E-2</v>
      </c>
      <c r="G85" s="42">
        <f t="shared" si="12"/>
        <v>0.10616605814992952</v>
      </c>
      <c r="H85" s="42">
        <f t="shared" si="12"/>
        <v>0.11682940164576906</v>
      </c>
    </row>
    <row r="86" spans="1:8" x14ac:dyDescent="0.3">
      <c r="A86" s="43">
        <f t="shared" si="10"/>
        <v>11.708109606132261</v>
      </c>
      <c r="B86" s="43">
        <v>77</v>
      </c>
      <c r="C86" s="42">
        <v>0</v>
      </c>
      <c r="D86" s="42">
        <f t="shared" si="12"/>
        <v>4.59596967415353E-3</v>
      </c>
      <c r="E86" s="42">
        <f t="shared" si="12"/>
        <v>4.3168065708527999E-2</v>
      </c>
      <c r="F86" s="42">
        <f t="shared" si="12"/>
        <v>8.0883565087047055E-2</v>
      </c>
      <c r="G86" s="42">
        <f t="shared" si="12"/>
        <v>0.10362237591836028</v>
      </c>
      <c r="H86" s="42">
        <f t="shared" si="12"/>
        <v>0.11502378575625125</v>
      </c>
    </row>
    <row r="87" spans="1:8" x14ac:dyDescent="0.3">
      <c r="A87" s="43">
        <f t="shared" si="10"/>
        <v>11.781632377811761</v>
      </c>
      <c r="B87" s="43">
        <v>78</v>
      </c>
      <c r="C87" s="42">
        <v>0</v>
      </c>
      <c r="D87" s="42">
        <f t="shared" si="12"/>
        <v>3.9536793610126198E-3</v>
      </c>
      <c r="E87" s="42">
        <f t="shared" si="12"/>
        <v>4.0362813322578982E-2</v>
      </c>
      <c r="F87" s="42">
        <f t="shared" si="12"/>
        <v>7.7781106083089996E-2</v>
      </c>
      <c r="G87" s="42">
        <f t="shared" si="12"/>
        <v>0.10107919942275406</v>
      </c>
      <c r="H87" s="42">
        <f t="shared" si="12"/>
        <v>0.11318512071270349</v>
      </c>
    </row>
    <row r="88" spans="1:8" x14ac:dyDescent="0.3">
      <c r="A88" s="43">
        <f t="shared" ref="A88:A119" si="13">(B88^gamma-1)/gamma</f>
        <v>11.854591739383965</v>
      </c>
      <c r="B88" s="43">
        <v>79</v>
      </c>
      <c r="C88" s="42">
        <v>0</v>
      </c>
      <c r="D88" s="42">
        <f t="shared" ref="D88:H103" si="14">NORMDIST($A88,C$16,C$18,FALSE)</f>
        <v>3.3959896874653952E-3</v>
      </c>
      <c r="E88" s="42">
        <f t="shared" si="14"/>
        <v>3.7706305110903678E-2</v>
      </c>
      <c r="F88" s="42">
        <f t="shared" si="14"/>
        <v>7.474653070242529E-2</v>
      </c>
      <c r="G88" s="42">
        <f t="shared" si="14"/>
        <v>9.8540919282315578E-2</v>
      </c>
      <c r="H88" s="42">
        <f t="shared" si="14"/>
        <v>0.1113173098230351</v>
      </c>
    </row>
    <row r="89" spans="1:8" x14ac:dyDescent="0.3">
      <c r="A89" s="43">
        <f t="shared" si="13"/>
        <v>11.926999059072134</v>
      </c>
      <c r="B89" s="43">
        <v>80</v>
      </c>
      <c r="C89" s="42">
        <v>0</v>
      </c>
      <c r="D89" s="42">
        <f t="shared" si="14"/>
        <v>2.9126488289983126E-3</v>
      </c>
      <c r="E89" s="42">
        <f t="shared" si="14"/>
        <v>3.5194075411010058E-2</v>
      </c>
      <c r="F89" s="42">
        <f t="shared" si="14"/>
        <v>7.1782424883778159E-2</v>
      </c>
      <c r="G89" s="42">
        <f t="shared" si="14"/>
        <v>9.6011654109399339E-2</v>
      </c>
      <c r="H89" s="42">
        <f t="shared" si="14"/>
        <v>0.10942412045985585</v>
      </c>
    </row>
    <row r="90" spans="1:8" x14ac:dyDescent="0.3">
      <c r="A90" s="43">
        <f t="shared" si="13"/>
        <v>11.998865336988224</v>
      </c>
      <c r="B90" s="43">
        <v>81</v>
      </c>
      <c r="C90" s="42">
        <v>0</v>
      </c>
      <c r="D90" s="42">
        <f t="shared" si="14"/>
        <v>2.4944935576230944E-3</v>
      </c>
      <c r="E90" s="42">
        <f t="shared" si="14"/>
        <v>3.2821405892507829E-2</v>
      </c>
      <c r="F90" s="42">
        <f t="shared" si="14"/>
        <v>6.8890952462956845E-2</v>
      </c>
      <c r="G90" s="42">
        <f t="shared" si="14"/>
        <v>9.3495255645387756E-2</v>
      </c>
      <c r="H90" s="42">
        <f t="shared" si="14"/>
        <v>0.10750918201588601</v>
      </c>
    </row>
    <row r="91" spans="1:8" x14ac:dyDescent="0.3">
      <c r="A91" s="43">
        <f t="shared" si="13"/>
        <v>12.070201221434353</v>
      </c>
      <c r="B91" s="43">
        <v>82</v>
      </c>
      <c r="C91" s="42">
        <v>0</v>
      </c>
      <c r="D91" s="42">
        <f t="shared" si="14"/>
        <v>2.1333605213626622E-3</v>
      </c>
      <c r="E91" s="42">
        <f t="shared" si="14"/>
        <v>3.0583383368314999E-2</v>
      </c>
      <c r="F91" s="42">
        <f t="shared" si="14"/>
        <v>6.6073881162071968E-2</v>
      </c>
      <c r="G91" s="42">
        <f t="shared" si="14"/>
        <v>9.099531459580483E-2</v>
      </c>
      <c r="H91" s="42">
        <f t="shared" si="14"/>
        <v>0.10557598447629082</v>
      </c>
    </row>
    <row r="92" spans="1:8" x14ac:dyDescent="0.3">
      <c r="A92" s="43">
        <f t="shared" si="13"/>
        <v>12.141017024293097</v>
      </c>
      <c r="B92" s="43">
        <v>83</v>
      </c>
      <c r="C92" s="42">
        <v>0</v>
      </c>
      <c r="D92" s="42">
        <f t="shared" si="14"/>
        <v>1.8219997786946447E-3</v>
      </c>
      <c r="E92" s="42">
        <f t="shared" si="14"/>
        <v>2.8474952160931124E-2</v>
      </c>
      <c r="F92" s="42">
        <f t="shared" si="14"/>
        <v>6.3332608255363743E-2</v>
      </c>
      <c r="G92" s="42">
        <f t="shared" si="14"/>
        <v>8.851516707202628E-2</v>
      </c>
      <c r="H92" s="42">
        <f t="shared" si="14"/>
        <v>0.10362787756287588</v>
      </c>
    </row>
    <row r="93" spans="1:8" x14ac:dyDescent="0.3">
      <c r="A93" s="43">
        <f t="shared" si="13"/>
        <v>12.211322735567737</v>
      </c>
      <c r="B93" s="43">
        <v>84</v>
      </c>
      <c r="C93" s="42">
        <v>0</v>
      </c>
      <c r="D93" s="42">
        <f t="shared" si="14"/>
        <v>1.5539916535665002E-3</v>
      </c>
      <c r="E93" s="42">
        <f t="shared" si="14"/>
        <v>2.6490961248847499E-2</v>
      </c>
      <c r="F93" s="42">
        <f t="shared" si="14"/>
        <v>6.0668185781590202E-2</v>
      </c>
      <c r="G93" s="42">
        <f t="shared" si="14"/>
        <v>8.6057901552881427E-2</v>
      </c>
      <c r="H93" s="42">
        <f t="shared" si="14"/>
        <v>0.10166807040659721</v>
      </c>
    </row>
    <row r="94" spans="1:8" x14ac:dyDescent="0.3">
      <c r="A94" s="43">
        <f t="shared" si="13"/>
        <v>12.281128037129099</v>
      </c>
      <c r="B94" s="43">
        <v>85</v>
      </c>
      <c r="C94" s="42">
        <v>0</v>
      </c>
      <c r="D94" s="42">
        <f t="shared" si="14"/>
        <v>1.3236676831711587E-3</v>
      </c>
      <c r="E94" s="42">
        <f t="shared" si="14"/>
        <v>2.462620644252737E-2</v>
      </c>
      <c r="F94" s="42">
        <f t="shared" si="14"/>
        <v>5.8081345191206411E-2</v>
      </c>
      <c r="G94" s="42">
        <f t="shared" si="14"/>
        <v>8.3626366285256964E-2</v>
      </c>
      <c r="H94" s="42">
        <f t="shared" si="14"/>
        <v>9.9699631706414951E-2</v>
      </c>
    </row>
    <row r="95" spans="1:8" x14ac:dyDescent="0.3">
      <c r="A95" s="43">
        <f t="shared" si="13"/>
        <v>12.350442315720894</v>
      </c>
      <c r="B95" s="43">
        <v>86</v>
      </c>
      <c r="C95" s="42">
        <v>0</v>
      </c>
      <c r="D95" s="42">
        <f t="shared" si="14"/>
        <v>1.1260361845070446E-3</v>
      </c>
      <c r="E95" s="42">
        <f t="shared" si="14"/>
        <v>2.2875467857071844E-2</v>
      </c>
      <c r="F95" s="42">
        <f t="shared" si="14"/>
        <v>5.557252133351772E-2</v>
      </c>
      <c r="G95" s="42">
        <f t="shared" si="14"/>
        <v>8.1223177048520334E-2</v>
      </c>
      <c r="H95" s="42">
        <f t="shared" si="14"/>
        <v>9.7725490334170079E-2</v>
      </c>
    </row>
    <row r="96" spans="1:8" x14ac:dyDescent="0.3">
      <c r="A96" s="43">
        <f t="shared" si="13"/>
        <v>12.419274675271911</v>
      </c>
      <c r="B96" s="43">
        <v>87</v>
      </c>
      <c r="C96" s="42">
        <v>0</v>
      </c>
      <c r="D96" s="42">
        <f t="shared" si="14"/>
        <v>9.5671276222204218E-4</v>
      </c>
      <c r="E96" s="42">
        <f t="shared" si="14"/>
        <v>2.1233542960475721E-2</v>
      </c>
      <c r="F96" s="42">
        <f t="shared" si="14"/>
        <v>5.3141875704585374E-2</v>
      </c>
      <c r="G96" s="42">
        <f t="shared" si="14"/>
        <v>7.885072521310682E-2</v>
      </c>
      <c r="H96" s="42">
        <f t="shared" si="14"/>
        <v>9.574843634683225E-2</v>
      </c>
    </row>
    <row r="97" spans="1:8" x14ac:dyDescent="0.3">
      <c r="A97" s="43">
        <f t="shared" si="13"/>
        <v>12.487633948559251</v>
      </c>
      <c r="B97" s="43">
        <v>88</v>
      </c>
      <c r="C97" s="42">
        <v>0</v>
      </c>
      <c r="D97" s="42">
        <f t="shared" si="14"/>
        <v>8.1185591465994587E-4</v>
      </c>
      <c r="E97" s="42">
        <f t="shared" si="14"/>
        <v>1.9695275483106373E-2</v>
      </c>
      <c r="F97" s="42">
        <f t="shared" si="14"/>
        <v>5.0789318891001009E-2</v>
      </c>
      <c r="G97" s="42">
        <f t="shared" si="14"/>
        <v>7.6511186028996842E-2</v>
      </c>
      <c r="H97" s="42">
        <f t="shared" si="14"/>
        <v>9.3771122369186999E-2</v>
      </c>
    </row>
    <row r="98" spans="1:8" x14ac:dyDescent="0.3">
      <c r="A98" s="43">
        <f t="shared" si="13"/>
        <v>12.555528708264029</v>
      </c>
      <c r="B98" s="43">
        <v>89</v>
      </c>
      <c r="C98" s="42">
        <v>0</v>
      </c>
      <c r="D98" s="42">
        <f t="shared" si="14"/>
        <v>6.8810776275486532E-4</v>
      </c>
      <c r="E98" s="42">
        <f t="shared" si="14"/>
        <v>1.8255580476376047E-2</v>
      </c>
      <c r="F98" s="42">
        <f t="shared" si="14"/>
        <v>4.8514532157696612E-2</v>
      </c>
      <c r="G98" s="42">
        <f t="shared" si="14"/>
        <v>7.4206527084965349E-2</v>
      </c>
      <c r="H98" s="42">
        <f t="shared" si="14"/>
        <v>9.179606531173666E-2</v>
      </c>
    </row>
    <row r="99" spans="1:8" x14ac:dyDescent="0.3">
      <c r="A99" s="43">
        <f t="shared" si="13"/>
        <v>12.6229672774575</v>
      </c>
      <c r="B99" s="43">
        <v>90</v>
      </c>
      <c r="C99" s="42">
        <v>0</v>
      </c>
      <c r="D99" s="42">
        <f t="shared" si="14"/>
        <v>5.8253982302656267E-4</v>
      </c>
      <c r="E99" s="42">
        <f t="shared" si="14"/>
        <v>1.6909465807241415E-2</v>
      </c>
      <c r="F99" s="42">
        <f t="shared" si="14"/>
        <v>4.6316988139842467E-2</v>
      </c>
      <c r="G99" s="42">
        <f t="shared" si="14"/>
        <v>7.1938516884469408E-2</v>
      </c>
      <c r="H99" s="42">
        <f t="shared" si="14"/>
        <v>8.9825648390323629E-2</v>
      </c>
    </row>
    <row r="100" spans="1:8" x14ac:dyDescent="0.3">
      <c r="A100" s="43">
        <f t="shared" si="13"/>
        <v>12.6899577395529</v>
      </c>
      <c r="B100" s="43">
        <v>91</v>
      </c>
      <c r="C100" s="42">
        <v>0</v>
      </c>
      <c r="D100" s="42">
        <f t="shared" si="14"/>
        <v>4.9260366725976544E-4</v>
      </c>
      <c r="E100" s="42">
        <f t="shared" si="14"/>
        <v>1.5652050370720462E-2</v>
      </c>
      <c r="F100" s="42">
        <f t="shared" si="14"/>
        <v>4.4195970609603508E-2</v>
      </c>
      <c r="G100" s="42">
        <f t="shared" si="14"/>
        <v>6.970873348879196E-2</v>
      </c>
      <c r="H100" s="42">
        <f t="shared" si="14"/>
        <v>8.7862123415697907E-2</v>
      </c>
    </row>
    <row r="101" spans="1:8" x14ac:dyDescent="0.3">
      <c r="A101" s="43">
        <f t="shared" si="13"/>
        <v>12.756507947755948</v>
      </c>
      <c r="B101" s="43">
        <v>92</v>
      </c>
      <c r="C101" s="42">
        <v>0</v>
      </c>
      <c r="D101" s="42">
        <f t="shared" si="14"/>
        <v>4.1608625368410435E-4</v>
      </c>
      <c r="E101" s="42">
        <f t="shared" si="14"/>
        <v>1.4478579295630099E-2</v>
      </c>
      <c r="F101" s="42">
        <f t="shared" si="14"/>
        <v>4.2150593298152968E-2</v>
      </c>
      <c r="G101" s="42">
        <f t="shared" si="14"/>
        <v>6.7518573182589386E-2</v>
      </c>
      <c r="H101" s="42">
        <f t="shared" si="14"/>
        <v>8.5907613322946108E-2</v>
      </c>
    </row>
    <row r="102" spans="1:8" x14ac:dyDescent="0.3">
      <c r="A102" s="43">
        <f t="shared" si="13"/>
        <v>12.822625534044214</v>
      </c>
      <c r="B102" s="43">
        <v>93</v>
      </c>
      <c r="C102" s="42">
        <v>0</v>
      </c>
      <c r="D102" s="42">
        <f t="shared" si="14"/>
        <v>3.5106967414973687E-4</v>
      </c>
      <c r="E102" s="42">
        <f t="shared" si="14"/>
        <v>1.3384436409718366E-2</v>
      </c>
      <c r="F102" s="42">
        <f t="shared" si="14"/>
        <v>4.0179817761959703E-2</v>
      </c>
      <c r="G102" s="42">
        <f t="shared" si="14"/>
        <v>6.5369259121313097E-2</v>
      </c>
      <c r="H102" s="42">
        <f t="shared" si="14"/>
        <v>8.3964114912386797E-2</v>
      </c>
    </row>
    <row r="103" spans="1:8" x14ac:dyDescent="0.3">
      <c r="A103" s="43">
        <f t="shared" si="13"/>
        <v>12.888317917703819</v>
      </c>
      <c r="B103" s="43">
        <v>94</v>
      </c>
      <c r="C103" s="42">
        <v>0</v>
      </c>
      <c r="D103" s="42">
        <f t="shared" si="14"/>
        <v>2.9589503582772356E-4</v>
      </c>
      <c r="E103" s="42">
        <f t="shared" si="14"/>
        <v>1.2365154219708173E-2</v>
      </c>
      <c r="F103" s="42">
        <f t="shared" si="14"/>
        <v>3.828247028999137E-2</v>
      </c>
      <c r="G103" s="42">
        <f t="shared" si="14"/>
        <v>6.3261849924048263E-2</v>
      </c>
      <c r="H103" s="42">
        <f t="shared" si="14"/>
        <v>8.2033501775175349E-2</v>
      </c>
    </row>
    <row r="104" spans="1:8" x14ac:dyDescent="0.3">
      <c r="A104" s="43">
        <f t="shared" si="13"/>
        <v>12.953592313449654</v>
      </c>
      <c r="B104" s="43">
        <v>95</v>
      </c>
      <c r="C104" s="42">
        <v>0</v>
      </c>
      <c r="D104" s="42">
        <f t="shared" ref="D104:H119" si="15">NORMDIST($A104,C$16,C$18,FALSE)</f>
        <v>2.4913018163617764E-4</v>
      </c>
      <c r="E104" s="42">
        <f t="shared" si="15"/>
        <v>1.1416421649897786E-2</v>
      </c>
      <c r="F104" s="42">
        <f t="shared" si="15"/>
        <v>3.6457257855214066E-2</v>
      </c>
      <c r="G104" s="42">
        <f t="shared" si="15"/>
        <v>6.1197248179177981E-2</v>
      </c>
      <c r="H104" s="42">
        <f t="shared" si="15"/>
        <v>8.011752737848099E-2</v>
      </c>
    </row>
    <row r="105" spans="1:8" x14ac:dyDescent="0.3">
      <c r="A105" s="43">
        <f t="shared" si="13"/>
        <v>13.018455739153598</v>
      </c>
      <c r="B105" s="43">
        <v>96</v>
      </c>
      <c r="C105" s="42">
        <v>0</v>
      </c>
      <c r="D105" s="42">
        <f t="shared" si="15"/>
        <v>2.095409485356673E-4</v>
      </c>
      <c r="E105" s="42">
        <f t="shared" si="15"/>
        <v>1.0534089770197288E-2</v>
      </c>
      <c r="F105" s="42">
        <f t="shared" si="15"/>
        <v>3.4702783119654738E-2</v>
      </c>
      <c r="G105" s="42">
        <f t="shared" si="15"/>
        <v>5.917620883390963E-2</v>
      </c>
      <c r="H105" s="42">
        <f t="shared" si="15"/>
        <v>7.8217828286670107E-2</v>
      </c>
    </row>
    <row r="106" spans="1:8" x14ac:dyDescent="0.3">
      <c r="A106" s="43">
        <f t="shared" si="13"/>
        <v>13.082915023203574</v>
      </c>
      <c r="B106" s="43">
        <v>97</v>
      </c>
      <c r="C106" s="42">
        <v>0</v>
      </c>
      <c r="D106" s="42">
        <f t="shared" si="15"/>
        <v>1.7606566501690593E-4</v>
      </c>
      <c r="E106" s="42">
        <f t="shared" si="15"/>
        <v>9.7141757311238457E-3</v>
      </c>
      <c r="F106" s="42">
        <f t="shared" si="15"/>
        <v>3.3017558507393775E-2</v>
      </c>
      <c r="G106" s="42">
        <f t="shared" si="15"/>
        <v>5.719934744210893E-2</v>
      </c>
      <c r="H106" s="42">
        <f t="shared" si="15"/>
        <v>7.6335927496457887E-2</v>
      </c>
    </row>
    <row r="107" spans="1:8" x14ac:dyDescent="0.3">
      <c r="A107" s="43">
        <f t="shared" si="13"/>
        <v>13.146976811514675</v>
      </c>
      <c r="B107" s="43">
        <v>98</v>
      </c>
      <c r="C107" s="42">
        <v>0</v>
      </c>
      <c r="D107" s="42">
        <f t="shared" si="15"/>
        <v>1.4779259679222712E-4</v>
      </c>
      <c r="E107" s="42">
        <f t="shared" si="15"/>
        <v>8.9528651095849236E-3</v>
      </c>
      <c r="F107" s="42">
        <f t="shared" si="15"/>
        <v>3.1400019364237142E-2</v>
      </c>
      <c r="G107" s="42">
        <f t="shared" si="15"/>
        <v>5.5267148248078102E-2</v>
      </c>
      <c r="H107" s="42">
        <f t="shared" si="15"/>
        <v>7.4473237865474065E-2</v>
      </c>
    </row>
    <row r="108" spans="1:8" x14ac:dyDescent="0.3">
      <c r="A108" s="43">
        <f t="shared" si="13"/>
        <v>13.21064757421215</v>
      </c>
      <c r="B108" s="43">
        <v>99</v>
      </c>
      <c r="C108" s="42">
        <v>0</v>
      </c>
      <c r="D108" s="42">
        <f t="shared" si="15"/>
        <v>1.239400614491947E-4</v>
      </c>
      <c r="E108" s="42">
        <f t="shared" si="15"/>
        <v>8.2465128554619575E-3</v>
      </c>
      <c r="F108" s="42">
        <f t="shared" si="15"/>
        <v>2.9848536226531663E-2</v>
      </c>
      <c r="G108" s="42">
        <f t="shared" si="15"/>
        <v>5.337997208689229E-2</v>
      </c>
      <c r="H108" s="42">
        <f t="shared" si="15"/>
        <v>7.2631065615122212E-2</v>
      </c>
    </row>
    <row r="109" spans="1:8" x14ac:dyDescent="0.3">
      <c r="A109" s="43">
        <f t="shared" si="13"/>
        <v>13.273933612004836</v>
      </c>
      <c r="B109" s="43">
        <v>100</v>
      </c>
      <c r="C109" s="42">
        <v>0</v>
      </c>
      <c r="D109" s="42">
        <f t="shared" si="15"/>
        <v>1.0383894742747906E-4</v>
      </c>
      <c r="E109" s="42">
        <f t="shared" si="15"/>
        <v>7.5916430152494262E-3</v>
      </c>
      <c r="F109" s="42">
        <f t="shared" si="15"/>
        <v>2.8361426224688135E-2</v>
      </c>
      <c r="G109" s="42">
        <f t="shared" si="15"/>
        <v>5.1538064084674817E-2</v>
      </c>
      <c r="H109" s="42">
        <f t="shared" si="15"/>
        <v>7.0810613889989646E-2</v>
      </c>
    </row>
    <row r="110" spans="1:8" x14ac:dyDescent="0.3">
      <c r="A110" s="43">
        <f t="shared" si="13"/>
        <v>13.33684106226619</v>
      </c>
      <c r="B110" s="43">
        <v>101</v>
      </c>
      <c r="C110" s="42">
        <v>0</v>
      </c>
      <c r="D110" s="42">
        <f t="shared" si="15"/>
        <v>8.6917389155564661E-5</v>
      </c>
      <c r="E110" s="42">
        <f t="shared" si="15"/>
        <v>6.9849473954609245E-3</v>
      </c>
      <c r="F110" s="42">
        <f t="shared" si="15"/>
        <v>2.6936963649530098E-2</v>
      </c>
      <c r="G110" s="42">
        <f t="shared" si="15"/>
        <v>4.9741561144765072E-2</v>
      </c>
      <c r="H110" s="42">
        <f t="shared" si="15"/>
        <v>6.9012986357398595E-2</v>
      </c>
    </row>
    <row r="111" spans="1:8" x14ac:dyDescent="0.3">
      <c r="A111" s="43">
        <f t="shared" si="13"/>
        <v>13.399375904839259</v>
      </c>
      <c r="B111" s="43">
        <v>102</v>
      </c>
      <c r="C111" s="42">
        <v>0</v>
      </c>
      <c r="D111" s="42">
        <f t="shared" si="15"/>
        <v>7.2687367738976345E-5</v>
      </c>
      <c r="E111" s="42">
        <f t="shared" si="15"/>
        <v>6.4232833153003701E-3</v>
      </c>
      <c r="F111" s="42">
        <f t="shared" si="15"/>
        <v>2.5573389711621694E-2</v>
      </c>
      <c r="G111" s="42">
        <f t="shared" si="15"/>
        <v>4.7990499208099266E-2</v>
      </c>
      <c r="H111" s="42">
        <f t="shared" si="15"/>
        <v>6.7239190831954954E-2</v>
      </c>
    </row>
    <row r="112" spans="1:8" x14ac:dyDescent="0.3">
      <c r="A112" s="43">
        <f t="shared" si="13"/>
        <v>13.461543967580534</v>
      </c>
      <c r="B112" s="43">
        <v>103</v>
      </c>
      <c r="C112" s="42">
        <v>0</v>
      </c>
      <c r="D112" s="42">
        <f t="shared" si="15"/>
        <v>6.07330245987359E-5</v>
      </c>
      <c r="E112" s="42">
        <f t="shared" si="15"/>
        <v>5.9036705853230832E-3</v>
      </c>
      <c r="F112" s="42">
        <f t="shared" si="15"/>
        <v>2.4268921525323266E-2</v>
      </c>
      <c r="G112" s="42">
        <f t="shared" si="15"/>
        <v>4.62848202783218E-2</v>
      </c>
      <c r="H112" s="42">
        <f t="shared" si="15"/>
        <v>6.5490142911177704E-2</v>
      </c>
    </row>
    <row r="113" spans="1:8" x14ac:dyDescent="0.3">
      <c r="A113" s="43">
        <f t="shared" si="13"/>
        <v>13.523350931656944</v>
      </c>
      <c r="B113" s="43">
        <v>104</v>
      </c>
      <c r="C113" s="42">
        <v>0</v>
      </c>
      <c r="D113" s="42">
        <f t="shared" si="15"/>
        <v>5.0700493429180489E-5</v>
      </c>
      <c r="E113" s="42">
        <f t="shared" si="15"/>
        <v>5.4232878365435E-3</v>
      </c>
      <c r="F113" s="42">
        <f t="shared" si="15"/>
        <v>2.3021760350493723E-2</v>
      </c>
      <c r="G113" s="42">
        <f t="shared" si="15"/>
        <v>4.4624379204147691E-2</v>
      </c>
      <c r="H113" s="42">
        <f t="shared" si="15"/>
        <v>6.3766669609450391E-2</v>
      </c>
    </row>
    <row r="114" spans="1:8" x14ac:dyDescent="0.3">
      <c r="A114" s="43">
        <f t="shared" si="13"/>
        <v>13.58480233660924</v>
      </c>
      <c r="B114" s="43">
        <v>105</v>
      </c>
      <c r="C114" s="42">
        <v>0</v>
      </c>
      <c r="D114" s="42">
        <f t="shared" si="15"/>
        <v>4.2289073408323156E-5</v>
      </c>
      <c r="E114" s="42">
        <f t="shared" si="15"/>
        <v>4.9794683127505485E-3</v>
      </c>
      <c r="F114" s="42">
        <f t="shared" si="15"/>
        <v>2.1830099125570813E-2</v>
      </c>
      <c r="G114" s="42">
        <f t="shared" si="15"/>
        <v>4.3008950213338594E-2</v>
      </c>
      <c r="H114" s="42">
        <f t="shared" si="15"/>
        <v>6.2069512978644235E-2</v>
      </c>
    </row>
    <row r="115" spans="1:8" x14ac:dyDescent="0.3">
      <c r="A115" s="43">
        <f t="shared" si="13"/>
        <v>13.645903585194139</v>
      </c>
      <c r="B115" s="43">
        <v>106</v>
      </c>
      <c r="C115" s="42">
        <v>0</v>
      </c>
      <c r="D115" s="42">
        <f t="shared" si="15"/>
        <v>3.5243583479676326E-5</v>
      </c>
      <c r="E115" s="42">
        <f t="shared" si="15"/>
        <v>4.5696952277070454E-3</v>
      </c>
      <c r="F115" s="42">
        <f t="shared" si="15"/>
        <v>2.0692129326245222E-2</v>
      </c>
      <c r="G115" s="42">
        <f t="shared" si="15"/>
        <v>4.1438233194334859E-2</v>
      </c>
      <c r="H115" s="42">
        <f t="shared" si="15"/>
        <v>6.0399333704819876E-2</v>
      </c>
    </row>
    <row r="116" spans="1:8" x14ac:dyDescent="0.3">
      <c r="A116" s="43">
        <f t="shared" si="13"/>
        <v>13.706659948016927</v>
      </c>
      <c r="B116" s="43">
        <v>107</v>
      </c>
      <c r="C116" s="42">
        <v>0</v>
      </c>
      <c r="D116" s="42">
        <f t="shared" si="15"/>
        <v>2.9347753540926521E-5</v>
      </c>
      <c r="E116" s="42">
        <f t="shared" si="15"/>
        <v>4.1915967784611971E-3</v>
      </c>
      <c r="F116" s="42">
        <f t="shared" si="15"/>
        <v>1.9606047184136974E-2</v>
      </c>
      <c r="G116" s="42">
        <f t="shared" si="15"/>
        <v>3.991185972310736E-2</v>
      </c>
      <c r="H116" s="42">
        <f t="shared" si="15"/>
        <v>5.8756714671410123E-2</v>
      </c>
    </row>
    <row r="117" spans="1:8" x14ac:dyDescent="0.3">
      <c r="A117" s="43">
        <f t="shared" si="13"/>
        <v>13.76707656796548</v>
      </c>
      <c r="B117" s="43">
        <v>108</v>
      </c>
      <c r="C117" s="42">
        <v>0</v>
      </c>
      <c r="D117" s="42">
        <f t="shared" si="15"/>
        <v>2.4418523396768118E-5</v>
      </c>
      <c r="E117" s="42">
        <f t="shared" si="15"/>
        <v>3.8429408962046148E-3</v>
      </c>
      <c r="F117" s="42">
        <f t="shared" si="15"/>
        <v>1.8570059299825269E-2</v>
      </c>
      <c r="G117" s="42">
        <f t="shared" si="15"/>
        <v>3.8429398834172568E-2</v>
      </c>
      <c r="H117" s="42">
        <f t="shared" si="15"/>
        <v>5.7142164480232037E-2</v>
      </c>
    </row>
    <row r="118" spans="1:8" x14ac:dyDescent="0.3">
      <c r="A118" s="43">
        <f t="shared" si="13"/>
        <v>13.827158464455884</v>
      </c>
      <c r="B118" s="43">
        <v>109</v>
      </c>
      <c r="C118" s="42">
        <v>0</v>
      </c>
      <c r="D118" s="42">
        <f t="shared" si="15"/>
        <v>2.0301134287736205E-5</v>
      </c>
      <c r="E118" s="42">
        <f t="shared" si="15"/>
        <v>3.5216298069761791E-3</v>
      </c>
      <c r="F118" s="42">
        <f t="shared" si="15"/>
        <v>1.7582387684304278E-2</v>
      </c>
      <c r="G118" s="42">
        <f t="shared" si="15"/>
        <v>3.6990362535959317E-2</v>
      </c>
      <c r="H118" s="42">
        <f t="shared" si="15"/>
        <v>5.5556120922574212E-2</v>
      </c>
    </row>
    <row r="119" spans="1:8" x14ac:dyDescent="0.3">
      <c r="A119" s="43">
        <f t="shared" si="13"/>
        <v>13.886910537499421</v>
      </c>
      <c r="B119" s="43">
        <v>110</v>
      </c>
      <c r="C119" s="42">
        <v>0</v>
      </c>
      <c r="D119" s="42">
        <f t="shared" si="15"/>
        <v>1.6864910662506378E-5</v>
      </c>
      <c r="E119" s="42">
        <f t="shared" si="15"/>
        <v>3.2256944660280871E-3</v>
      </c>
      <c r="F119" s="42">
        <f t="shared" si="15"/>
        <v>1.6641274262465006E-2</v>
      </c>
      <c r="G119" s="42">
        <f t="shared" si="15"/>
        <v>3.5594211071824276E-2</v>
      </c>
      <c r="H119" s="42">
        <f t="shared" si="15"/>
        <v>5.3998954393440761E-2</v>
      </c>
    </row>
    <row r="120" spans="1:8" x14ac:dyDescent="0.3">
      <c r="A120" s="43">
        <f t="shared" ref="A120:A129" si="16">(B120^gamma-1)/gamma</f>
        <v>13.946337571599891</v>
      </c>
      <c r="B120" s="43">
        <v>111</v>
      </c>
      <c r="C120" s="42">
        <v>0</v>
      </c>
      <c r="D120" s="42">
        <f t="shared" ref="D120:H129" si="17">NORMDIST($A120,C$16,C$18,FALSE)</f>
        <v>1.399964161829689E-5</v>
      </c>
      <c r="E120" s="42">
        <f t="shared" si="17"/>
        <v>2.9532889218335388E-3</v>
      </c>
      <c r="F120" s="42">
        <f t="shared" si="17"/>
        <v>1.5744984871571603E-2</v>
      </c>
      <c r="G120" s="42">
        <f t="shared" si="17"/>
        <v>3.4240357929010097E-2</v>
      </c>
      <c r="H120" s="42">
        <f t="shared" si="17"/>
        <v>5.2470971242832107E-2</v>
      </c>
    </row>
    <row r="121" spans="1:8" x14ac:dyDescent="0.3">
      <c r="A121" s="43">
        <f t="shared" si="16"/>
        <v>14.005444239489881</v>
      </c>
      <c r="B121" s="43">
        <v>112</v>
      </c>
      <c r="C121" s="42">
        <v>0</v>
      </c>
      <c r="D121" s="42">
        <f t="shared" si="17"/>
        <v>1.1612482117035447E-5</v>
      </c>
      <c r="E121" s="42">
        <f t="shared" si="17"/>
        <v>2.7026846585025792E-3</v>
      </c>
      <c r="F121" s="42">
        <f t="shared" si="17"/>
        <v>1.4891812786926658E-2</v>
      </c>
      <c r="G121" s="42">
        <f t="shared" si="17"/>
        <v>3.2928174598716234E-2</v>
      </c>
      <c r="H121" s="42">
        <f t="shared" si="17"/>
        <v>5.0972417058681024E-2</v>
      </c>
    </row>
    <row r="122" spans="1:8" x14ac:dyDescent="0.3">
      <c r="A122" s="43">
        <f t="shared" si="16"/>
        <v>14.064235105713966</v>
      </c>
      <c r="B122" s="43">
        <v>113</v>
      </c>
      <c r="C122" s="42">
        <v>0</v>
      </c>
      <c r="D122" s="42">
        <f t="shared" si="17"/>
        <v>9.6253037357431813E-6</v>
      </c>
      <c r="E122" s="42">
        <f t="shared" si="17"/>
        <v>2.4722649587668745E-3</v>
      </c>
      <c r="F122" s="42">
        <f t="shared" si="17"/>
        <v>1.4080081806033833E-2</v>
      </c>
      <c r="G122" s="42">
        <f t="shared" si="17"/>
        <v>3.1656995091228268E-2</v>
      </c>
      <c r="H122" s="42">
        <f t="shared" si="17"/>
        <v>4.9503479876762742E-2</v>
      </c>
    </row>
    <row r="123" spans="1:8" x14ac:dyDescent="0.3">
      <c r="A123" s="43">
        <f t="shared" si="16"/>
        <v>14.12271463006641</v>
      </c>
      <c r="B123" s="43">
        <v>114</v>
      </c>
      <c r="C123" s="42">
        <v>0</v>
      </c>
      <c r="D123" s="42">
        <f t="shared" si="17"/>
        <v>7.9724333821370375E-6</v>
      </c>
      <c r="E123" s="42">
        <f t="shared" si="17"/>
        <v>2.2605193236676069E-3</v>
      </c>
      <c r="F123" s="42">
        <f t="shared" si="17"/>
        <v>1.3308148921583106E-2</v>
      </c>
      <c r="G123" s="42">
        <f t="shared" si="17"/>
        <v>3.0426120210726815E-2</v>
      </c>
      <c r="H123" s="42">
        <f t="shared" si="17"/>
        <v>4.8064293313546724E-2</v>
      </c>
    </row>
    <row r="124" spans="1:8" x14ac:dyDescent="0.3">
      <c r="A124" s="43">
        <f t="shared" si="16"/>
        <v>14.18088717089055</v>
      </c>
      <c r="B124" s="43">
        <v>115</v>
      </c>
      <c r="C124" s="42">
        <v>0</v>
      </c>
      <c r="D124" s="42">
        <f t="shared" si="17"/>
        <v>6.5987261627069869E-6</v>
      </c>
      <c r="E124" s="42">
        <f t="shared" si="17"/>
        <v>2.0660379796074132E-3</v>
      </c>
      <c r="F124" s="42">
        <f t="shared" si="17"/>
        <v>1.2574406612525698E-2</v>
      </c>
      <c r="G124" s="42">
        <f t="shared" si="17"/>
        <v>2.923482159498E-2</v>
      </c>
      <c r="H124" s="42">
        <f t="shared" si="17"/>
        <v>4.6654939618564865E-2</v>
      </c>
    </row>
    <row r="125" spans="1:8" x14ac:dyDescent="0.3">
      <c r="A125" s="43">
        <f t="shared" si="16"/>
        <v>14.238756988246497</v>
      </c>
      <c r="B125" s="43">
        <v>116</v>
      </c>
      <c r="C125" s="42">
        <v>0</v>
      </c>
      <c r="D125" s="42">
        <f t="shared" si="17"/>
        <v>5.457925496907578E-6</v>
      </c>
      <c r="E125" s="42">
        <f t="shared" si="17"/>
        <v>1.8875064984782612E-3</v>
      </c>
      <c r="F125" s="42">
        <f t="shared" si="17"/>
        <v>1.1877284781390399E-2</v>
      </c>
      <c r="G125" s="42">
        <f t="shared" si="17"/>
        <v>2.8082345525626624E-2</v>
      </c>
      <c r="H125" s="42">
        <f t="shared" si="17"/>
        <v>4.5275452643437943E-2</v>
      </c>
    </row>
    <row r="126" spans="1:8" x14ac:dyDescent="0.3">
      <c r="A126" s="43">
        <f t="shared" si="16"/>
        <v>14.296328246953586</v>
      </c>
      <c r="B126" s="43">
        <v>117</v>
      </c>
      <c r="C126" s="42">
        <v>0</v>
      </c>
      <c r="D126" s="42">
        <f t="shared" si="17"/>
        <v>4.5112696958965185E-6</v>
      </c>
      <c r="E126" s="42">
        <f t="shared" si="17"/>
        <v>1.7237005521200948E-3</v>
      </c>
      <c r="F126" s="42">
        <f t="shared" si="17"/>
        <v>1.1215252364829916E-2</v>
      </c>
      <c r="G126" s="42">
        <f t="shared" si="17"/>
        <v>2.6967916515176143E-2</v>
      </c>
      <c r="H126" s="42">
        <f t="shared" si="17"/>
        <v>4.3925820725223171E-2</v>
      </c>
    </row>
    <row r="127" spans="1:8" x14ac:dyDescent="0.3">
      <c r="A127" s="43">
        <f t="shared" si="16"/>
        <v>14.353605019513452</v>
      </c>
      <c r="B127" s="43">
        <v>118</v>
      </c>
      <c r="C127" s="42">
        <v>0</v>
      </c>
      <c r="D127" s="42">
        <f t="shared" si="17"/>
        <v>3.7263096355983112E-6</v>
      </c>
      <c r="E127" s="42">
        <f t="shared" si="17"/>
        <v>1.5734808183716414E-3</v>
      </c>
      <c r="F127" s="42">
        <f t="shared" si="17"/>
        <v>1.0586818643197217E-2</v>
      </c>
      <c r="G127" s="42">
        <f t="shared" si="17"/>
        <v>2.5890740677205676E-2</v>
      </c>
      <c r="H127" s="42">
        <f t="shared" si="17"/>
        <v>4.2605989482235845E-2</v>
      </c>
    </row>
    <row r="128" spans="1:8" x14ac:dyDescent="0.3">
      <c r="A128" s="43">
        <f t="shared" si="16"/>
        <v>14.410591288919489</v>
      </c>
      <c r="B128" s="43">
        <v>119</v>
      </c>
      <c r="C128" s="42">
        <v>0</v>
      </c>
      <c r="D128" s="42">
        <f t="shared" si="17"/>
        <v>3.07590691821161E-6</v>
      </c>
      <c r="E128" s="42">
        <f t="shared" si="17"/>
        <v>1.4357880524107614E-3</v>
      </c>
      <c r="F128" s="42">
        <f t="shared" si="17"/>
        <v>9.9905342737400486E-3</v>
      </c>
      <c r="G128" s="42">
        <f t="shared" si="17"/>
        <v>2.4850008886515399E-2</v>
      </c>
      <c r="H128" s="42">
        <f t="shared" si="17"/>
        <v>4.1315864520941499E-2</v>
      </c>
    </row>
    <row r="129" spans="1:8" x14ac:dyDescent="0.3">
      <c r="A129" s="43">
        <f t="shared" si="16"/>
        <v>14.467290951357944</v>
      </c>
      <c r="B129" s="43">
        <v>120</v>
      </c>
      <c r="C129" s="42">
        <v>0</v>
      </c>
      <c r="D129" s="42">
        <f t="shared" si="17"/>
        <v>2.537386097340674E-6</v>
      </c>
      <c r="E129" s="42">
        <f t="shared" si="17"/>
        <v>1.3096383339192624E-3</v>
      </c>
      <c r="F129" s="42">
        <f t="shared" si="17"/>
        <v>9.4249920707859623E-3</v>
      </c>
      <c r="G129" s="42">
        <f t="shared" si="17"/>
        <v>2.3844899736231683E-2</v>
      </c>
      <c r="H129" s="42">
        <f t="shared" si="17"/>
        <v>4.0055314052932812E-2</v>
      </c>
    </row>
  </sheetData>
  <printOptions gridLines="1" gridLinesSet="0"/>
  <pageMargins left="0.75" right="0.75" top="1" bottom="1" header="0.5" footer="0.5"/>
  <pageSetup scale="75" orientation="portrait" horizontalDpi="4294967292" r:id="rId1"/>
  <headerFooter alignWithMargins="0">
    <oddHeader>&amp;A</oddHeader>
    <oddFooter>Page &amp;P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BU1045"/>
  <sheetViews>
    <sheetView tabSelected="1" topLeftCell="AB1" zoomScale="60" zoomScaleNormal="60" workbookViewId="0">
      <selection activeCell="AW14" sqref="AW14"/>
    </sheetView>
  </sheetViews>
  <sheetFormatPr defaultRowHeight="14.4" x14ac:dyDescent="0.3"/>
  <cols>
    <col min="8" max="9" width="11" customWidth="1"/>
    <col min="10" max="10" width="8.88671875" style="1"/>
    <col min="12" max="14" width="11.5546875" customWidth="1"/>
    <col min="15" max="15" width="10.44140625" customWidth="1"/>
    <col min="16" max="16" width="11.6640625" customWidth="1"/>
    <col min="17" max="17" width="11.109375" customWidth="1"/>
    <col min="18" max="18" width="7.6640625" customWidth="1"/>
    <col min="19" max="19" width="12.44140625" customWidth="1"/>
    <col min="21" max="21" width="7.88671875" style="1" customWidth="1"/>
    <col min="22" max="22" width="8.88671875" style="1"/>
    <col min="23" max="23" width="10.33203125" style="1" customWidth="1"/>
    <col min="24" max="24" width="10.33203125" customWidth="1"/>
    <col min="25" max="25" width="12" bestFit="1" customWidth="1"/>
    <col min="28" max="28" width="17.88671875" bestFit="1" customWidth="1"/>
    <col min="29" max="29" width="9.5546875" bestFit="1" customWidth="1"/>
    <col min="30" max="32" width="9.6640625" bestFit="1" customWidth="1"/>
    <col min="33" max="33" width="14" customWidth="1"/>
    <col min="34" max="34" width="15.44140625" customWidth="1"/>
    <col min="36" max="36" width="10.5546875" bestFit="1" customWidth="1"/>
    <col min="38" max="38" width="12" bestFit="1" customWidth="1"/>
    <col min="40" max="40" width="20.109375" customWidth="1"/>
    <col min="43" max="43" width="10" customWidth="1"/>
    <col min="46" max="46" width="8.33203125" customWidth="1"/>
    <col min="47" max="47" width="6.33203125" customWidth="1"/>
    <col min="48" max="48" width="5.109375" customWidth="1"/>
    <col min="49" max="49" width="8.44140625" bestFit="1" customWidth="1"/>
    <col min="50" max="50" width="6.88671875" customWidth="1"/>
    <col min="51" max="51" width="4.5546875" customWidth="1"/>
    <col min="52" max="52" width="5.6640625" customWidth="1"/>
    <col min="53" max="53" width="6.88671875" customWidth="1"/>
    <col min="54" max="54" width="9.33203125" customWidth="1"/>
    <col min="55" max="55" width="7.44140625" customWidth="1"/>
    <col min="56" max="57" width="5.44140625" customWidth="1"/>
  </cols>
  <sheetData>
    <row r="1" spans="1:50" x14ac:dyDescent="0.3">
      <c r="A1" t="s">
        <v>0</v>
      </c>
      <c r="AB1" s="2" t="s">
        <v>1</v>
      </c>
      <c r="AC1" s="3">
        <f>AVERAGE(AC6:AC1005)</f>
        <v>0.5063606909544226</v>
      </c>
      <c r="AD1" s="3">
        <f t="shared" ref="AD1:AL1" si="0">AVERAGE(AD6:AD1005)</f>
        <v>1.3746853369423844</v>
      </c>
      <c r="AE1" s="3">
        <f t="shared" si="0"/>
        <v>0.95009286820112115</v>
      </c>
      <c r="AF1" s="3">
        <f t="shared" si="0"/>
        <v>5.122644334803611E-2</v>
      </c>
      <c r="AG1" s="3">
        <f t="shared" si="0"/>
        <v>122.00217384900616</v>
      </c>
      <c r="AH1" s="3">
        <f t="shared" si="0"/>
        <v>1.0105348946140742</v>
      </c>
      <c r="AI1" s="3">
        <f t="shared" si="0"/>
        <v>508.23774745345702</v>
      </c>
      <c r="AJ1" s="3">
        <f t="shared" si="0"/>
        <v>1783.7204841046848</v>
      </c>
      <c r="AK1" s="3">
        <f t="shared" si="0"/>
        <v>320</v>
      </c>
      <c r="AL1" s="3">
        <f t="shared" si="0"/>
        <v>0.54927800417404693</v>
      </c>
      <c r="AN1" s="4" t="s">
        <v>2</v>
      </c>
    </row>
    <row r="2" spans="1:50" x14ac:dyDescent="0.3">
      <c r="A2" s="5" t="s">
        <v>3</v>
      </c>
      <c r="B2" s="5"/>
      <c r="C2" s="6" t="s">
        <v>4</v>
      </c>
      <c r="D2" s="6"/>
      <c r="F2" t="s">
        <v>5</v>
      </c>
      <c r="J2"/>
      <c r="AB2" s="2" t="s">
        <v>6</v>
      </c>
      <c r="AC2" s="1">
        <f t="shared" ref="AC2:AK2" si="1">STDEV(AC6:AC1005)</f>
        <v>0.22478318372579165</v>
      </c>
      <c r="AD2" s="1">
        <f t="shared" si="1"/>
        <v>1.5520218769444343</v>
      </c>
      <c r="AE2" s="7">
        <f t="shared" si="1"/>
        <v>7.475617139993538E-3</v>
      </c>
      <c r="AF2" s="7">
        <f t="shared" si="1"/>
        <v>7.8637954075191415E-3</v>
      </c>
      <c r="AG2" s="1">
        <f t="shared" si="1"/>
        <v>6.9364341380117471</v>
      </c>
      <c r="AH2" s="1">
        <f t="shared" si="1"/>
        <v>1.9809253491601815</v>
      </c>
      <c r="AI2" s="1">
        <f t="shared" si="1"/>
        <v>4581.3541401099192</v>
      </c>
      <c r="AJ2" s="1">
        <f t="shared" si="1"/>
        <v>26.566392069450767</v>
      </c>
      <c r="AK2" s="1">
        <f t="shared" si="1"/>
        <v>0</v>
      </c>
      <c r="AL2" s="1">
        <f>STDEV(AL6:AL1005)</f>
        <v>1.1348235366707942</v>
      </c>
      <c r="AN2" s="3" t="s">
        <v>7</v>
      </c>
      <c r="AT2" s="1" t="e">
        <v>#DIV/0!</v>
      </c>
    </row>
    <row r="3" spans="1:50" x14ac:dyDescent="0.3">
      <c r="A3" s="5" t="s">
        <v>8</v>
      </c>
      <c r="B3" s="8">
        <v>0.5</v>
      </c>
      <c r="C3" s="6" t="s">
        <v>9</v>
      </c>
      <c r="D3" s="9">
        <f>alpha_T*gamma_T+1-rho_T</f>
        <v>0.55000000000000004</v>
      </c>
      <c r="F3" s="7">
        <v>0.6</v>
      </c>
      <c r="AB3" t="b">
        <v>1</v>
      </c>
      <c r="AC3" s="7">
        <f>gamma_T</f>
        <v>0.5</v>
      </c>
      <c r="AD3" s="1">
        <f>alpha_T</f>
        <v>1</v>
      </c>
      <c r="AE3" s="7">
        <f>rho_T</f>
        <v>0.95</v>
      </c>
      <c r="AF3" s="7">
        <f>kappa_T</f>
        <v>5.1293294387550578E-2</v>
      </c>
      <c r="AG3" s="10">
        <f>Y_inf_T</f>
        <v>120.9999999999998</v>
      </c>
      <c r="AH3" s="11">
        <f>alpha_T*gamma_T+(1-rho_T)</f>
        <v>0.55000000000000004</v>
      </c>
      <c r="AJ3" s="7"/>
      <c r="AL3">
        <f>sigma_eps_T</f>
        <v>0.3</v>
      </c>
      <c r="AT3" s="7">
        <v>0.5</v>
      </c>
    </row>
    <row r="4" spans="1:50" x14ac:dyDescent="0.3">
      <c r="A4" s="5" t="s">
        <v>10</v>
      </c>
      <c r="B4" s="12">
        <v>1</v>
      </c>
      <c r="C4" s="6" t="s">
        <v>11</v>
      </c>
      <c r="D4" s="6">
        <f>(alphatilde_T/(1-rho_T))^(1/gamma_T)</f>
        <v>120.9999999999998</v>
      </c>
      <c r="F4">
        <v>1</v>
      </c>
      <c r="Z4" s="13" t="s">
        <v>12</v>
      </c>
      <c r="AA4" s="14"/>
      <c r="AB4" s="15" t="s">
        <v>13</v>
      </c>
      <c r="AC4" s="16" t="s">
        <v>8</v>
      </c>
      <c r="AD4" s="16" t="s">
        <v>10</v>
      </c>
      <c r="AE4" s="16" t="s">
        <v>14</v>
      </c>
      <c r="AF4" s="16" t="s">
        <v>15</v>
      </c>
      <c r="AG4" s="17" t="s">
        <v>11</v>
      </c>
      <c r="AH4" s="16" t="s">
        <v>9</v>
      </c>
      <c r="AI4" s="16" t="s">
        <v>16</v>
      </c>
      <c r="AJ4" s="16" t="s">
        <v>17</v>
      </c>
      <c r="AK4" s="16" t="s">
        <v>18</v>
      </c>
      <c r="AL4" s="16" t="s">
        <v>19</v>
      </c>
      <c r="AM4" s="16" t="s">
        <v>20</v>
      </c>
      <c r="AO4" s="13" t="s">
        <v>12</v>
      </c>
      <c r="AP4" s="14"/>
      <c r="AT4" t="s">
        <v>8</v>
      </c>
    </row>
    <row r="5" spans="1:50" ht="40.5" customHeight="1" x14ac:dyDescent="0.3">
      <c r="A5" s="5" t="s">
        <v>14</v>
      </c>
      <c r="B5" s="8">
        <v>0.95</v>
      </c>
      <c r="C5" s="6" t="s">
        <v>21</v>
      </c>
      <c r="D5" s="18">
        <f>-LN(B5)</f>
        <v>5.1293294387550578E-2</v>
      </c>
      <c r="F5">
        <v>0.93</v>
      </c>
      <c r="G5" t="s">
        <v>14</v>
      </c>
      <c r="Z5" s="13" t="s">
        <v>12</v>
      </c>
      <c r="AA5" s="19"/>
      <c r="AB5" s="15" t="s">
        <v>22</v>
      </c>
      <c r="AC5" s="7">
        <v>0.30657164556152122</v>
      </c>
      <c r="AD5">
        <v>0.61529395455944114</v>
      </c>
      <c r="AE5">
        <v>0.94252860801925142</v>
      </c>
      <c r="AF5" s="20">
        <f>-LN(rho)</f>
        <v>5.918900678454863E-2</v>
      </c>
      <c r="AG5" s="10">
        <f>(alphatilde/(1-rho))^(1/gamma)</f>
        <v>114.92556229209748</v>
      </c>
      <c r="AH5" s="11">
        <f>alpha*gamma+(1-rho)</f>
        <v>0.2461030721340923</v>
      </c>
      <c r="AI5" s="21">
        <f t="array" ref="AI5">SUM(W8:W327/V8:V327)</f>
        <v>4.6550444891080476</v>
      </c>
      <c r="AJ5" s="22">
        <f t="array" ref="AJ5">n*(LN(2*PI()*sig_eps^2)+1)+SUM(LN(V8:V327))-2*(gamma-1)*SUM(LN(P8:P327))</f>
        <v>1743.8084966750268</v>
      </c>
      <c r="AK5" s="15">
        <f>COUNT(P8:P327)</f>
        <v>320</v>
      </c>
      <c r="AL5" s="7">
        <f>SQRT(AI5/n)</f>
        <v>0.12061100293282802</v>
      </c>
      <c r="AM5">
        <f t="array" ref="AM5">SUM(1/V8:V327)</f>
        <v>301.11050576250312</v>
      </c>
      <c r="AN5">
        <f>SQRT(AI5/AM5)</f>
        <v>0.12433659326036083</v>
      </c>
      <c r="AO5" s="13" t="s">
        <v>12</v>
      </c>
      <c r="AP5" s="19"/>
      <c r="AT5" s="7">
        <v>0.42475163923519849</v>
      </c>
    </row>
    <row r="6" spans="1:50" ht="18" customHeight="1" x14ac:dyDescent="0.3">
      <c r="A6" s="5" t="s">
        <v>19</v>
      </c>
      <c r="B6" s="5">
        <v>0.3</v>
      </c>
      <c r="C6" s="6" t="s">
        <v>23</v>
      </c>
      <c r="D6" s="6">
        <f>alpha_T/(1-rho_T)</f>
        <v>19.999999999999982</v>
      </c>
      <c r="H6" s="23" t="s">
        <v>24</v>
      </c>
      <c r="I6" s="23"/>
      <c r="J6" s="24"/>
      <c r="K6" s="25"/>
      <c r="L6" s="26" t="s">
        <v>25</v>
      </c>
      <c r="M6" s="25"/>
      <c r="N6" s="27" t="s">
        <v>26</v>
      </c>
      <c r="O6" s="28"/>
      <c r="P6" s="28" t="s">
        <v>27</v>
      </c>
      <c r="Q6" s="29"/>
      <c r="R6" s="29" t="s">
        <v>28</v>
      </c>
      <c r="S6" s="30" t="s">
        <v>29</v>
      </c>
      <c r="T6" s="30"/>
      <c r="U6" s="31"/>
      <c r="V6" s="31"/>
      <c r="W6" s="31"/>
      <c r="X6" s="30"/>
      <c r="Y6" s="30"/>
      <c r="AB6">
        <v>1</v>
      </c>
      <c r="AC6" s="7">
        <v>0.37541921579557108</v>
      </c>
      <c r="AD6">
        <v>0.60388582880525288</v>
      </c>
      <c r="AE6">
        <v>0.95682560082568924</v>
      </c>
      <c r="AF6" s="7">
        <v>4.4134139427911966E-2</v>
      </c>
      <c r="AG6" s="10">
        <v>131.87685975566535</v>
      </c>
      <c r="AH6" s="1">
        <v>0.26988474345443725</v>
      </c>
      <c r="AI6" s="10">
        <v>8.8502372527285704</v>
      </c>
      <c r="AJ6" s="32">
        <v>1766.0147666097118</v>
      </c>
      <c r="AK6">
        <v>320</v>
      </c>
      <c r="AL6" s="7">
        <v>0.16630391280657464</v>
      </c>
      <c r="AT6" s="7"/>
    </row>
    <row r="7" spans="1:50" s="2" customFormat="1" ht="17.25" customHeight="1" thickBot="1" x14ac:dyDescent="0.35">
      <c r="A7" s="2" t="s">
        <v>30</v>
      </c>
      <c r="B7" s="2" t="s">
        <v>31</v>
      </c>
      <c r="C7" s="2" t="s">
        <v>32</v>
      </c>
      <c r="D7" s="2" t="s">
        <v>33</v>
      </c>
      <c r="E7" s="2" t="s">
        <v>34</v>
      </c>
      <c r="F7" s="2" t="s">
        <v>35</v>
      </c>
      <c r="G7" s="2" t="s">
        <v>36</v>
      </c>
      <c r="H7" s="33" t="s">
        <v>37</v>
      </c>
      <c r="I7" s="33" t="s">
        <v>38</v>
      </c>
      <c r="J7" s="34" t="s">
        <v>39</v>
      </c>
      <c r="K7" s="33" t="s">
        <v>40</v>
      </c>
      <c r="L7" s="26" t="s">
        <v>41</v>
      </c>
      <c r="M7" s="26" t="s">
        <v>42</v>
      </c>
      <c r="N7" s="28" t="s">
        <v>43</v>
      </c>
      <c r="O7" s="28" t="s">
        <v>44</v>
      </c>
      <c r="P7" s="28" t="s">
        <v>45</v>
      </c>
      <c r="Q7" s="35" t="s">
        <v>46</v>
      </c>
      <c r="R7" s="36" t="s">
        <v>47</v>
      </c>
      <c r="S7" s="37" t="s">
        <v>38</v>
      </c>
      <c r="T7" s="37" t="s">
        <v>48</v>
      </c>
      <c r="U7" s="38" t="s">
        <v>49</v>
      </c>
      <c r="V7" s="38" t="s">
        <v>50</v>
      </c>
      <c r="W7" s="38" t="s">
        <v>51</v>
      </c>
      <c r="X7" s="37" t="s">
        <v>52</v>
      </c>
      <c r="Y7" s="37" t="s">
        <v>53</v>
      </c>
      <c r="Z7"/>
      <c r="AA7"/>
      <c r="AB7">
        <v>2</v>
      </c>
      <c r="AC7" s="7">
        <v>0.50987744744342256</v>
      </c>
      <c r="AD7">
        <v>1.1014278474200638</v>
      </c>
      <c r="AE7">
        <v>0.94576280582387717</v>
      </c>
      <c r="AF7" s="7">
        <v>5.5763475170632015E-2</v>
      </c>
      <c r="AG7" s="10">
        <v>117.34001700558869</v>
      </c>
      <c r="AH7" s="1">
        <v>0.61583041356176849</v>
      </c>
      <c r="AI7" s="10">
        <v>29.967954435992105</v>
      </c>
      <c r="AJ7" s="32">
        <v>1770.260200199602</v>
      </c>
      <c r="AK7">
        <v>320</v>
      </c>
      <c r="AL7" s="7">
        <v>0.30602264231993576</v>
      </c>
      <c r="AM7"/>
      <c r="AN7" s="10" t="s">
        <v>77</v>
      </c>
      <c r="AO7"/>
      <c r="AP7"/>
      <c r="AQ7"/>
      <c r="AR7"/>
      <c r="AS7"/>
      <c r="AT7" s="7"/>
      <c r="AX7" s="2" t="s">
        <v>80</v>
      </c>
    </row>
    <row r="8" spans="1:50" x14ac:dyDescent="0.3">
      <c r="A8">
        <v>77127</v>
      </c>
      <c r="B8">
        <v>2</v>
      </c>
      <c r="C8">
        <v>8</v>
      </c>
      <c r="D8">
        <v>1982</v>
      </c>
      <c r="E8">
        <v>1</v>
      </c>
      <c r="F8">
        <v>5</v>
      </c>
      <c r="G8">
        <v>1984</v>
      </c>
      <c r="H8">
        <v>73</v>
      </c>
      <c r="I8" s="32">
        <f t="shared" ref="I8:I71" si="2">(H8^gamma_T-1)/gamma_T</f>
        <v>15.088007490635061</v>
      </c>
      <c r="J8" s="1">
        <v>1.74794520547945</v>
      </c>
      <c r="K8" s="32">
        <f t="shared" ref="K8:K71" si="3">alpha_T*(1-rho_T^J8)/(1-rho_T)+I8*rho_T^J8</f>
        <v>15.509240694202141</v>
      </c>
      <c r="L8" s="32">
        <f>(gamma_T*K8+1)^(1/gamma_T)</f>
        <v>76.643377421876068</v>
      </c>
      <c r="M8" s="1">
        <f t="shared" ref="M8:M71" si="4">sigma_eps_T^2*(1-rho_T^(2*J8))/(1-rho_T^2)</f>
        <v>0.15153050553307132</v>
      </c>
      <c r="N8">
        <v>1.3486965144693386</v>
      </c>
      <c r="O8" s="32">
        <f>K8+N8*SQRT(M8)</f>
        <v>16.034246699575242</v>
      </c>
      <c r="P8" s="32">
        <f t="shared" ref="P8:P71" si="5">(gamma_T*O8+1)^(1/gamma_T)</f>
        <v>81.30851350528512</v>
      </c>
      <c r="Q8">
        <v>29</v>
      </c>
      <c r="R8">
        <v>102</v>
      </c>
      <c r="S8" s="32">
        <f t="shared" ref="S8:S71" si="6">(H8^gamma-1)/gamma</f>
        <v>8.8918605482504951</v>
      </c>
      <c r="T8" s="1">
        <f t="shared" ref="T8:T71" si="7">(P8^gamma-1)/gamma</f>
        <v>9.3001998366761462</v>
      </c>
      <c r="U8" s="1">
        <f>alpha*(1-rho^J8)/(1-rho)+rho^J8*S8</f>
        <v>9.0701760644550653</v>
      </c>
      <c r="V8" s="1">
        <f t="shared" ref="V8:V71" si="8">(1-rho^(2*J8))/(1-rho^2)</f>
        <v>1.674258371412146</v>
      </c>
      <c r="W8" s="1">
        <f>(T8-U8)^2</f>
        <v>5.291093578681573E-2</v>
      </c>
      <c r="X8" s="1">
        <f>T8-U8</f>
        <v>0.23002377222108095</v>
      </c>
      <c r="Y8" s="39">
        <f t="shared" ref="Y8:Y71" si="9">(U8*gamma+1)^(1/gamma)</f>
        <v>76.551900896221881</v>
      </c>
      <c r="AB8">
        <v>3</v>
      </c>
      <c r="AC8" s="7">
        <v>0.4706574451130468</v>
      </c>
      <c r="AD8">
        <v>0.89617859201081485</v>
      </c>
      <c r="AE8">
        <v>0.95092286641281532</v>
      </c>
      <c r="AF8" s="7">
        <v>5.0322327599127852E-2</v>
      </c>
      <c r="AG8" s="10">
        <v>122.03658372449449</v>
      </c>
      <c r="AH8" s="1">
        <v>0.47087026006800231</v>
      </c>
      <c r="AI8" s="10">
        <v>18.933820161204547</v>
      </c>
      <c r="AJ8" s="32">
        <v>1736.7630960991119</v>
      </c>
      <c r="AK8">
        <v>320</v>
      </c>
      <c r="AL8" s="7">
        <v>0.24324511917768094</v>
      </c>
      <c r="AN8">
        <v>0.1</v>
      </c>
      <c r="AP8" s="63" t="s">
        <v>77</v>
      </c>
      <c r="AQ8" s="63" t="s">
        <v>79</v>
      </c>
      <c r="AT8" s="7"/>
      <c r="AW8" t="s">
        <v>8</v>
      </c>
      <c r="AX8" s="1">
        <f>AC2/AC1</f>
        <v>0.44391910300561688</v>
      </c>
    </row>
    <row r="9" spans="1:50" x14ac:dyDescent="0.3">
      <c r="A9">
        <v>79449</v>
      </c>
      <c r="B9">
        <v>4</v>
      </c>
      <c r="C9">
        <v>9</v>
      </c>
      <c r="D9">
        <v>1982</v>
      </c>
      <c r="E9">
        <v>9</v>
      </c>
      <c r="F9">
        <v>5</v>
      </c>
      <c r="G9">
        <v>1986</v>
      </c>
      <c r="H9">
        <v>65</v>
      </c>
      <c r="I9" s="32">
        <f t="shared" si="2"/>
        <v>14.124515496597098</v>
      </c>
      <c r="J9" s="1">
        <v>3.67945205479452</v>
      </c>
      <c r="K9" s="32">
        <f t="shared" si="3"/>
        <v>15.135045768611194</v>
      </c>
      <c r="L9" s="32">
        <f t="shared" ref="L9:L71" si="10">(gamma_T*K9+1)^(1/gamma_T)</f>
        <v>73.402448373100086</v>
      </c>
      <c r="M9" s="1">
        <f t="shared" si="4"/>
        <v>0.29021634856677753</v>
      </c>
      <c r="N9">
        <v>-1.601270014361944</v>
      </c>
      <c r="O9" s="32">
        <f t="shared" ref="O9:O72" si="11">K9+N9*SQRT(M9)</f>
        <v>14.272413881297789</v>
      </c>
      <c r="P9" s="32">
        <f t="shared" si="5"/>
        <v>66.197863381063229</v>
      </c>
      <c r="Q9">
        <v>23</v>
      </c>
      <c r="R9">
        <v>88</v>
      </c>
      <c r="S9" s="32">
        <f t="shared" si="6"/>
        <v>8.4669809135353606</v>
      </c>
      <c r="T9" s="1">
        <f t="shared" si="7"/>
        <v>8.5328264952946693</v>
      </c>
      <c r="U9" s="1">
        <f t="shared" ref="U9:U71" si="12">alpha*(1-rho^J9)/(1-rho)+(rho^J9)*S9</f>
        <v>8.9051750664308997</v>
      </c>
      <c r="V9" s="1">
        <f t="shared" si="8"/>
        <v>3.1628653387005263</v>
      </c>
      <c r="W9" s="1">
        <f t="shared" ref="W9:W72" si="13">(T9-U9)^2</f>
        <v>0.13864345842719245</v>
      </c>
      <c r="X9" s="1">
        <f t="shared" ref="X9:X72" si="14">T9-U9</f>
        <v>-0.37234857113623043</v>
      </c>
      <c r="Y9" s="39">
        <f t="shared" si="9"/>
        <v>73.261182662689691</v>
      </c>
      <c r="AB9">
        <v>4</v>
      </c>
      <c r="AC9" s="7">
        <v>0.52216596263029258</v>
      </c>
      <c r="AD9">
        <v>1.088620394473597</v>
      </c>
      <c r="AE9">
        <v>0.94879777572110036</v>
      </c>
      <c r="AF9" s="7">
        <v>5.2559595048864545E-2</v>
      </c>
      <c r="AG9" s="10">
        <v>118.51431855229485</v>
      </c>
      <c r="AH9" s="1">
        <v>0.61964274049817425</v>
      </c>
      <c r="AI9" s="10">
        <v>36.977081958173997</v>
      </c>
      <c r="AJ9" s="32">
        <v>1804.2160775423922</v>
      </c>
      <c r="AK9">
        <v>320</v>
      </c>
      <c r="AL9" s="7">
        <v>0.33993143590920472</v>
      </c>
      <c r="AN9">
        <v>0.2</v>
      </c>
      <c r="AP9" s="60">
        <v>0.1</v>
      </c>
      <c r="AQ9" s="61">
        <v>23</v>
      </c>
      <c r="AT9" s="7"/>
      <c r="AW9" t="s">
        <v>10</v>
      </c>
      <c r="AX9" s="1">
        <f>AD2/AD1</f>
        <v>1.1290015505631907</v>
      </c>
    </row>
    <row r="10" spans="1:50" x14ac:dyDescent="0.3">
      <c r="A10">
        <v>76645</v>
      </c>
      <c r="B10">
        <v>30</v>
      </c>
      <c r="C10">
        <v>7</v>
      </c>
      <c r="D10">
        <v>1982</v>
      </c>
      <c r="E10">
        <v>21</v>
      </c>
      <c r="F10">
        <v>8</v>
      </c>
      <c r="G10">
        <v>1984</v>
      </c>
      <c r="H10">
        <v>55</v>
      </c>
      <c r="I10" s="32">
        <f t="shared" si="2"/>
        <v>12.832396974191326</v>
      </c>
      <c r="J10" s="1">
        <v>2.0630136986301402</v>
      </c>
      <c r="K10" s="32">
        <f t="shared" si="3"/>
        <v>13.55211271959001</v>
      </c>
      <c r="L10" s="32">
        <f t="shared" si="10"/>
        <v>60.467052510708342</v>
      </c>
      <c r="M10" s="1">
        <f t="shared" si="4"/>
        <v>0.17606956640764954</v>
      </c>
      <c r="N10">
        <v>-0.55797499953769147</v>
      </c>
      <c r="O10" s="32">
        <f t="shared" si="11"/>
        <v>13.317982815149643</v>
      </c>
      <c r="P10" s="32">
        <f t="shared" si="5"/>
        <v>58.66014938130494</v>
      </c>
      <c r="Q10">
        <v>9</v>
      </c>
      <c r="R10">
        <v>64</v>
      </c>
      <c r="S10" s="32">
        <f t="shared" si="6"/>
        <v>7.8814209124336854</v>
      </c>
      <c r="T10" s="1">
        <f t="shared" si="7"/>
        <v>8.1037072121851139</v>
      </c>
      <c r="U10" s="1">
        <f t="shared" si="12"/>
        <v>8.2061082268311782</v>
      </c>
      <c r="V10" s="1">
        <f t="shared" si="8"/>
        <v>1.9408948767232712</v>
      </c>
      <c r="W10" s="1">
        <f t="shared" si="13"/>
        <v>1.0485967800543481E-2</v>
      </c>
      <c r="X10" s="1">
        <f t="shared" si="14"/>
        <v>-0.10240101464606433</v>
      </c>
      <c r="Y10" s="39">
        <f t="shared" si="9"/>
        <v>60.4017276723633</v>
      </c>
      <c r="AB10">
        <v>5</v>
      </c>
      <c r="AC10" s="7">
        <v>0.54632912920201337</v>
      </c>
      <c r="AD10">
        <v>1.170285300603588</v>
      </c>
      <c r="AE10">
        <v>0.94920446192163099</v>
      </c>
      <c r="AF10" s="7">
        <v>5.2131053713465859E-2</v>
      </c>
      <c r="AG10" s="10">
        <v>118.59456535617883</v>
      </c>
      <c r="AH10" s="1">
        <v>0.69015648727504375</v>
      </c>
      <c r="AI10" s="10">
        <v>41.919989907505929</v>
      </c>
      <c r="AJ10" s="32">
        <v>1776.6057822084927</v>
      </c>
      <c r="AK10">
        <v>320</v>
      </c>
      <c r="AL10" s="7">
        <v>0.36193917784754392</v>
      </c>
      <c r="AN10">
        <v>0.3</v>
      </c>
      <c r="AP10" s="60">
        <v>0.2</v>
      </c>
      <c r="AQ10" s="61">
        <v>61</v>
      </c>
      <c r="AT10" s="7"/>
      <c r="AW10" t="s">
        <v>14</v>
      </c>
      <c r="AX10" s="1">
        <f>AE2/AE1</f>
        <v>7.8683014999866904E-3</v>
      </c>
    </row>
    <row r="11" spans="1:50" x14ac:dyDescent="0.3">
      <c r="A11">
        <v>76727</v>
      </c>
      <c r="B11">
        <v>30</v>
      </c>
      <c r="C11">
        <v>7</v>
      </c>
      <c r="D11">
        <v>1982</v>
      </c>
      <c r="E11">
        <v>20</v>
      </c>
      <c r="F11">
        <v>6</v>
      </c>
      <c r="G11">
        <v>1987</v>
      </c>
      <c r="H11">
        <v>67</v>
      </c>
      <c r="I11" s="32">
        <f t="shared" si="2"/>
        <v>14.370705543744901</v>
      </c>
      <c r="J11" s="1">
        <v>4.8931506849315101</v>
      </c>
      <c r="K11" s="32">
        <f t="shared" si="3"/>
        <v>15.620220865827307</v>
      </c>
      <c r="L11" s="32">
        <f t="shared" si="10"/>
        <v>77.618045840134002</v>
      </c>
      <c r="M11" s="1">
        <f t="shared" si="4"/>
        <v>0.36430524972126055</v>
      </c>
      <c r="N11">
        <v>-1.1553856893442571</v>
      </c>
      <c r="O11" s="32">
        <f t="shared" si="11"/>
        <v>14.922856585167454</v>
      </c>
      <c r="P11" s="32">
        <f t="shared" si="5"/>
        <v>71.595768750536351</v>
      </c>
      <c r="Q11">
        <v>25</v>
      </c>
      <c r="R11">
        <v>92</v>
      </c>
      <c r="S11" s="32">
        <f t="shared" si="6"/>
        <v>8.5764587365829126</v>
      </c>
      <c r="T11" s="1">
        <f t="shared" si="7"/>
        <v>8.8197039165141025</v>
      </c>
      <c r="U11" s="1">
        <f t="shared" si="12"/>
        <v>9.1119602814328964</v>
      </c>
      <c r="V11" s="1">
        <f t="shared" si="8"/>
        <v>3.9383506164282438</v>
      </c>
      <c r="W11" s="1">
        <f t="shared" si="13"/>
        <v>8.5413782835547236E-2</v>
      </c>
      <c r="X11" s="1">
        <f t="shared" si="14"/>
        <v>-0.29225636491879392</v>
      </c>
      <c r="Y11" s="39">
        <f t="shared" si="9"/>
        <v>77.401206768728358</v>
      </c>
      <c r="AB11">
        <v>6</v>
      </c>
      <c r="AC11" s="7">
        <v>0.50109874858187609</v>
      </c>
      <c r="AD11">
        <v>0.89685624863271762</v>
      </c>
      <c r="AE11">
        <v>0.95718551065313418</v>
      </c>
      <c r="AF11" s="7">
        <v>4.3758060282364203E-2</v>
      </c>
      <c r="AG11" s="10">
        <v>130.76759834005168</v>
      </c>
      <c r="AH11" s="1">
        <v>0.49222803319455655</v>
      </c>
      <c r="AI11" s="10">
        <v>28.697430990266046</v>
      </c>
      <c r="AJ11" s="32">
        <v>1788.8791509821326</v>
      </c>
      <c r="AK11">
        <v>320</v>
      </c>
      <c r="AL11" s="7">
        <v>0.2994653099184969</v>
      </c>
      <c r="AN11">
        <v>0.4</v>
      </c>
      <c r="AP11" s="60">
        <v>0.3</v>
      </c>
      <c r="AQ11" s="61">
        <v>79</v>
      </c>
      <c r="AT11" s="7"/>
      <c r="AX11" s="7"/>
    </row>
    <row r="12" spans="1:50" x14ac:dyDescent="0.3">
      <c r="A12">
        <v>20664</v>
      </c>
      <c r="B12">
        <v>23</v>
      </c>
      <c r="C12">
        <v>1</v>
      </c>
      <c r="D12">
        <v>1982</v>
      </c>
      <c r="E12">
        <v>5</v>
      </c>
      <c r="F12">
        <v>5</v>
      </c>
      <c r="G12">
        <v>1986</v>
      </c>
      <c r="H12">
        <v>78</v>
      </c>
      <c r="I12" s="32">
        <f t="shared" si="2"/>
        <v>15.663521732655695</v>
      </c>
      <c r="J12" s="1">
        <v>4.2821917808219201</v>
      </c>
      <c r="K12" s="32">
        <f t="shared" si="3"/>
        <v>16.518668498691891</v>
      </c>
      <c r="L12" s="32">
        <f t="shared" si="10"/>
        <v>85.735270741110853</v>
      </c>
      <c r="M12" s="1">
        <f t="shared" si="4"/>
        <v>0.32816276438395092</v>
      </c>
      <c r="N12">
        <v>1.4072020348976366</v>
      </c>
      <c r="O12" s="32">
        <f t="shared" si="11"/>
        <v>17.324791113977533</v>
      </c>
      <c r="P12" s="32">
        <f t="shared" si="5"/>
        <v>93.361887899716251</v>
      </c>
      <c r="Q12">
        <v>48</v>
      </c>
      <c r="R12">
        <v>126</v>
      </c>
      <c r="S12" s="32">
        <f t="shared" si="6"/>
        <v>9.1412290377968759</v>
      </c>
      <c r="T12" s="1">
        <f t="shared" si="7"/>
        <v>9.8439988870444992</v>
      </c>
      <c r="U12" s="1">
        <f t="shared" si="12"/>
        <v>9.4915831513668536</v>
      </c>
      <c r="V12" s="1">
        <f t="shared" si="8"/>
        <v>3.561905066871299</v>
      </c>
      <c r="W12" s="1">
        <f t="shared" si="13"/>
        <v>0.12419685075321618</v>
      </c>
      <c r="X12" s="1">
        <f t="shared" si="14"/>
        <v>0.35241573567764561</v>
      </c>
      <c r="Y12" s="39">
        <f t="shared" si="9"/>
        <v>85.419185655740208</v>
      </c>
      <c r="AB12">
        <v>7</v>
      </c>
      <c r="AC12" s="7">
        <v>0.48658676744087709</v>
      </c>
      <c r="AD12">
        <v>0.84497602828973684</v>
      </c>
      <c r="AE12">
        <v>0.9569504051413571</v>
      </c>
      <c r="AF12" s="7">
        <v>4.4003712130824275E-2</v>
      </c>
      <c r="AG12" s="10">
        <v>126.75899251635192</v>
      </c>
      <c r="AH12" s="1">
        <v>0.45420374902917704</v>
      </c>
      <c r="AI12" s="10">
        <v>25.438720752981695</v>
      </c>
      <c r="AJ12" s="32">
        <v>1789.3344002040672</v>
      </c>
      <c r="AK12">
        <v>320</v>
      </c>
      <c r="AL12" s="7">
        <v>0.28195035441202726</v>
      </c>
      <c r="AN12">
        <v>0.5</v>
      </c>
      <c r="AP12" s="60">
        <v>0.4</v>
      </c>
      <c r="AQ12" s="61">
        <v>170</v>
      </c>
      <c r="AT12" s="7"/>
      <c r="AX12" s="10"/>
    </row>
    <row r="13" spans="1:50" x14ac:dyDescent="0.3">
      <c r="A13">
        <v>78886</v>
      </c>
      <c r="B13">
        <v>27</v>
      </c>
      <c r="C13">
        <v>7</v>
      </c>
      <c r="D13">
        <v>1982</v>
      </c>
      <c r="E13">
        <v>29</v>
      </c>
      <c r="F13">
        <v>4</v>
      </c>
      <c r="G13">
        <v>1984</v>
      </c>
      <c r="H13">
        <v>84</v>
      </c>
      <c r="I13" s="32">
        <f t="shared" si="2"/>
        <v>16.330302779823359</v>
      </c>
      <c r="J13" s="1">
        <v>1.7589041095890401</v>
      </c>
      <c r="K13" s="32">
        <f t="shared" si="3"/>
        <v>16.646886990018416</v>
      </c>
      <c r="L13" s="32">
        <f t="shared" si="10"/>
        <v>86.926598604629518</v>
      </c>
      <c r="M13" s="1">
        <f t="shared" si="4"/>
        <v>0.15239741884688821</v>
      </c>
      <c r="N13">
        <v>-0.30063233680266421</v>
      </c>
      <c r="O13" s="32">
        <f t="shared" si="11"/>
        <v>16.529525801671319</v>
      </c>
      <c r="P13" s="32">
        <f t="shared" si="5"/>
        <v>85.835831608700786</v>
      </c>
      <c r="Q13">
        <v>11</v>
      </c>
      <c r="R13">
        <v>95</v>
      </c>
      <c r="S13" s="32">
        <f t="shared" si="6"/>
        <v>9.4262457208818446</v>
      </c>
      <c r="T13" s="1">
        <f t="shared" si="7"/>
        <v>9.5106219177443592</v>
      </c>
      <c r="U13" s="1">
        <f t="shared" si="12"/>
        <v>9.5527863795788992</v>
      </c>
      <c r="V13" s="1">
        <f t="shared" si="8"/>
        <v>1.6837005866149457</v>
      </c>
      <c r="W13" s="1">
        <f t="shared" si="13"/>
        <v>1.7778418417963831E-3</v>
      </c>
      <c r="X13" s="1">
        <f t="shared" si="14"/>
        <v>-4.2164461834540035E-2</v>
      </c>
      <c r="Y13" s="39">
        <f t="shared" si="9"/>
        <v>86.763574960046611</v>
      </c>
      <c r="AB13">
        <v>8</v>
      </c>
      <c r="AC13" s="7">
        <v>0.44016219398670114</v>
      </c>
      <c r="AD13">
        <v>0.94235360890895381</v>
      </c>
      <c r="AE13">
        <v>0.94244446798075499</v>
      </c>
      <c r="AF13" s="7">
        <v>5.9278281310135877E-2</v>
      </c>
      <c r="AG13" s="10">
        <v>119.37034473441491</v>
      </c>
      <c r="AH13" s="1">
        <v>0.47234396402789586</v>
      </c>
      <c r="AI13" s="10">
        <v>18.278151561515621</v>
      </c>
      <c r="AJ13" s="32">
        <v>1808.6935965305329</v>
      </c>
      <c r="AK13">
        <v>320</v>
      </c>
      <c r="AL13" s="7">
        <v>0.23899628371532541</v>
      </c>
      <c r="AN13">
        <v>0.6</v>
      </c>
      <c r="AP13" s="60">
        <v>0.5</v>
      </c>
      <c r="AQ13" s="61">
        <v>163</v>
      </c>
      <c r="AT13" s="7"/>
    </row>
    <row r="14" spans="1:50" x14ac:dyDescent="0.3">
      <c r="A14">
        <v>78771</v>
      </c>
      <c r="B14">
        <v>25</v>
      </c>
      <c r="C14">
        <v>7</v>
      </c>
      <c r="D14">
        <v>1982</v>
      </c>
      <c r="E14">
        <v>5</v>
      </c>
      <c r="F14">
        <v>6</v>
      </c>
      <c r="G14">
        <v>1983</v>
      </c>
      <c r="H14">
        <v>72</v>
      </c>
      <c r="I14" s="32">
        <f t="shared" si="2"/>
        <v>14.970562748477139</v>
      </c>
      <c r="J14" s="1">
        <v>0.86301369863013699</v>
      </c>
      <c r="K14" s="32">
        <f t="shared" si="3"/>
        <v>15.188344114934392</v>
      </c>
      <c r="L14" s="32">
        <f t="shared" si="10"/>
        <v>73.859793353349929</v>
      </c>
      <c r="M14" s="1">
        <f t="shared" si="4"/>
        <v>7.8210158473224323E-2</v>
      </c>
      <c r="N14">
        <v>0.43428372009657323</v>
      </c>
      <c r="O14" s="32">
        <f t="shared" si="11"/>
        <v>15.309796243964795</v>
      </c>
      <c r="P14" s="32">
        <f t="shared" si="5"/>
        <v>74.907261501894453</v>
      </c>
      <c r="Q14">
        <v>0</v>
      </c>
      <c r="R14">
        <v>72</v>
      </c>
      <c r="S14" s="32">
        <f t="shared" si="6"/>
        <v>8.8405752459119533</v>
      </c>
      <c r="T14" s="1">
        <f t="shared" si="7"/>
        <v>8.98834000865976</v>
      </c>
      <c r="U14" s="1">
        <f t="shared" si="12"/>
        <v>8.9334746235975189</v>
      </c>
      <c r="V14" s="1">
        <f t="shared" si="8"/>
        <v>0.86990991885262769</v>
      </c>
      <c r="W14" s="1">
        <f t="shared" si="13"/>
        <v>3.0102104780279936E-3</v>
      </c>
      <c r="X14" s="1">
        <f t="shared" si="14"/>
        <v>5.4865385062241145E-2</v>
      </c>
      <c r="Y14" s="39">
        <f t="shared" si="9"/>
        <v>73.818468635328088</v>
      </c>
      <c r="AB14">
        <v>9</v>
      </c>
      <c r="AC14" s="7">
        <v>0.23482618967937546</v>
      </c>
      <c r="AD14">
        <v>0.51678051297184291</v>
      </c>
      <c r="AE14">
        <v>0.94042619492962598</v>
      </c>
      <c r="AF14" s="7">
        <v>6.1422107610989034E-2</v>
      </c>
      <c r="AG14" s="10">
        <v>113.36893274335499</v>
      </c>
      <c r="AH14" s="1">
        <v>0.18092740383210495</v>
      </c>
      <c r="AI14" s="10">
        <v>2.8197347175800878</v>
      </c>
      <c r="AJ14" s="32">
        <v>1783.5124912143726</v>
      </c>
      <c r="AK14">
        <v>320</v>
      </c>
      <c r="AL14" s="7">
        <v>9.3870501183480295E-2</v>
      </c>
      <c r="AN14">
        <v>0.7</v>
      </c>
      <c r="AP14" s="60">
        <v>0.6</v>
      </c>
      <c r="AQ14" s="61">
        <v>173</v>
      </c>
      <c r="AT14" s="7"/>
      <c r="AX14" s="1"/>
    </row>
    <row r="15" spans="1:50" x14ac:dyDescent="0.3">
      <c r="A15">
        <v>76971</v>
      </c>
      <c r="B15">
        <v>31</v>
      </c>
      <c r="C15">
        <v>7</v>
      </c>
      <c r="D15">
        <v>1982</v>
      </c>
      <c r="E15">
        <v>2</v>
      </c>
      <c r="F15">
        <v>11</v>
      </c>
      <c r="G15">
        <v>1984</v>
      </c>
      <c r="H15">
        <v>57</v>
      </c>
      <c r="I15" s="32">
        <f t="shared" si="2"/>
        <v>13.0996688705415</v>
      </c>
      <c r="J15" s="1">
        <v>2.2602739726027399</v>
      </c>
      <c r="K15" s="32">
        <f t="shared" si="3"/>
        <v>13.855038351211803</v>
      </c>
      <c r="L15" s="32">
        <f t="shared" si="10"/>
        <v>62.845560279599276</v>
      </c>
      <c r="M15" s="1">
        <f t="shared" si="4"/>
        <v>0.19103427492837172</v>
      </c>
      <c r="N15">
        <v>0.33426204026909545</v>
      </c>
      <c r="O15" s="32">
        <f t="shared" si="11"/>
        <v>14.001135825128136</v>
      </c>
      <c r="P15" s="32">
        <f t="shared" si="5"/>
        <v>64.009086923549788</v>
      </c>
      <c r="Q15">
        <v>12</v>
      </c>
      <c r="R15">
        <v>69</v>
      </c>
      <c r="S15" s="32">
        <f t="shared" si="6"/>
        <v>8.0041122654507237</v>
      </c>
      <c r="T15" s="1">
        <f t="shared" si="7"/>
        <v>8.4118723175861643</v>
      </c>
      <c r="U15" s="1">
        <f t="shared" si="12"/>
        <v>8.3424552731976203</v>
      </c>
      <c r="V15" s="1">
        <f t="shared" si="8"/>
        <v>2.1028405366324399</v>
      </c>
      <c r="W15" s="1">
        <f t="shared" si="13"/>
        <v>4.8187260516410896E-3</v>
      </c>
      <c r="X15" s="1">
        <f t="shared" si="14"/>
        <v>6.9417044388544014E-2</v>
      </c>
      <c r="Y15" s="39">
        <f t="shared" si="9"/>
        <v>62.775862498774494</v>
      </c>
      <c r="AB15">
        <v>10</v>
      </c>
      <c r="AC15" s="7">
        <v>0.33442430661468281</v>
      </c>
      <c r="AD15">
        <v>0.66804546177319557</v>
      </c>
      <c r="AE15">
        <v>0.94291596027539037</v>
      </c>
      <c r="AF15" s="7">
        <v>5.877811985835385E-2</v>
      </c>
      <c r="AG15" s="10">
        <v>116.80546050332164</v>
      </c>
      <c r="AH15" s="1">
        <v>0.28049468006519618</v>
      </c>
      <c r="AI15" s="10">
        <v>5.6864452720273109</v>
      </c>
      <c r="AJ15" s="32">
        <v>1730.8537688689166</v>
      </c>
      <c r="AK15">
        <v>320</v>
      </c>
      <c r="AL15" s="7">
        <v>0.13330469412247023</v>
      </c>
      <c r="AN15">
        <v>0.8</v>
      </c>
      <c r="AP15" s="60">
        <v>0.7</v>
      </c>
      <c r="AQ15" s="61">
        <v>153</v>
      </c>
      <c r="AT15" s="7"/>
      <c r="AX15" s="32"/>
    </row>
    <row r="16" spans="1:50" x14ac:dyDescent="0.3">
      <c r="A16">
        <v>76964</v>
      </c>
      <c r="B16">
        <v>31</v>
      </c>
      <c r="C16">
        <v>7</v>
      </c>
      <c r="D16">
        <v>1982</v>
      </c>
      <c r="E16">
        <v>7</v>
      </c>
      <c r="F16">
        <v>5</v>
      </c>
      <c r="G16">
        <v>1986</v>
      </c>
      <c r="H16">
        <v>63</v>
      </c>
      <c r="I16" s="32">
        <f t="shared" si="2"/>
        <v>13.874507866387544</v>
      </c>
      <c r="J16" s="1">
        <v>3.7698630136986302</v>
      </c>
      <c r="K16" s="32">
        <f t="shared" si="3"/>
        <v>14.951503843303929</v>
      </c>
      <c r="L16" s="32">
        <f t="shared" si="10"/>
        <v>71.838370637386973</v>
      </c>
      <c r="M16" s="1">
        <f t="shared" si="4"/>
        <v>0.29605896306247759</v>
      </c>
      <c r="N16">
        <v>-0.58963223636965267</v>
      </c>
      <c r="O16" s="32">
        <f t="shared" si="11"/>
        <v>14.630677274866141</v>
      </c>
      <c r="P16" s="32">
        <f t="shared" si="5"/>
        <v>69.144856655187269</v>
      </c>
      <c r="Q16">
        <v>18</v>
      </c>
      <c r="R16">
        <v>81</v>
      </c>
      <c r="S16" s="32">
        <f t="shared" si="6"/>
        <v>8.3551416389114923</v>
      </c>
      <c r="T16" s="1">
        <f t="shared" si="7"/>
        <v>8.6913759635561121</v>
      </c>
      <c r="U16" s="1">
        <f t="shared" si="12"/>
        <v>8.8253143963226375</v>
      </c>
      <c r="V16" s="1">
        <f t="shared" si="8"/>
        <v>3.2245513932273924</v>
      </c>
      <c r="W16" s="1">
        <f t="shared" si="13"/>
        <v>1.7939503771953042E-2</v>
      </c>
      <c r="X16" s="1">
        <f t="shared" si="14"/>
        <v>-0.13393843276652539</v>
      </c>
      <c r="Y16" s="39">
        <f t="shared" si="9"/>
        <v>71.704276201817677</v>
      </c>
      <c r="AB16">
        <v>11</v>
      </c>
      <c r="AC16" s="7">
        <v>1.0549916950851497</v>
      </c>
      <c r="AD16">
        <v>5.2033964195473397</v>
      </c>
      <c r="AE16">
        <v>0.97053720448846381</v>
      </c>
      <c r="AF16" s="7">
        <v>2.9905541725614205E-2</v>
      </c>
      <c r="AG16" s="10">
        <v>142.60263106053941</v>
      </c>
      <c r="AH16" s="1">
        <v>5.5190028043697827</v>
      </c>
      <c r="AI16" s="10">
        <v>4414.9805874649001</v>
      </c>
      <c r="AJ16" s="32">
        <v>1848.3868626415699</v>
      </c>
      <c r="AK16">
        <v>320</v>
      </c>
      <c r="AL16" s="7">
        <v>3.7144063234691775</v>
      </c>
      <c r="AN16">
        <v>0.9</v>
      </c>
      <c r="AP16" s="60">
        <v>0.8</v>
      </c>
      <c r="AQ16" s="61">
        <v>91</v>
      </c>
      <c r="AT16" s="7"/>
    </row>
    <row r="17" spans="1:73" x14ac:dyDescent="0.3">
      <c r="A17">
        <v>78969</v>
      </c>
      <c r="B17">
        <v>30</v>
      </c>
      <c r="C17">
        <v>7</v>
      </c>
      <c r="D17">
        <v>1982</v>
      </c>
      <c r="E17">
        <v>6</v>
      </c>
      <c r="F17">
        <v>5</v>
      </c>
      <c r="G17">
        <v>1987</v>
      </c>
      <c r="H17">
        <v>68</v>
      </c>
      <c r="I17" s="32">
        <f t="shared" si="2"/>
        <v>14.492422502470642</v>
      </c>
      <c r="J17" s="1">
        <v>4.7698630136986298</v>
      </c>
      <c r="K17" s="32">
        <f t="shared" si="3"/>
        <v>15.687736746474975</v>
      </c>
      <c r="L17" s="32">
        <f t="shared" si="10"/>
        <v>78.214007803150281</v>
      </c>
      <c r="M17" s="1">
        <f t="shared" si="4"/>
        <v>0.35719321416388605</v>
      </c>
      <c r="N17">
        <v>-0.73357114160899073</v>
      </c>
      <c r="O17" s="32">
        <f t="shared" si="11"/>
        <v>15.249313233243702</v>
      </c>
      <c r="P17" s="32">
        <f t="shared" si="5"/>
        <v>74.384701754639096</v>
      </c>
      <c r="Q17">
        <v>9</v>
      </c>
      <c r="R17">
        <v>77</v>
      </c>
      <c r="S17" s="32">
        <f t="shared" si="6"/>
        <v>8.6303494035856811</v>
      </c>
      <c r="T17" s="1">
        <f t="shared" si="7"/>
        <v>8.9620771966324977</v>
      </c>
      <c r="U17" s="1">
        <f t="shared" si="12"/>
        <v>9.140920090110324</v>
      </c>
      <c r="V17" s="1">
        <f t="shared" si="8"/>
        <v>3.8645630462225444</v>
      </c>
      <c r="W17" s="1">
        <f t="shared" si="13"/>
        <v>3.1984780547521137E-2</v>
      </c>
      <c r="X17" s="1">
        <f t="shared" si="14"/>
        <v>-0.17884289347782634</v>
      </c>
      <c r="Y17" s="39">
        <f t="shared" si="9"/>
        <v>77.99366269280047</v>
      </c>
      <c r="AB17">
        <v>12</v>
      </c>
      <c r="AC17" s="7">
        <v>0.39967066045931854</v>
      </c>
      <c r="AD17">
        <v>0.85299586144817352</v>
      </c>
      <c r="AE17">
        <v>0.93917740275295769</v>
      </c>
      <c r="AF17" s="7">
        <v>6.2750890298948897E-2</v>
      </c>
      <c r="AG17" s="10">
        <v>112.56136169384096</v>
      </c>
      <c r="AH17" s="1">
        <v>0.4017400165610992</v>
      </c>
      <c r="AI17" s="10">
        <v>11.506494841750461</v>
      </c>
      <c r="AJ17" s="32">
        <v>1769.5317789520464</v>
      </c>
      <c r="AK17">
        <v>320</v>
      </c>
      <c r="AL17" s="7">
        <v>0.18962541069295061</v>
      </c>
      <c r="AN17">
        <v>1</v>
      </c>
      <c r="AP17" s="60">
        <v>0.9</v>
      </c>
      <c r="AQ17" s="61">
        <v>46</v>
      </c>
      <c r="AT17" s="7"/>
      <c r="AX17" s="32"/>
    </row>
    <row r="18" spans="1:73" x14ac:dyDescent="0.3">
      <c r="A18">
        <v>78972</v>
      </c>
      <c r="B18">
        <v>30</v>
      </c>
      <c r="C18">
        <v>7</v>
      </c>
      <c r="D18">
        <v>1982</v>
      </c>
      <c r="E18">
        <v>8</v>
      </c>
      <c r="F18">
        <v>4</v>
      </c>
      <c r="G18">
        <v>1992</v>
      </c>
      <c r="H18">
        <v>76</v>
      </c>
      <c r="I18" s="32">
        <f t="shared" si="2"/>
        <v>15.435595774162696</v>
      </c>
      <c r="J18" s="1">
        <v>9.6986301369862993</v>
      </c>
      <c r="K18" s="32">
        <f t="shared" si="3"/>
        <v>17.224548863682738</v>
      </c>
      <c r="L18" s="32">
        <f t="shared" si="10"/>
        <v>92.395819753031319</v>
      </c>
      <c r="M18" s="1">
        <f t="shared" si="4"/>
        <v>0.581776467833231</v>
      </c>
      <c r="N18">
        <v>0.47500293476332445</v>
      </c>
      <c r="O18" s="32">
        <f t="shared" si="11"/>
        <v>17.586853897552423</v>
      </c>
      <c r="P18" s="32">
        <f t="shared" si="5"/>
        <v>95.911211401016132</v>
      </c>
      <c r="Q18">
        <v>20</v>
      </c>
      <c r="R18">
        <v>96</v>
      </c>
      <c r="S18" s="32">
        <f t="shared" si="6"/>
        <v>9.0428509961318699</v>
      </c>
      <c r="T18" s="1">
        <f t="shared" si="7"/>
        <v>9.952687763766388</v>
      </c>
      <c r="U18" s="1">
        <f t="shared" si="12"/>
        <v>9.7692903684381758</v>
      </c>
      <c r="V18" s="1">
        <f t="shared" si="8"/>
        <v>6.1157612031830073</v>
      </c>
      <c r="W18" s="1">
        <f t="shared" si="13"/>
        <v>3.3634604613172553E-2</v>
      </c>
      <c r="X18" s="1">
        <f t="shared" si="14"/>
        <v>0.1833973953282122</v>
      </c>
      <c r="Y18" s="39">
        <f t="shared" si="9"/>
        <v>91.637084932575348</v>
      </c>
      <c r="AB18">
        <v>13</v>
      </c>
      <c r="AC18" s="7">
        <v>0.55563999513065121</v>
      </c>
      <c r="AD18">
        <v>1.0530468151271521</v>
      </c>
      <c r="AE18">
        <v>0.95771781689561086</v>
      </c>
      <c r="AF18" s="7">
        <v>4.3202098789656258E-2</v>
      </c>
      <c r="AG18" s="10">
        <v>128.28408381750424</v>
      </c>
      <c r="AH18" s="1">
        <v>0.62739711033398771</v>
      </c>
      <c r="AI18" s="10">
        <v>50.155007878723943</v>
      </c>
      <c r="AJ18" s="32">
        <v>1813.324902731594</v>
      </c>
      <c r="AK18">
        <v>320</v>
      </c>
      <c r="AL18" s="7">
        <v>0.39589695581175199</v>
      </c>
      <c r="AN18">
        <v>1.1000000000000001</v>
      </c>
      <c r="AP18" s="60">
        <v>1</v>
      </c>
      <c r="AQ18" s="61">
        <v>19</v>
      </c>
      <c r="AT18" s="7"/>
      <c r="AX18" s="32"/>
    </row>
    <row r="19" spans="1:73" x14ac:dyDescent="0.3">
      <c r="A19">
        <v>76795</v>
      </c>
      <c r="B19">
        <v>30</v>
      </c>
      <c r="C19">
        <v>7</v>
      </c>
      <c r="D19">
        <v>1982</v>
      </c>
      <c r="E19">
        <v>23</v>
      </c>
      <c r="F19">
        <v>8</v>
      </c>
      <c r="G19">
        <v>1988</v>
      </c>
      <c r="H19">
        <v>82</v>
      </c>
      <c r="I19" s="32">
        <f t="shared" si="2"/>
        <v>16.110770276274835</v>
      </c>
      <c r="J19" s="1">
        <v>6.0712328767123296</v>
      </c>
      <c r="K19" s="32">
        <f t="shared" si="3"/>
        <v>17.151485619660477</v>
      </c>
      <c r="L19" s="32">
        <f t="shared" si="10"/>
        <v>91.694850360015508</v>
      </c>
      <c r="M19" s="1">
        <f t="shared" si="4"/>
        <v>0.42791466605137746</v>
      </c>
      <c r="N19">
        <v>1.3101953300065361</v>
      </c>
      <c r="O19" s="32">
        <f t="shared" si="11"/>
        <v>18.0085523418721</v>
      </c>
      <c r="P19" s="32">
        <f t="shared" si="5"/>
        <v>100.08554170435887</v>
      </c>
      <c r="Q19">
        <v>17</v>
      </c>
      <c r="R19">
        <v>99</v>
      </c>
      <c r="S19" s="32">
        <f t="shared" si="6"/>
        <v>9.332855979925947</v>
      </c>
      <c r="T19" s="1">
        <f t="shared" si="7"/>
        <v>10.126410931638013</v>
      </c>
      <c r="U19" s="1">
        <f t="shared" si="12"/>
        <v>9.7473947310834514</v>
      </c>
      <c r="V19" s="1">
        <f t="shared" si="8"/>
        <v>4.591684027478534</v>
      </c>
      <c r="W19" s="1">
        <f t="shared" si="13"/>
        <v>0.14365328028281552</v>
      </c>
      <c r="X19" s="1">
        <f t="shared" si="14"/>
        <v>0.37901620055456142</v>
      </c>
      <c r="Y19" s="39">
        <f t="shared" si="9"/>
        <v>91.135796173958198</v>
      </c>
      <c r="AB19">
        <v>14</v>
      </c>
      <c r="AC19" s="7">
        <v>0.58410221653644068</v>
      </c>
      <c r="AD19">
        <v>1.3216237374414401</v>
      </c>
      <c r="AE19">
        <v>0.94986008226164209</v>
      </c>
      <c r="AF19" s="7">
        <v>5.1440587064434724E-2</v>
      </c>
      <c r="AG19" s="10">
        <v>120.13649857695781</v>
      </c>
      <c r="AH19" s="1">
        <v>0.82210327220507795</v>
      </c>
      <c r="AI19" s="10">
        <v>51.394045475965619</v>
      </c>
      <c r="AJ19" s="32">
        <v>1736.3357648105323</v>
      </c>
      <c r="AK19">
        <v>320</v>
      </c>
      <c r="AL19" s="7">
        <v>0.40075727331190453</v>
      </c>
      <c r="AN19">
        <v>1.2</v>
      </c>
      <c r="AP19" s="60">
        <v>1.1000000000000001</v>
      </c>
      <c r="AQ19" s="61">
        <v>13</v>
      </c>
      <c r="AT19" s="7"/>
      <c r="AX19" s="32"/>
    </row>
    <row r="20" spans="1:73" x14ac:dyDescent="0.3">
      <c r="A20">
        <v>76743</v>
      </c>
      <c r="B20">
        <v>30</v>
      </c>
      <c r="C20">
        <v>7</v>
      </c>
      <c r="D20">
        <v>1982</v>
      </c>
      <c r="E20">
        <v>7</v>
      </c>
      <c r="F20">
        <v>5</v>
      </c>
      <c r="G20">
        <v>1983</v>
      </c>
      <c r="H20">
        <v>74</v>
      </c>
      <c r="I20" s="32">
        <f t="shared" si="2"/>
        <v>15.204650534085253</v>
      </c>
      <c r="J20" s="1">
        <v>0.76986301369862997</v>
      </c>
      <c r="K20" s="32">
        <f t="shared" si="3"/>
        <v>15.3903230584556</v>
      </c>
      <c r="L20" s="32">
        <f t="shared" si="10"/>
        <v>75.60583401936313</v>
      </c>
      <c r="M20" s="1">
        <f t="shared" si="4"/>
        <v>7.0097903703802644E-2</v>
      </c>
      <c r="N20">
        <v>-6.8635017669294029E-2</v>
      </c>
      <c r="O20" s="32">
        <f t="shared" si="11"/>
        <v>15.372151245201623</v>
      </c>
      <c r="P20" s="32">
        <f t="shared" si="5"/>
        <v>75.447909721540057</v>
      </c>
      <c r="Q20">
        <v>-1</v>
      </c>
      <c r="R20">
        <v>73</v>
      </c>
      <c r="S20" s="32">
        <f t="shared" si="6"/>
        <v>8.9426609766862715</v>
      </c>
      <c r="T20" s="1">
        <f t="shared" si="7"/>
        <v>9.0153785340292671</v>
      </c>
      <c r="U20" s="1">
        <f t="shared" si="12"/>
        <v>9.0212126569604099</v>
      </c>
      <c r="V20" s="1">
        <f t="shared" si="8"/>
        <v>0.78023596558428476</v>
      </c>
      <c r="W20" s="1">
        <f t="shared" si="13"/>
        <v>3.4036990375685274E-5</v>
      </c>
      <c r="X20" s="1">
        <f t="shared" si="14"/>
        <v>-5.8341229311427156E-3</v>
      </c>
      <c r="Y20" s="39">
        <f t="shared" si="9"/>
        <v>75.564919666467134</v>
      </c>
      <c r="AB20">
        <v>15</v>
      </c>
      <c r="AC20" s="7">
        <v>0.5524987596962263</v>
      </c>
      <c r="AD20">
        <v>1.0554047251986125</v>
      </c>
      <c r="AE20">
        <v>0.9569514696578254</v>
      </c>
      <c r="AF20" s="7">
        <v>4.4002599726387738E-2</v>
      </c>
      <c r="AG20" s="10">
        <v>127.1996372359109</v>
      </c>
      <c r="AH20" s="1">
        <v>0.62615833199194459</v>
      </c>
      <c r="AI20" s="10">
        <v>44.619063104313739</v>
      </c>
      <c r="AJ20" s="32">
        <v>1784.2448461624854</v>
      </c>
      <c r="AK20">
        <v>320</v>
      </c>
      <c r="AL20" s="7">
        <v>0.37340938954581798</v>
      </c>
      <c r="AN20">
        <v>1.3</v>
      </c>
      <c r="AP20" s="60">
        <v>1.2</v>
      </c>
      <c r="AQ20" s="61">
        <v>4</v>
      </c>
      <c r="AT20" s="7"/>
      <c r="AX20" s="7"/>
    </row>
    <row r="21" spans="1:73" ht="15" thickBot="1" x14ac:dyDescent="0.35">
      <c r="A21">
        <v>76908</v>
      </c>
      <c r="B21">
        <v>30</v>
      </c>
      <c r="C21">
        <v>7</v>
      </c>
      <c r="D21">
        <v>1982</v>
      </c>
      <c r="E21">
        <v>6</v>
      </c>
      <c r="F21">
        <v>5</v>
      </c>
      <c r="G21">
        <v>1989</v>
      </c>
      <c r="H21">
        <v>54</v>
      </c>
      <c r="I21" s="32">
        <f t="shared" si="2"/>
        <v>12.696938456699069</v>
      </c>
      <c r="J21" s="1">
        <v>6.7726027397260298</v>
      </c>
      <c r="K21" s="32">
        <f t="shared" si="3"/>
        <v>14.840165302409073</v>
      </c>
      <c r="L21" s="32">
        <f t="shared" si="10"/>
        <v>70.897791853115621</v>
      </c>
      <c r="M21" s="1">
        <f t="shared" si="4"/>
        <v>0.46229063179763935</v>
      </c>
      <c r="N21">
        <v>0.47911726142046973</v>
      </c>
      <c r="O21" s="32">
        <f t="shared" si="11"/>
        <v>15.165926508342324</v>
      </c>
      <c r="P21" s="32">
        <f t="shared" si="5"/>
        <v>73.667258222452418</v>
      </c>
      <c r="Q21">
        <v>35</v>
      </c>
      <c r="R21">
        <v>89</v>
      </c>
      <c r="S21" s="32">
        <f t="shared" si="6"/>
        <v>7.8189121954385223</v>
      </c>
      <c r="T21" s="1">
        <f t="shared" si="7"/>
        <v>8.9258106890980233</v>
      </c>
      <c r="U21" s="1">
        <f t="shared" si="12"/>
        <v>8.7724278728533864</v>
      </c>
      <c r="V21" s="1">
        <f t="shared" si="8"/>
        <v>4.9395140404648226</v>
      </c>
      <c r="W21" s="1">
        <f t="shared" si="13"/>
        <v>2.352628831913605E-2</v>
      </c>
      <c r="X21" s="1">
        <f t="shared" si="14"/>
        <v>0.1533828162446369</v>
      </c>
      <c r="Y21" s="39">
        <f t="shared" si="9"/>
        <v>70.685961113938802</v>
      </c>
      <c r="AB21">
        <v>16</v>
      </c>
      <c r="AC21" s="7">
        <v>0.35958745031428302</v>
      </c>
      <c r="AD21">
        <v>0.69759045376318352</v>
      </c>
      <c r="AE21">
        <v>0.94540751422156399</v>
      </c>
      <c r="AF21" s="7">
        <v>5.6139212461691658E-2</v>
      </c>
      <c r="AG21" s="10">
        <v>120.10890236357181</v>
      </c>
      <c r="AH21" s="1">
        <v>0.30543725841072289</v>
      </c>
      <c r="AI21" s="10">
        <v>8.2091404561228192</v>
      </c>
      <c r="AJ21" s="32">
        <v>1779.837212727374</v>
      </c>
      <c r="AK21">
        <v>320</v>
      </c>
      <c r="AL21" s="7">
        <v>0.16016729980050176</v>
      </c>
      <c r="AN21">
        <v>1.4</v>
      </c>
      <c r="AP21" s="62" t="s">
        <v>78</v>
      </c>
      <c r="AQ21" s="62">
        <v>5</v>
      </c>
      <c r="AT21" s="7"/>
    </row>
    <row r="22" spans="1:73" ht="15" thickBot="1" x14ac:dyDescent="0.35">
      <c r="A22">
        <v>78812</v>
      </c>
      <c r="B22">
        <v>25</v>
      </c>
      <c r="C22">
        <v>7</v>
      </c>
      <c r="D22">
        <v>1982</v>
      </c>
      <c r="E22">
        <v>14</v>
      </c>
      <c r="F22">
        <v>6</v>
      </c>
      <c r="G22">
        <v>1984</v>
      </c>
      <c r="H22">
        <v>78</v>
      </c>
      <c r="I22" s="32">
        <f t="shared" si="2"/>
        <v>15.663521732655695</v>
      </c>
      <c r="J22" s="1">
        <v>1.89041095890411</v>
      </c>
      <c r="K22" s="32">
        <f t="shared" si="3"/>
        <v>16.064266951936336</v>
      </c>
      <c r="L22" s="32">
        <f t="shared" si="10"/>
        <v>81.579435127704826</v>
      </c>
      <c r="M22" s="1">
        <f t="shared" si="4"/>
        <v>0.16272471344711972</v>
      </c>
      <c r="N22">
        <v>1.6443664208054543</v>
      </c>
      <c r="O22" s="32">
        <f t="shared" si="11"/>
        <v>16.727590411751038</v>
      </c>
      <c r="P22" s="32">
        <f t="shared" si="5"/>
        <v>87.680660657577349</v>
      </c>
      <c r="Q22">
        <v>5</v>
      </c>
      <c r="R22">
        <v>83</v>
      </c>
      <c r="S22" s="32">
        <f t="shared" si="6"/>
        <v>9.1412290377968759</v>
      </c>
      <c r="T22" s="1">
        <f t="shared" si="7"/>
        <v>9.5941603062853869</v>
      </c>
      <c r="U22" s="1">
        <f t="shared" si="12"/>
        <v>9.3068834128792801</v>
      </c>
      <c r="V22" s="1">
        <f t="shared" si="8"/>
        <v>1.7960568656193563</v>
      </c>
      <c r="W22" s="1">
        <f t="shared" si="13"/>
        <v>8.2528013485063612E-2</v>
      </c>
      <c r="X22" s="1">
        <f t="shared" si="14"/>
        <v>0.28727689340610674</v>
      </c>
      <c r="Y22" s="39">
        <f t="shared" si="9"/>
        <v>81.449706347633054</v>
      </c>
      <c r="AB22">
        <v>17</v>
      </c>
      <c r="AC22" s="7">
        <v>0.32037222778840474</v>
      </c>
      <c r="AD22">
        <v>0.62684079542750393</v>
      </c>
      <c r="AE22">
        <v>0.94403687297683947</v>
      </c>
      <c r="AF22" s="7">
        <v>5.7590053242650763E-2</v>
      </c>
      <c r="AG22" s="10">
        <v>116.22827394364045</v>
      </c>
      <c r="AH22" s="1">
        <v>0.25678550912292564</v>
      </c>
      <c r="AI22" s="10">
        <v>6.3770020664147173</v>
      </c>
      <c r="AJ22" s="32">
        <v>1806.5887769434205</v>
      </c>
      <c r="AK22">
        <v>320</v>
      </c>
      <c r="AL22" s="7">
        <v>0.14116703389086985</v>
      </c>
      <c r="AN22">
        <v>1.5</v>
      </c>
      <c r="AT22" s="7"/>
    </row>
    <row r="23" spans="1:73" x14ac:dyDescent="0.3">
      <c r="A23">
        <v>22791</v>
      </c>
      <c r="B23">
        <v>28</v>
      </c>
      <c r="C23">
        <v>7</v>
      </c>
      <c r="D23">
        <v>1982</v>
      </c>
      <c r="E23">
        <v>26</v>
      </c>
      <c r="F23">
        <v>5</v>
      </c>
      <c r="G23">
        <v>1983</v>
      </c>
      <c r="H23">
        <v>55</v>
      </c>
      <c r="I23" s="32">
        <f t="shared" si="2"/>
        <v>12.832396974191326</v>
      </c>
      <c r="J23" s="1">
        <v>0.82739726027397298</v>
      </c>
      <c r="K23" s="32">
        <f t="shared" si="3"/>
        <v>13.130224952996956</v>
      </c>
      <c r="L23" s="32">
        <f t="shared" si="10"/>
        <v>57.230926782072935</v>
      </c>
      <c r="M23" s="1">
        <f t="shared" si="4"/>
        <v>7.5117564179232127E-2</v>
      </c>
      <c r="N23">
        <v>-2.063516149064526</v>
      </c>
      <c r="O23" s="32">
        <f t="shared" si="11"/>
        <v>12.564665038212745</v>
      </c>
      <c r="P23" s="32">
        <f t="shared" si="5"/>
        <v>53.032366918834164</v>
      </c>
      <c r="Q23">
        <v>3</v>
      </c>
      <c r="R23">
        <v>58</v>
      </c>
      <c r="S23" s="32">
        <f t="shared" si="6"/>
        <v>7.8814209124336854</v>
      </c>
      <c r="T23" s="1">
        <f t="shared" si="7"/>
        <v>7.7576578289556322</v>
      </c>
      <c r="U23" s="1">
        <f t="shared" si="12"/>
        <v>8.0164203480197536</v>
      </c>
      <c r="V23" s="1">
        <f t="shared" si="8"/>
        <v>0.83573952941828478</v>
      </c>
      <c r="W23" s="1">
        <f t="shared" si="13"/>
        <v>6.6958041272409785E-2</v>
      </c>
      <c r="X23" s="1">
        <f t="shared" si="14"/>
        <v>-0.2587625190641214</v>
      </c>
      <c r="Y23" s="39">
        <f t="shared" si="9"/>
        <v>57.203376290040936</v>
      </c>
      <c r="AB23">
        <v>18</v>
      </c>
      <c r="AC23" s="7">
        <v>0.43645748718224253</v>
      </c>
      <c r="AD23">
        <v>0.89911635243781474</v>
      </c>
      <c r="AE23">
        <v>0.94300251479279196</v>
      </c>
      <c r="AF23" s="7">
        <v>5.8686329551819814E-2</v>
      </c>
      <c r="AG23" s="10">
        <v>113.42924624055121</v>
      </c>
      <c r="AH23" s="1">
        <v>0.44942354907668025</v>
      </c>
      <c r="AI23" s="10">
        <v>17.58001193578707</v>
      </c>
      <c r="AJ23" s="32">
        <v>1803.1899626908205</v>
      </c>
      <c r="AK23">
        <v>320</v>
      </c>
      <c r="AL23" s="7">
        <v>0.23438757923434125</v>
      </c>
      <c r="AN23">
        <v>1.6</v>
      </c>
      <c r="AP23" s="63" t="s">
        <v>77</v>
      </c>
      <c r="AQ23" s="63" t="s">
        <v>79</v>
      </c>
    </row>
    <row r="24" spans="1:73" x14ac:dyDescent="0.3">
      <c r="A24">
        <v>78835</v>
      </c>
      <c r="B24">
        <v>26</v>
      </c>
      <c r="C24">
        <v>7</v>
      </c>
      <c r="D24">
        <v>1982</v>
      </c>
      <c r="E24">
        <v>3</v>
      </c>
      <c r="F24">
        <v>5</v>
      </c>
      <c r="G24">
        <v>1984</v>
      </c>
      <c r="H24">
        <v>91</v>
      </c>
      <c r="I24" s="32">
        <f t="shared" si="2"/>
        <v>17.078784028338912</v>
      </c>
      <c r="J24" s="1">
        <v>1.77260273972603</v>
      </c>
      <c r="K24" s="32">
        <f t="shared" si="3"/>
        <v>17.332671728404257</v>
      </c>
      <c r="L24" s="32">
        <f t="shared" si="10"/>
        <v>93.438049039560312</v>
      </c>
      <c r="M24" s="1">
        <f t="shared" si="4"/>
        <v>0.15347969083428695</v>
      </c>
      <c r="N24">
        <v>-2.5450572138652205</v>
      </c>
      <c r="O24" s="32">
        <f t="shared" si="11"/>
        <v>16.335607793059562</v>
      </c>
      <c r="P24" s="32">
        <f t="shared" si="5"/>
        <v>84.048628285226641</v>
      </c>
      <c r="Q24">
        <v>11</v>
      </c>
      <c r="R24">
        <v>102</v>
      </c>
      <c r="S24" s="32">
        <f t="shared" si="6"/>
        <v>9.7414489609310717</v>
      </c>
      <c r="T24" s="1">
        <f t="shared" si="7"/>
        <v>9.4284971173816974</v>
      </c>
      <c r="U24" s="1">
        <f t="shared" si="12"/>
        <v>9.8375294185099253</v>
      </c>
      <c r="V24" s="1">
        <f t="shared" si="8"/>
        <v>1.6954861430374257</v>
      </c>
      <c r="W24" s="1">
        <f t="shared" si="13"/>
        <v>0.16730742336625337</v>
      </c>
      <c r="X24" s="1">
        <f t="shared" si="14"/>
        <v>-0.40903230112822797</v>
      </c>
      <c r="Y24" s="39">
        <f t="shared" si="9"/>
        <v>93.211643734029877</v>
      </c>
      <c r="AB24">
        <v>19</v>
      </c>
      <c r="AC24" s="7">
        <v>0.52865212437946463</v>
      </c>
      <c r="AD24">
        <v>1.078582139934269</v>
      </c>
      <c r="AE24">
        <v>0.95124576547662831</v>
      </c>
      <c r="AF24" s="7">
        <v>4.9982821351888536E-2</v>
      </c>
      <c r="AG24" s="10">
        <v>122.36397878870244</v>
      </c>
      <c r="AH24" s="1">
        <v>0.61894897411737193</v>
      </c>
      <c r="AI24" s="10">
        <v>35.551418366197588</v>
      </c>
      <c r="AJ24" s="32">
        <v>1775.5556107697812</v>
      </c>
      <c r="AK24">
        <v>320</v>
      </c>
      <c r="AL24" s="7">
        <v>0.33331393969404799</v>
      </c>
      <c r="AN24">
        <v>1.7</v>
      </c>
      <c r="AP24" s="60">
        <v>0.1</v>
      </c>
      <c r="AQ24" s="61">
        <v>0</v>
      </c>
    </row>
    <row r="25" spans="1:73" x14ac:dyDescent="0.3">
      <c r="A25">
        <v>79130</v>
      </c>
      <c r="B25">
        <v>9</v>
      </c>
      <c r="C25">
        <v>8</v>
      </c>
      <c r="D25">
        <v>1982</v>
      </c>
      <c r="E25">
        <v>7</v>
      </c>
      <c r="F25">
        <v>7</v>
      </c>
      <c r="G25">
        <v>1983</v>
      </c>
      <c r="H25">
        <v>85</v>
      </c>
      <c r="I25" s="32">
        <f t="shared" si="2"/>
        <v>16.439088914585774</v>
      </c>
      <c r="J25" s="1">
        <v>0.90958904109589001</v>
      </c>
      <c r="K25" s="32">
        <f t="shared" si="3"/>
        <v>16.601410078819029</v>
      </c>
      <c r="L25" s="32">
        <f t="shared" si="10"/>
        <v>86.503114230097538</v>
      </c>
      <c r="M25" s="1">
        <f t="shared" si="4"/>
        <v>8.2237307992437281E-2</v>
      </c>
      <c r="N25">
        <v>0.18724790606938768</v>
      </c>
      <c r="O25" s="32">
        <f t="shared" si="11"/>
        <v>16.655107250653963</v>
      </c>
      <c r="P25" s="32">
        <f t="shared" si="5"/>
        <v>87.003256633350517</v>
      </c>
      <c r="Q25">
        <v>3</v>
      </c>
      <c r="R25">
        <v>88</v>
      </c>
      <c r="S25" s="32">
        <f t="shared" si="6"/>
        <v>9.4723632360293841</v>
      </c>
      <c r="T25" s="1">
        <f t="shared" si="7"/>
        <v>9.5636286734671412</v>
      </c>
      <c r="U25" s="1">
        <f t="shared" si="12"/>
        <v>9.5370279513089145</v>
      </c>
      <c r="V25" s="1">
        <f t="shared" si="8"/>
        <v>0.91437744288336309</v>
      </c>
      <c r="W25" s="1">
        <f t="shared" si="13"/>
        <v>7.0759841933917453E-4</v>
      </c>
      <c r="X25" s="1">
        <f t="shared" si="14"/>
        <v>2.6600722158226731E-2</v>
      </c>
      <c r="Y25" s="39">
        <f t="shared" si="9"/>
        <v>86.416033243302252</v>
      </c>
      <c r="AB25">
        <v>20</v>
      </c>
      <c r="AC25" s="7">
        <v>0.84495347802775023</v>
      </c>
      <c r="AD25">
        <v>2.4235713128493068</v>
      </c>
      <c r="AE25">
        <v>0.96669437147759774</v>
      </c>
      <c r="AF25" s="7">
        <v>3.3872891937136544E-2</v>
      </c>
      <c r="AG25" s="10">
        <v>133.44353092931507</v>
      </c>
      <c r="AH25" s="1">
        <v>2.0811106385627047</v>
      </c>
      <c r="AI25" s="10">
        <v>582.58521633706334</v>
      </c>
      <c r="AJ25" s="32">
        <v>1788.7683110445112</v>
      </c>
      <c r="AK25">
        <v>320</v>
      </c>
      <c r="AL25" s="7">
        <v>1.3492882572131586</v>
      </c>
      <c r="AN25">
        <v>1.8</v>
      </c>
      <c r="AP25" s="60">
        <v>0.2</v>
      </c>
      <c r="AQ25" s="61">
        <v>0</v>
      </c>
    </row>
    <row r="26" spans="1:73" x14ac:dyDescent="0.3">
      <c r="A26">
        <v>20652</v>
      </c>
      <c r="B26">
        <v>23</v>
      </c>
      <c r="C26">
        <v>1</v>
      </c>
      <c r="D26">
        <v>1982</v>
      </c>
      <c r="E26">
        <v>21</v>
      </c>
      <c r="F26">
        <v>8</v>
      </c>
      <c r="G26">
        <v>1982</v>
      </c>
      <c r="H26">
        <v>179</v>
      </c>
      <c r="I26" s="32">
        <f t="shared" si="2"/>
        <v>24.758176320519304</v>
      </c>
      <c r="J26" s="1">
        <v>0.57534246575342496</v>
      </c>
      <c r="K26" s="32">
        <f t="shared" si="3"/>
        <v>24.619808520340317</v>
      </c>
      <c r="L26" s="32">
        <f t="shared" si="10"/>
        <v>177.15355141489573</v>
      </c>
      <c r="M26" s="1">
        <f t="shared" si="4"/>
        <v>5.2905569517242929E-2</v>
      </c>
      <c r="N26">
        <v>-0.11119027476524934</v>
      </c>
      <c r="O26" s="32">
        <f t="shared" si="11"/>
        <v>24.594233410927238</v>
      </c>
      <c r="P26" s="32">
        <f t="shared" si="5"/>
        <v>176.81331267871965</v>
      </c>
      <c r="Q26">
        <v>0</v>
      </c>
      <c r="R26">
        <v>179</v>
      </c>
      <c r="S26" s="32">
        <f t="shared" si="6"/>
        <v>12.738447379396135</v>
      </c>
      <c r="T26" s="1">
        <f t="shared" si="7"/>
        <v>12.678268676246663</v>
      </c>
      <c r="U26" s="1">
        <f t="shared" si="12"/>
        <v>12.670402789096553</v>
      </c>
      <c r="V26" s="1">
        <f t="shared" si="8"/>
        <v>0.58975663179103899</v>
      </c>
      <c r="W26" s="1">
        <f t="shared" si="13"/>
        <v>6.1872180658273409E-5</v>
      </c>
      <c r="X26" s="1">
        <f t="shared" si="14"/>
        <v>7.8658871501104954E-3</v>
      </c>
      <c r="Y26" s="39">
        <f t="shared" si="9"/>
        <v>176.52886923706376</v>
      </c>
      <c r="AB26">
        <v>21</v>
      </c>
      <c r="AC26" s="7">
        <v>0.15298294563436704</v>
      </c>
      <c r="AD26">
        <v>0.37812525543515235</v>
      </c>
      <c r="AE26">
        <v>0.94698693624453789</v>
      </c>
      <c r="AF26" s="7">
        <v>5.4469980775540786E-2</v>
      </c>
      <c r="AG26" s="10">
        <v>124.24901496028735</v>
      </c>
      <c r="AH26" s="1">
        <v>0.11085977915067917</v>
      </c>
      <c r="AI26" s="10">
        <v>1.2629406369968936</v>
      </c>
      <c r="AJ26" s="32">
        <v>1764.130698518682</v>
      </c>
      <c r="AK26">
        <v>320</v>
      </c>
      <c r="AL26" s="7">
        <v>6.2822682930732052E-2</v>
      </c>
      <c r="AN26">
        <v>1.9</v>
      </c>
      <c r="AP26" s="60">
        <v>0.3</v>
      </c>
      <c r="AQ26" s="61">
        <v>14</v>
      </c>
      <c r="BK26" s="32"/>
      <c r="BL26" s="7"/>
      <c r="BM26" s="7"/>
      <c r="BN26" s="10"/>
      <c r="BO26" s="1"/>
      <c r="BP26" s="10"/>
      <c r="BQ26" s="10"/>
      <c r="BR26" s="1"/>
      <c r="BS26" s="1"/>
      <c r="BT26" s="32"/>
    </row>
    <row r="27" spans="1:73" x14ac:dyDescent="0.3">
      <c r="A27">
        <v>79006</v>
      </c>
      <c r="B27">
        <v>31</v>
      </c>
      <c r="C27">
        <v>7</v>
      </c>
      <c r="D27">
        <v>1982</v>
      </c>
      <c r="E27">
        <v>17</v>
      </c>
      <c r="F27">
        <v>6</v>
      </c>
      <c r="G27">
        <v>1987</v>
      </c>
      <c r="H27">
        <v>70</v>
      </c>
      <c r="I27" s="32">
        <f t="shared" si="2"/>
        <v>14.733200530681511</v>
      </c>
      <c r="J27" s="1">
        <v>4.8821917808219197</v>
      </c>
      <c r="K27" s="32">
        <f t="shared" si="3"/>
        <v>15.899950009379873</v>
      </c>
      <c r="L27" s="32">
        <f t="shared" si="10"/>
        <v>80.102052584574622</v>
      </c>
      <c r="M27" s="1">
        <f t="shared" si="4"/>
        <v>0.3636767049106655</v>
      </c>
      <c r="N27">
        <v>-1.689795681159012</v>
      </c>
      <c r="O27" s="32">
        <f t="shared" si="11"/>
        <v>14.88090835282806</v>
      </c>
      <c r="P27" s="32">
        <f t="shared" si="5"/>
        <v>71.241266704145019</v>
      </c>
      <c r="Q27">
        <v>13</v>
      </c>
      <c r="R27">
        <v>83</v>
      </c>
      <c r="S27" s="32">
        <f t="shared" si="6"/>
        <v>8.736503742677316</v>
      </c>
      <c r="T27" s="1">
        <f t="shared" si="7"/>
        <v>8.801332853991843</v>
      </c>
      <c r="U27" s="1">
        <f t="shared" si="12"/>
        <v>9.2308049280888085</v>
      </c>
      <c r="V27" s="1">
        <f t="shared" si="8"/>
        <v>3.9318352416763562</v>
      </c>
      <c r="W27" s="1">
        <f t="shared" si="13"/>
        <v>0.18444626242914944</v>
      </c>
      <c r="X27" s="1">
        <f t="shared" si="14"/>
        <v>-0.42947207409696553</v>
      </c>
      <c r="Y27" s="39">
        <f t="shared" si="9"/>
        <v>79.852535997928285</v>
      </c>
      <c r="AB27">
        <v>22</v>
      </c>
      <c r="AC27" s="7">
        <v>0.30915377985143838</v>
      </c>
      <c r="AD27">
        <v>0.56488588400425477</v>
      </c>
      <c r="AE27">
        <v>0.94931629663166595</v>
      </c>
      <c r="AF27" s="7">
        <v>5.2013241243246119E-2</v>
      </c>
      <c r="AG27" s="10">
        <v>124.6878918906967</v>
      </c>
      <c r="AH27" s="1">
        <v>0.22532030959297059</v>
      </c>
      <c r="AI27" s="10">
        <v>5.4823661105950467</v>
      </c>
      <c r="AJ27" s="32">
        <v>1795.3527256841412</v>
      </c>
      <c r="AK27">
        <v>320</v>
      </c>
      <c r="AL27" s="7">
        <v>0.13089077162126259</v>
      </c>
      <c r="AN27">
        <v>2</v>
      </c>
      <c r="AP27" s="60">
        <v>0.4</v>
      </c>
      <c r="AQ27" s="61">
        <v>35</v>
      </c>
    </row>
    <row r="28" spans="1:73" x14ac:dyDescent="0.3">
      <c r="A28">
        <v>79426</v>
      </c>
      <c r="B28">
        <v>3</v>
      </c>
      <c r="C28">
        <v>9</v>
      </c>
      <c r="D28">
        <v>1982</v>
      </c>
      <c r="E28">
        <v>12</v>
      </c>
      <c r="F28">
        <v>6</v>
      </c>
      <c r="G28">
        <v>1985</v>
      </c>
      <c r="H28">
        <v>72</v>
      </c>
      <c r="I28" s="32">
        <f t="shared" si="2"/>
        <v>14.970562748477139</v>
      </c>
      <c r="J28" s="1">
        <v>2.77534246575342</v>
      </c>
      <c r="K28" s="32">
        <f t="shared" si="3"/>
        <v>15.637908512518814</v>
      </c>
      <c r="L28" s="32">
        <f t="shared" si="10"/>
        <v>77.773954173995904</v>
      </c>
      <c r="M28" s="1">
        <f t="shared" si="4"/>
        <v>0.22871060641088042</v>
      </c>
      <c r="N28">
        <v>-1.4006445780978538</v>
      </c>
      <c r="O28" s="32">
        <f t="shared" si="11"/>
        <v>14.96806848328526</v>
      </c>
      <c r="P28" s="32">
        <f t="shared" si="5"/>
        <v>71.978837013364611</v>
      </c>
      <c r="Q28">
        <v>12</v>
      </c>
      <c r="R28">
        <v>84</v>
      </c>
      <c r="S28" s="32">
        <f t="shared" si="6"/>
        <v>8.8405752459119533</v>
      </c>
      <c r="T28" s="1">
        <f t="shared" si="7"/>
        <v>8.8394845738088996</v>
      </c>
      <c r="U28" s="1">
        <f t="shared" si="12"/>
        <v>9.1231764636211281</v>
      </c>
      <c r="V28" s="1">
        <f t="shared" si="8"/>
        <v>2.5082942972236983</v>
      </c>
      <c r="W28" s="1">
        <f t="shared" si="13"/>
        <v>8.0481088345233584E-2</v>
      </c>
      <c r="X28" s="1">
        <f t="shared" si="14"/>
        <v>-0.28369188981222848</v>
      </c>
      <c r="Y28" s="39">
        <f t="shared" si="9"/>
        <v>77.630294292437966</v>
      </c>
      <c r="AB28">
        <v>23</v>
      </c>
      <c r="AC28" s="7">
        <v>0.77824959980290342</v>
      </c>
      <c r="AD28">
        <v>2.1507000312989595</v>
      </c>
      <c r="AE28">
        <v>0.96148363583827723</v>
      </c>
      <c r="AF28" s="7">
        <v>3.9277733507102452E-2</v>
      </c>
      <c r="AG28" s="10">
        <v>131.06531548515878</v>
      </c>
      <c r="AH28" s="1">
        <v>1.7122978028162299</v>
      </c>
      <c r="AI28" s="10">
        <v>304.40967164039597</v>
      </c>
      <c r="AJ28" s="32">
        <v>1766.1281773307442</v>
      </c>
      <c r="AK28">
        <v>320</v>
      </c>
      <c r="AL28" s="7">
        <v>0.97533595436456533</v>
      </c>
      <c r="AN28">
        <v>2.1</v>
      </c>
      <c r="AP28" s="60">
        <v>0.5</v>
      </c>
      <c r="AQ28" s="61">
        <v>67</v>
      </c>
      <c r="BJ28" s="40"/>
      <c r="BK28" s="7"/>
      <c r="BM28" s="40"/>
      <c r="BN28" s="7"/>
      <c r="BP28" s="7"/>
      <c r="BS28" s="10"/>
      <c r="BT28" s="7"/>
      <c r="BU28" s="7"/>
    </row>
    <row r="29" spans="1:73" x14ac:dyDescent="0.3">
      <c r="A29">
        <v>79046</v>
      </c>
      <c r="B29">
        <v>2</v>
      </c>
      <c r="C29">
        <v>8</v>
      </c>
      <c r="D29">
        <v>1982</v>
      </c>
      <c r="E29">
        <v>10</v>
      </c>
      <c r="F29">
        <v>9</v>
      </c>
      <c r="G29">
        <v>1982</v>
      </c>
      <c r="H29">
        <v>89</v>
      </c>
      <c r="I29" s="32">
        <f t="shared" si="2"/>
        <v>16.867962264113206</v>
      </c>
      <c r="J29" s="1">
        <v>0.106849315068493</v>
      </c>
      <c r="K29" s="32">
        <f t="shared" si="3"/>
        <v>16.885080923724516</v>
      </c>
      <c r="L29" s="32">
        <f t="shared" si="10"/>
        <v>89.161570373905903</v>
      </c>
      <c r="M29" s="1">
        <f t="shared" si="4"/>
        <v>1.0062877406283401E-2</v>
      </c>
      <c r="N29">
        <v>9.9266799225006253E-2</v>
      </c>
      <c r="O29" s="32">
        <f t="shared" si="11"/>
        <v>16.895038762937713</v>
      </c>
      <c r="P29" s="32">
        <f t="shared" si="5"/>
        <v>89.255622463229685</v>
      </c>
      <c r="Q29">
        <v>-1</v>
      </c>
      <c r="R29">
        <v>88</v>
      </c>
      <c r="S29" s="32">
        <f t="shared" si="6"/>
        <v>9.6531585939267348</v>
      </c>
      <c r="T29" s="1">
        <f t="shared" si="7"/>
        <v>9.6645192841299892</v>
      </c>
      <c r="U29" s="1">
        <f t="shared" si="12"/>
        <v>9.6597966470051624</v>
      </c>
      <c r="V29" s="1">
        <f t="shared" si="8"/>
        <v>0.11258484532111496</v>
      </c>
      <c r="W29" s="1">
        <f t="shared" si="13"/>
        <v>2.2303301412792247E-5</v>
      </c>
      <c r="X29" s="1">
        <f t="shared" si="14"/>
        <v>4.7226371248267895E-3</v>
      </c>
      <c r="Y29" s="39">
        <f t="shared" si="9"/>
        <v>89.149298502843195</v>
      </c>
      <c r="AB29">
        <v>24</v>
      </c>
      <c r="AC29" s="7">
        <v>0.31710875376596165</v>
      </c>
      <c r="AD29">
        <v>0.733028889547651</v>
      </c>
      <c r="AE29">
        <v>0.93256402132015592</v>
      </c>
      <c r="AF29" s="7">
        <v>6.9817474249639522E-2</v>
      </c>
      <c r="AG29" s="10">
        <v>110.57725680726993</v>
      </c>
      <c r="AH29" s="1">
        <v>0.29988585631874642</v>
      </c>
      <c r="AI29" s="10">
        <v>6.1309724259040532</v>
      </c>
      <c r="AJ29" s="32">
        <v>1797.5376743304173</v>
      </c>
      <c r="AK29">
        <v>320</v>
      </c>
      <c r="AL29" s="7">
        <v>0.13841708287256368</v>
      </c>
      <c r="AN29">
        <v>2.2000000000000002</v>
      </c>
      <c r="AP29" s="60">
        <v>0.6</v>
      </c>
      <c r="AQ29" s="61">
        <v>71</v>
      </c>
    </row>
    <row r="30" spans="1:73" x14ac:dyDescent="0.3">
      <c r="A30">
        <v>76735</v>
      </c>
      <c r="B30">
        <v>30</v>
      </c>
      <c r="C30">
        <v>7</v>
      </c>
      <c r="D30">
        <v>1982</v>
      </c>
      <c r="E30">
        <v>5</v>
      </c>
      <c r="F30">
        <v>5</v>
      </c>
      <c r="G30">
        <v>1986</v>
      </c>
      <c r="H30">
        <v>45</v>
      </c>
      <c r="I30" s="32">
        <f t="shared" si="2"/>
        <v>11.416407864998739</v>
      </c>
      <c r="J30" s="1">
        <v>3.7671232876712302</v>
      </c>
      <c r="K30" s="32">
        <f t="shared" si="3"/>
        <v>12.924597546141996</v>
      </c>
      <c r="L30" s="32">
        <f t="shared" si="10"/>
        <v>55.68590297857692</v>
      </c>
      <c r="M30" s="1">
        <f t="shared" si="4"/>
        <v>0.29588270916155052</v>
      </c>
      <c r="N30">
        <v>-1.7955062503460795</v>
      </c>
      <c r="O30" s="32">
        <f t="shared" si="11"/>
        <v>11.947930094797018</v>
      </c>
      <c r="P30" s="32">
        <f t="shared" si="5"/>
        <v>48.636188482336088</v>
      </c>
      <c r="Q30">
        <v>31</v>
      </c>
      <c r="R30">
        <v>76</v>
      </c>
      <c r="S30" s="32">
        <f t="shared" si="6"/>
        <v>7.2165468248464988</v>
      </c>
      <c r="T30" s="1">
        <f t="shared" si="7"/>
        <v>7.4691637212015811</v>
      </c>
      <c r="U30" s="1">
        <f t="shared" si="12"/>
        <v>7.9139775155224807</v>
      </c>
      <c r="V30" s="1">
        <f t="shared" si="8"/>
        <v>3.2226918025796256</v>
      </c>
      <c r="W30" s="1">
        <f t="shared" si="13"/>
        <v>0.19785931161815559</v>
      </c>
      <c r="X30" s="1">
        <f t="shared" si="14"/>
        <v>-0.44481379432089962</v>
      </c>
      <c r="Y30" s="39">
        <f t="shared" si="9"/>
        <v>55.52588441961764</v>
      </c>
      <c r="AB30">
        <v>25</v>
      </c>
      <c r="AC30" s="7">
        <v>0.18907553725820073</v>
      </c>
      <c r="AD30">
        <v>0.39343239695142423</v>
      </c>
      <c r="AE30">
        <v>0.94999254354918128</v>
      </c>
      <c r="AF30" s="7">
        <v>5.1301143313951927E-2</v>
      </c>
      <c r="AG30" s="10">
        <v>123.93427623140447</v>
      </c>
      <c r="AH30" s="1">
        <v>0.12439589827919095</v>
      </c>
      <c r="AI30" s="10">
        <v>2.1813379570274738</v>
      </c>
      <c r="AJ30" s="32">
        <v>1837.1093526567679</v>
      </c>
      <c r="AK30">
        <v>320</v>
      </c>
      <c r="AL30" s="7">
        <v>8.2563194679656476E-2</v>
      </c>
      <c r="AN30">
        <v>2.2999999999999998</v>
      </c>
      <c r="AP30" s="60">
        <v>0.7</v>
      </c>
      <c r="AQ30" s="61">
        <v>93</v>
      </c>
    </row>
    <row r="31" spans="1:73" x14ac:dyDescent="0.3">
      <c r="A31">
        <v>22910</v>
      </c>
      <c r="B31">
        <v>28</v>
      </c>
      <c r="C31">
        <v>7</v>
      </c>
      <c r="D31">
        <v>1982</v>
      </c>
      <c r="E31">
        <v>1</v>
      </c>
      <c r="F31">
        <v>5</v>
      </c>
      <c r="G31">
        <v>1984</v>
      </c>
      <c r="H31">
        <v>70</v>
      </c>
      <c r="I31" s="32">
        <f t="shared" si="2"/>
        <v>14.733200530681511</v>
      </c>
      <c r="J31" s="1">
        <v>1.7616438356164399</v>
      </c>
      <c r="K31" s="32">
        <f t="shared" si="3"/>
        <v>15.188242745988365</v>
      </c>
      <c r="L31" s="32">
        <f t="shared" si="10"/>
        <v>73.858922173755417</v>
      </c>
      <c r="M31" s="1">
        <f t="shared" si="4"/>
        <v>0.15261399493444028</v>
      </c>
      <c r="N31">
        <v>0.607200263402774</v>
      </c>
      <c r="O31" s="32">
        <f t="shared" si="11"/>
        <v>15.425450636708181</v>
      </c>
      <c r="P31" s="32">
        <f t="shared" si="5"/>
        <v>75.911582473088387</v>
      </c>
      <c r="Q31">
        <v>6</v>
      </c>
      <c r="R31">
        <v>76</v>
      </c>
      <c r="S31" s="32">
        <f t="shared" si="6"/>
        <v>8.736503742677316</v>
      </c>
      <c r="T31" s="1">
        <f t="shared" si="7"/>
        <v>9.0384605955505855</v>
      </c>
      <c r="U31" s="1">
        <f t="shared" si="12"/>
        <v>8.9315282478655007</v>
      </c>
      <c r="V31" s="1">
        <f t="shared" si="8"/>
        <v>1.6860592270796613</v>
      </c>
      <c r="W31" s="1">
        <f t="shared" si="13"/>
        <v>1.143452698144385E-2</v>
      </c>
      <c r="X31" s="1">
        <f t="shared" si="14"/>
        <v>0.10693234768508475</v>
      </c>
      <c r="Y31" s="39">
        <f t="shared" si="9"/>
        <v>73.780046022580606</v>
      </c>
      <c r="AB31">
        <v>26</v>
      </c>
      <c r="AC31" s="7">
        <v>0.31580697037030686</v>
      </c>
      <c r="AD31">
        <v>0.65809420155433229</v>
      </c>
      <c r="AE31">
        <v>0.93946902895352902</v>
      </c>
      <c r="AF31" s="7">
        <v>6.2440426128584629E-2</v>
      </c>
      <c r="AG31" s="10">
        <v>111.6620847362874</v>
      </c>
      <c r="AH31" s="1">
        <v>0.26836170705761075</v>
      </c>
      <c r="AI31" s="10">
        <v>5.2148759210701607</v>
      </c>
      <c r="AJ31" s="32">
        <v>1751.2804605177832</v>
      </c>
      <c r="AK31">
        <v>320</v>
      </c>
      <c r="AL31" s="7">
        <v>0.12765769562914825</v>
      </c>
      <c r="AN31">
        <v>2.4</v>
      </c>
      <c r="AP31" s="60">
        <v>0.8</v>
      </c>
      <c r="AQ31" s="61">
        <v>90</v>
      </c>
    </row>
    <row r="32" spans="1:73" x14ac:dyDescent="0.3">
      <c r="A32">
        <v>79602</v>
      </c>
      <c r="B32">
        <v>6</v>
      </c>
      <c r="C32">
        <v>9</v>
      </c>
      <c r="D32">
        <v>1982</v>
      </c>
      <c r="E32">
        <v>10</v>
      </c>
      <c r="F32">
        <v>7</v>
      </c>
      <c r="G32">
        <v>1984</v>
      </c>
      <c r="H32">
        <v>78</v>
      </c>
      <c r="I32" s="32">
        <f t="shared" si="2"/>
        <v>15.663521732655695</v>
      </c>
      <c r="J32" s="1">
        <v>1.84383561643836</v>
      </c>
      <c r="K32" s="32">
        <f t="shared" si="3"/>
        <v>16.054853234631199</v>
      </c>
      <c r="L32" s="32">
        <f t="shared" si="10"/>
        <v>81.494431331018177</v>
      </c>
      <c r="M32" s="1">
        <f t="shared" si="4"/>
        <v>0.15908305339624854</v>
      </c>
      <c r="N32">
        <v>-0.84406565292738378</v>
      </c>
      <c r="O32" s="32">
        <f t="shared" si="11"/>
        <v>15.718195817462933</v>
      </c>
      <c r="P32" s="32">
        <f t="shared" si="5"/>
        <v>78.483615756490252</v>
      </c>
      <c r="Q32">
        <v>6</v>
      </c>
      <c r="R32">
        <v>84</v>
      </c>
      <c r="S32" s="32">
        <f t="shared" si="6"/>
        <v>9.1412290377968759</v>
      </c>
      <c r="T32" s="1">
        <f t="shared" si="7"/>
        <v>9.1647544395739828</v>
      </c>
      <c r="U32" s="1">
        <f t="shared" si="12"/>
        <v>9.3030208280540823</v>
      </c>
      <c r="V32" s="1">
        <f t="shared" si="8"/>
        <v>1.7564639036117948</v>
      </c>
      <c r="W32" s="1">
        <f t="shared" si="13"/>
        <v>1.911759418332977E-2</v>
      </c>
      <c r="X32" s="1">
        <f t="shared" si="14"/>
        <v>-0.13826638848009942</v>
      </c>
      <c r="Y32" s="39">
        <f t="shared" si="9"/>
        <v>81.368087199281234</v>
      </c>
      <c r="AB32">
        <v>27</v>
      </c>
      <c r="AC32" s="7">
        <v>1.0715080552689102</v>
      </c>
      <c r="AD32">
        <v>6.7095824299846285</v>
      </c>
      <c r="AE32">
        <v>0.9599405588584079</v>
      </c>
      <c r="AF32" s="7">
        <v>4.0883914293069798E-2</v>
      </c>
      <c r="AG32" s="10">
        <v>127.58992996752379</v>
      </c>
      <c r="AH32" s="1">
        <v>7.2294310623608702</v>
      </c>
      <c r="AI32" s="10">
        <v>4045.3721754374374</v>
      </c>
      <c r="AJ32" s="32">
        <v>1766.7624763928661</v>
      </c>
      <c r="AK32">
        <v>320</v>
      </c>
      <c r="AL32" s="7">
        <v>3.5555292219642904</v>
      </c>
      <c r="AN32">
        <v>2.5</v>
      </c>
      <c r="AP32" s="60">
        <v>0.9</v>
      </c>
      <c r="AQ32" s="61">
        <v>79</v>
      </c>
    </row>
    <row r="33" spans="1:43" x14ac:dyDescent="0.3">
      <c r="A33">
        <v>22999</v>
      </c>
      <c r="B33">
        <v>30</v>
      </c>
      <c r="C33">
        <v>7</v>
      </c>
      <c r="D33">
        <v>1982</v>
      </c>
      <c r="E33">
        <v>9</v>
      </c>
      <c r="F33">
        <v>7</v>
      </c>
      <c r="G33">
        <v>1993</v>
      </c>
      <c r="H33">
        <v>57</v>
      </c>
      <c r="I33" s="32">
        <f t="shared" si="2"/>
        <v>13.0996688705415</v>
      </c>
      <c r="J33" s="1">
        <v>10.9506849315068</v>
      </c>
      <c r="K33" s="32">
        <f t="shared" si="3"/>
        <v>16.065150265250757</v>
      </c>
      <c r="L33" s="32">
        <f t="shared" si="10"/>
        <v>81.587413526522383</v>
      </c>
      <c r="M33" s="1">
        <f t="shared" si="4"/>
        <v>0.62291587443114571</v>
      </c>
      <c r="N33">
        <v>-0.34260665415786207</v>
      </c>
      <c r="O33" s="32">
        <f t="shared" si="11"/>
        <v>15.794747895753357</v>
      </c>
      <c r="P33" s="32">
        <f t="shared" si="5"/>
        <v>79.163263168354632</v>
      </c>
      <c r="Q33">
        <v>30</v>
      </c>
      <c r="R33">
        <v>87</v>
      </c>
      <c r="S33" s="32">
        <f t="shared" si="6"/>
        <v>8.0041122654507237</v>
      </c>
      <c r="T33" s="1">
        <f t="shared" si="7"/>
        <v>9.1976464657466543</v>
      </c>
      <c r="U33" s="1">
        <f t="shared" si="12"/>
        <v>9.2929368496794442</v>
      </c>
      <c r="V33" s="1">
        <f t="shared" si="8"/>
        <v>6.5072078447864818</v>
      </c>
      <c r="W33" s="1">
        <f t="shared" si="13"/>
        <v>9.0802572700584994E-3</v>
      </c>
      <c r="X33" s="1">
        <f t="shared" si="14"/>
        <v>-9.5290383932789879E-2</v>
      </c>
      <c r="Y33" s="39">
        <f t="shared" si="9"/>
        <v>81.155272939261877</v>
      </c>
      <c r="AB33">
        <v>28</v>
      </c>
      <c r="AC33" s="7">
        <v>0.34472219434227769</v>
      </c>
      <c r="AD33">
        <v>0.73550428945906066</v>
      </c>
      <c r="AE33">
        <v>0.93827215384690599</v>
      </c>
      <c r="AF33" s="7">
        <v>6.3715229365234272E-2</v>
      </c>
      <c r="AG33" s="10">
        <v>113.35020389294242</v>
      </c>
      <c r="AH33" s="1">
        <v>0.31527249876357916</v>
      </c>
      <c r="AI33" s="10">
        <v>7.579606349145501</v>
      </c>
      <c r="AJ33" s="32">
        <v>1791.0085285628872</v>
      </c>
      <c r="AK33">
        <v>320</v>
      </c>
      <c r="AL33" s="7">
        <v>0.15390344323984337</v>
      </c>
      <c r="AN33">
        <v>2.6</v>
      </c>
      <c r="AP33" s="60">
        <v>1</v>
      </c>
      <c r="AQ33" s="61">
        <v>60</v>
      </c>
    </row>
    <row r="34" spans="1:43" x14ac:dyDescent="0.3">
      <c r="A34">
        <v>79548</v>
      </c>
      <c r="B34">
        <v>5</v>
      </c>
      <c r="C34">
        <v>9</v>
      </c>
      <c r="D34">
        <v>1982</v>
      </c>
      <c r="E34">
        <v>24</v>
      </c>
      <c r="F34">
        <v>8</v>
      </c>
      <c r="G34">
        <v>1988</v>
      </c>
      <c r="H34">
        <v>77</v>
      </c>
      <c r="I34" s="32">
        <f t="shared" si="2"/>
        <v>15.549928774784245</v>
      </c>
      <c r="J34" s="1">
        <v>5.97260273972603</v>
      </c>
      <c r="K34" s="32">
        <f t="shared" si="3"/>
        <v>16.72418847878895</v>
      </c>
      <c r="L34" s="32">
        <f t="shared" si="10"/>
        <v>87.648808547303204</v>
      </c>
      <c r="M34" s="1">
        <f t="shared" si="4"/>
        <v>0.42287911810588663</v>
      </c>
      <c r="N34">
        <v>1.810271896829363</v>
      </c>
      <c r="O34" s="32">
        <f t="shared" si="11"/>
        <v>17.90139302169905</v>
      </c>
      <c r="P34" s="32">
        <f t="shared" si="5"/>
        <v>99.016361051032916</v>
      </c>
      <c r="Q34">
        <v>32</v>
      </c>
      <c r="R34">
        <v>109</v>
      </c>
      <c r="S34" s="32">
        <f t="shared" si="6"/>
        <v>9.0922615112669138</v>
      </c>
      <c r="T34" s="1">
        <f t="shared" si="7"/>
        <v>10.082400847518503</v>
      </c>
      <c r="U34" s="1">
        <f t="shared" si="12"/>
        <v>9.572832076165513</v>
      </c>
      <c r="V34" s="1">
        <f t="shared" si="8"/>
        <v>4.5404130392261957</v>
      </c>
      <c r="W34" s="1">
        <f t="shared" si="13"/>
        <v>0.259660332738196</v>
      </c>
      <c r="X34" s="1">
        <f t="shared" si="14"/>
        <v>0.50956877135299017</v>
      </c>
      <c r="Y34" s="39">
        <f t="shared" si="9"/>
        <v>87.207068635424676</v>
      </c>
      <c r="AB34">
        <v>29</v>
      </c>
      <c r="AC34" s="7">
        <v>0.30156567444783361</v>
      </c>
      <c r="AD34">
        <v>0.55311392993926078</v>
      </c>
      <c r="AE34">
        <v>0.94850067512086178</v>
      </c>
      <c r="AF34" s="7">
        <v>5.2872777829923702E-2</v>
      </c>
      <c r="AG34" s="10">
        <v>120.22148901283003</v>
      </c>
      <c r="AH34" s="1">
        <v>0.21829950020776318</v>
      </c>
      <c r="AI34" s="10">
        <v>5.1182630316154167</v>
      </c>
      <c r="AJ34" s="32">
        <v>1791.8849551483672</v>
      </c>
      <c r="AK34">
        <v>320</v>
      </c>
      <c r="AL34" s="7">
        <v>0.12646964842917124</v>
      </c>
      <c r="AN34">
        <v>2.7</v>
      </c>
      <c r="AP34" s="60">
        <v>1.1000000000000001</v>
      </c>
      <c r="AQ34" s="61">
        <v>72</v>
      </c>
    </row>
    <row r="35" spans="1:43" x14ac:dyDescent="0.3">
      <c r="A35">
        <v>77081</v>
      </c>
      <c r="B35">
        <v>1</v>
      </c>
      <c r="C35">
        <v>8</v>
      </c>
      <c r="D35">
        <v>1982</v>
      </c>
      <c r="E35">
        <v>8</v>
      </c>
      <c r="F35">
        <v>5</v>
      </c>
      <c r="G35">
        <v>1987</v>
      </c>
      <c r="H35">
        <v>82</v>
      </c>
      <c r="I35" s="32">
        <f t="shared" si="2"/>
        <v>16.110770276274835</v>
      </c>
      <c r="J35" s="1">
        <v>4.7698630136986298</v>
      </c>
      <c r="K35" s="32">
        <f t="shared" si="3"/>
        <v>16.954853121965002</v>
      </c>
      <c r="L35" s="32">
        <f t="shared" si="10"/>
        <v>89.821614218816592</v>
      </c>
      <c r="M35" s="1">
        <f t="shared" si="4"/>
        <v>0.35719321416388605</v>
      </c>
      <c r="N35">
        <v>1.0530766303418204</v>
      </c>
      <c r="O35" s="32">
        <f t="shared" si="11"/>
        <v>17.584231146519713</v>
      </c>
      <c r="P35" s="32">
        <f t="shared" si="5"/>
        <v>95.885527400078203</v>
      </c>
      <c r="Q35">
        <v>12</v>
      </c>
      <c r="R35">
        <v>94</v>
      </c>
      <c r="S35" s="32">
        <f t="shared" si="6"/>
        <v>9.332855979925947</v>
      </c>
      <c r="T35" s="1">
        <f t="shared" si="7"/>
        <v>9.9516027916335048</v>
      </c>
      <c r="U35" s="1">
        <f t="shared" si="12"/>
        <v>9.6706309488983493</v>
      </c>
      <c r="V35" s="1">
        <f t="shared" si="8"/>
        <v>3.8645630462225444</v>
      </c>
      <c r="W35" s="1">
        <f t="shared" si="13"/>
        <v>7.8945176409988965E-2</v>
      </c>
      <c r="X35" s="1">
        <f t="shared" si="14"/>
        <v>0.28097184273515552</v>
      </c>
      <c r="Y35" s="39">
        <f t="shared" si="9"/>
        <v>89.393349040472359</v>
      </c>
      <c r="AB35">
        <v>30</v>
      </c>
      <c r="AC35" s="7">
        <v>0.38800673137946207</v>
      </c>
      <c r="AD35">
        <v>0.77849443490677739</v>
      </c>
      <c r="AE35">
        <v>0.94390350798486211</v>
      </c>
      <c r="AF35" s="7">
        <v>5.7731334178790554E-2</v>
      </c>
      <c r="AG35" s="10">
        <v>118.86748095001917</v>
      </c>
      <c r="AH35" s="1">
        <v>0.35815757310041796</v>
      </c>
      <c r="AI35" s="10">
        <v>11.236237281995422</v>
      </c>
      <c r="AJ35" s="32">
        <v>1799.5177457776788</v>
      </c>
      <c r="AK35">
        <v>320</v>
      </c>
      <c r="AL35" s="7">
        <v>0.18738527558545173</v>
      </c>
      <c r="AN35">
        <v>2.8</v>
      </c>
      <c r="AP35" s="60">
        <v>1.2</v>
      </c>
      <c r="AQ35" s="61">
        <v>33</v>
      </c>
    </row>
    <row r="36" spans="1:43" x14ac:dyDescent="0.3">
      <c r="A36">
        <v>79404</v>
      </c>
      <c r="B36">
        <v>2</v>
      </c>
      <c r="C36">
        <v>9</v>
      </c>
      <c r="D36">
        <v>1982</v>
      </c>
      <c r="E36">
        <v>8</v>
      </c>
      <c r="F36">
        <v>6</v>
      </c>
      <c r="G36">
        <v>1985</v>
      </c>
      <c r="H36">
        <v>112</v>
      </c>
      <c r="I36" s="32">
        <f t="shared" si="2"/>
        <v>19.166010488516726</v>
      </c>
      <c r="J36" s="1">
        <v>2.7671232876712302</v>
      </c>
      <c r="K36" s="32">
        <f t="shared" si="3"/>
        <v>19.276365842959613</v>
      </c>
      <c r="L36" s="32">
        <f t="shared" si="10"/>
        <v>113.17093587086464</v>
      </c>
      <c r="M36" s="1">
        <f t="shared" si="4"/>
        <v>0.2281248854975628</v>
      </c>
      <c r="N36">
        <v>0.47886032916721888</v>
      </c>
      <c r="O36" s="32">
        <f t="shared" si="11"/>
        <v>19.505081129137544</v>
      </c>
      <c r="P36" s="32">
        <f t="shared" si="5"/>
        <v>115.61712859269693</v>
      </c>
      <c r="Q36">
        <v>18</v>
      </c>
      <c r="R36">
        <v>130</v>
      </c>
      <c r="S36" s="32">
        <f t="shared" si="6"/>
        <v>10.596106951117301</v>
      </c>
      <c r="T36" s="1">
        <f t="shared" si="7"/>
        <v>10.731805563563292</v>
      </c>
      <c r="U36" s="1">
        <f t="shared" si="12"/>
        <v>10.612722688863309</v>
      </c>
      <c r="V36" s="1">
        <f t="shared" si="8"/>
        <v>2.5020164796772386</v>
      </c>
      <c r="W36" s="1">
        <f t="shared" si="13"/>
        <v>1.4180731046811697E-2</v>
      </c>
      <c r="X36" s="1">
        <f t="shared" si="14"/>
        <v>0.11908287469998236</v>
      </c>
      <c r="Y36" s="39">
        <f t="shared" si="9"/>
        <v>112.43862593850683</v>
      </c>
      <c r="AB36">
        <v>31</v>
      </c>
      <c r="AC36" s="7">
        <v>0.52218879951039554</v>
      </c>
      <c r="AD36">
        <v>1.0888177171824358</v>
      </c>
      <c r="AE36">
        <v>0.94842664279107347</v>
      </c>
      <c r="AF36" s="7">
        <v>5.2950832828791441E-2</v>
      </c>
      <c r="AG36" s="10">
        <v>117.04235964260825</v>
      </c>
      <c r="AH36" s="1">
        <v>0.62014177383007207</v>
      </c>
      <c r="AI36" s="10">
        <v>30.66243371532622</v>
      </c>
      <c r="AJ36" s="32">
        <v>1743.3991535888701</v>
      </c>
      <c r="AK36">
        <v>320</v>
      </c>
      <c r="AL36" s="7">
        <v>0.30954822784243885</v>
      </c>
      <c r="AN36">
        <v>2.9</v>
      </c>
      <c r="AP36" s="60">
        <v>1.3</v>
      </c>
      <c r="AQ36" s="61">
        <v>32</v>
      </c>
    </row>
    <row r="37" spans="1:43" x14ac:dyDescent="0.3">
      <c r="A37">
        <v>78903</v>
      </c>
      <c r="B37">
        <v>28</v>
      </c>
      <c r="C37">
        <v>7</v>
      </c>
      <c r="D37">
        <v>1982</v>
      </c>
      <c r="E37">
        <v>23</v>
      </c>
      <c r="F37">
        <v>8</v>
      </c>
      <c r="G37">
        <v>1988</v>
      </c>
      <c r="H37">
        <v>72</v>
      </c>
      <c r="I37" s="32">
        <f t="shared" si="2"/>
        <v>14.970562748477139</v>
      </c>
      <c r="J37" s="1">
        <v>6.0767123287671199</v>
      </c>
      <c r="K37" s="32">
        <f t="shared" si="3"/>
        <v>16.317420325726783</v>
      </c>
      <c r="L37" s="32">
        <f t="shared" si="10"/>
        <v>83.881971847337169</v>
      </c>
      <c r="M37" s="1">
        <f t="shared" si="4"/>
        <v>0.42819292759959504</v>
      </c>
      <c r="N37">
        <v>9.9651060736505315E-2</v>
      </c>
      <c r="O37" s="32">
        <f t="shared" si="11"/>
        <v>16.382628444448407</v>
      </c>
      <c r="P37" s="32">
        <f t="shared" si="5"/>
        <v>84.48025713166092</v>
      </c>
      <c r="Q37">
        <v>20</v>
      </c>
      <c r="R37">
        <v>92</v>
      </c>
      <c r="S37" s="32">
        <f t="shared" si="6"/>
        <v>8.8405752459119533</v>
      </c>
      <c r="T37" s="1">
        <f t="shared" si="7"/>
        <v>9.4484412257025667</v>
      </c>
      <c r="U37" s="1">
        <f t="shared" si="12"/>
        <v>9.4041412054235654</v>
      </c>
      <c r="V37" s="1">
        <f t="shared" si="8"/>
        <v>4.5945149014774218</v>
      </c>
      <c r="W37" s="1">
        <f t="shared" si="13"/>
        <v>1.9624917967199329E-3</v>
      </c>
      <c r="X37" s="1">
        <f t="shared" si="14"/>
        <v>4.4300020279001373E-2</v>
      </c>
      <c r="Y37" s="39">
        <f t="shared" si="9"/>
        <v>83.523596514643543</v>
      </c>
      <c r="AB37">
        <v>32</v>
      </c>
      <c r="AC37" s="7">
        <v>0.60074971721435655</v>
      </c>
      <c r="AD37">
        <v>1.3177732528624704</v>
      </c>
      <c r="AE37">
        <v>0.955042728039042</v>
      </c>
      <c r="AF37" s="7">
        <v>4.5999198100135266E-2</v>
      </c>
      <c r="AG37" s="10">
        <v>129.88634682690812</v>
      </c>
      <c r="AH37" s="1">
        <v>0.83660918097072989</v>
      </c>
      <c r="AI37" s="10">
        <v>64.1696520110373</v>
      </c>
      <c r="AJ37" s="32">
        <v>1765.3568060766243</v>
      </c>
      <c r="AK37">
        <v>320</v>
      </c>
      <c r="AL37" s="7">
        <v>0.44780594294235487</v>
      </c>
      <c r="AN37">
        <v>3</v>
      </c>
      <c r="AP37" s="60">
        <v>1.4</v>
      </c>
      <c r="AQ37" s="61">
        <v>50</v>
      </c>
    </row>
    <row r="38" spans="1:43" x14ac:dyDescent="0.3">
      <c r="A38">
        <v>78912</v>
      </c>
      <c r="B38">
        <v>28</v>
      </c>
      <c r="C38">
        <v>7</v>
      </c>
      <c r="D38">
        <v>1982</v>
      </c>
      <c r="E38">
        <v>26</v>
      </c>
      <c r="F38">
        <v>5</v>
      </c>
      <c r="G38">
        <v>1983</v>
      </c>
      <c r="H38">
        <v>70</v>
      </c>
      <c r="I38" s="32">
        <f t="shared" si="2"/>
        <v>14.733200530681511</v>
      </c>
      <c r="J38" s="1">
        <v>0.82739726027397298</v>
      </c>
      <c r="K38" s="32">
        <f t="shared" si="3"/>
        <v>14.952046389621183</v>
      </c>
      <c r="L38" s="32">
        <f t="shared" si="10"/>
        <v>71.842969198967126</v>
      </c>
      <c r="M38" s="1">
        <f t="shared" si="4"/>
        <v>7.5117564179232127E-2</v>
      </c>
      <c r="N38">
        <v>1.4190345609677024</v>
      </c>
      <c r="O38" s="32">
        <f t="shared" si="11"/>
        <v>15.340969474008272</v>
      </c>
      <c r="P38" s="32">
        <f t="shared" si="5"/>
        <v>75.177305574621684</v>
      </c>
      <c r="Q38">
        <v>2</v>
      </c>
      <c r="R38">
        <v>72</v>
      </c>
      <c r="S38" s="32">
        <f t="shared" si="6"/>
        <v>8.736503742677316</v>
      </c>
      <c r="T38" s="1">
        <f t="shared" si="7"/>
        <v>9.0018621210797569</v>
      </c>
      <c r="U38" s="1">
        <f t="shared" si="12"/>
        <v>8.8306362117227337</v>
      </c>
      <c r="V38" s="1">
        <f t="shared" si="8"/>
        <v>0.83573952941828478</v>
      </c>
      <c r="W38" s="1">
        <f t="shared" si="13"/>
        <v>2.9318312035139526E-2</v>
      </c>
      <c r="X38" s="1">
        <f t="shared" si="14"/>
        <v>0.1712259093570232</v>
      </c>
      <c r="Y38" s="39">
        <f t="shared" si="9"/>
        <v>71.807306177700198</v>
      </c>
      <c r="AB38">
        <v>33</v>
      </c>
      <c r="AC38" s="7">
        <v>0.54750188263742161</v>
      </c>
      <c r="AD38">
        <v>1.0613454922260857</v>
      </c>
      <c r="AE38">
        <v>0.95563941597222613</v>
      </c>
      <c r="AF38" s="7">
        <v>4.5374617026353051E-2</v>
      </c>
      <c r="AG38" s="10">
        <v>125.59684871273652</v>
      </c>
      <c r="AH38" s="1">
        <v>0.62544923915029671</v>
      </c>
      <c r="AI38" s="10">
        <v>37.141114639573175</v>
      </c>
      <c r="AJ38" s="32">
        <v>1738.7067506632534</v>
      </c>
      <c r="AK38">
        <v>320</v>
      </c>
      <c r="AL38" s="7">
        <v>0.34068458029189724</v>
      </c>
      <c r="AN38">
        <v>3.1</v>
      </c>
      <c r="AP38" s="60">
        <v>1.5</v>
      </c>
      <c r="AQ38" s="61">
        <v>38</v>
      </c>
    </row>
    <row r="39" spans="1:43" x14ac:dyDescent="0.3">
      <c r="A39">
        <v>79564</v>
      </c>
      <c r="B39">
        <v>5</v>
      </c>
      <c r="C39">
        <v>9</v>
      </c>
      <c r="D39">
        <v>1982</v>
      </c>
      <c r="E39">
        <v>21</v>
      </c>
      <c r="F39">
        <v>8</v>
      </c>
      <c r="G39">
        <v>1988</v>
      </c>
      <c r="H39">
        <v>76</v>
      </c>
      <c r="I39" s="32">
        <f t="shared" si="2"/>
        <v>15.435595774162696</v>
      </c>
      <c r="J39" s="1">
        <v>5.9643835616438396</v>
      </c>
      <c r="K39" s="32">
        <f t="shared" si="3"/>
        <v>16.638608199535934</v>
      </c>
      <c r="L39" s="32">
        <f t="shared" si="10"/>
        <v>86.849428903952045</v>
      </c>
      <c r="M39" s="1">
        <f t="shared" si="4"/>
        <v>0.42245718474285437</v>
      </c>
      <c r="N39">
        <v>-9.2734353529522195E-2</v>
      </c>
      <c r="O39" s="32">
        <f t="shared" si="11"/>
        <v>16.578333924007733</v>
      </c>
      <c r="P39" s="32">
        <f t="shared" si="5"/>
        <v>86.288622847984144</v>
      </c>
      <c r="Q39">
        <v>8</v>
      </c>
      <c r="R39">
        <v>84</v>
      </c>
      <c r="S39" s="32">
        <f t="shared" si="6"/>
        <v>9.0428509961318699</v>
      </c>
      <c r="T39" s="1">
        <f t="shared" si="7"/>
        <v>9.5312398305832726</v>
      </c>
      <c r="U39" s="1">
        <f t="shared" si="12"/>
        <v>9.5375668279792194</v>
      </c>
      <c r="V39" s="1">
        <f t="shared" si="8"/>
        <v>4.5361133743859439</v>
      </c>
      <c r="W39" s="1">
        <f t="shared" si="13"/>
        <v>4.0030896048317286E-5</v>
      </c>
      <c r="X39" s="1">
        <f t="shared" si="14"/>
        <v>-6.3269973959467762E-3</v>
      </c>
      <c r="Y39" s="39">
        <f t="shared" si="9"/>
        <v>86.427901842904788</v>
      </c>
      <c r="AB39">
        <v>34</v>
      </c>
      <c r="AC39" s="7">
        <v>0.53629955056459677</v>
      </c>
      <c r="AD39">
        <v>1.0718409468876831</v>
      </c>
      <c r="AE39">
        <v>0.95394554335768122</v>
      </c>
      <c r="AF39" s="7">
        <v>4.7148691597411092E-2</v>
      </c>
      <c r="AG39" s="10">
        <v>127.80331894730385</v>
      </c>
      <c r="AH39" s="1">
        <v>0.62088227473491509</v>
      </c>
      <c r="AI39" s="10">
        <v>36.215246574781695</v>
      </c>
      <c r="AJ39" s="32">
        <v>1762.7107324163899</v>
      </c>
      <c r="AK39">
        <v>320</v>
      </c>
      <c r="AL39" s="7">
        <v>0.33641142303166938</v>
      </c>
      <c r="AN39">
        <v>3.2</v>
      </c>
      <c r="AP39" s="60">
        <v>1.6</v>
      </c>
      <c r="AQ39" s="61">
        <v>33</v>
      </c>
    </row>
    <row r="40" spans="1:43" x14ac:dyDescent="0.3">
      <c r="A40">
        <v>22599</v>
      </c>
      <c r="B40">
        <v>25</v>
      </c>
      <c r="C40">
        <v>7</v>
      </c>
      <c r="D40">
        <v>1982</v>
      </c>
      <c r="E40">
        <v>29</v>
      </c>
      <c r="F40">
        <v>7</v>
      </c>
      <c r="G40">
        <v>1984</v>
      </c>
      <c r="H40">
        <v>66</v>
      </c>
      <c r="I40" s="32">
        <f t="shared" si="2"/>
        <v>14.248076809271922</v>
      </c>
      <c r="J40" s="1">
        <v>2.0136986301369899</v>
      </c>
      <c r="K40" s="32">
        <f t="shared" si="3"/>
        <v>14.812535562059185</v>
      </c>
      <c r="L40" s="32">
        <f t="shared" si="10"/>
        <v>70.665338006376189</v>
      </c>
      <c r="M40" s="1">
        <f t="shared" si="4"/>
        <v>0.17228083225004931</v>
      </c>
      <c r="N40">
        <v>0.42840611058636568</v>
      </c>
      <c r="O40" s="32">
        <f t="shared" si="11"/>
        <v>14.990352913541546</v>
      </c>
      <c r="P40" s="32">
        <f t="shared" si="5"/>
        <v>72.168023031672419</v>
      </c>
      <c r="Q40">
        <v>3</v>
      </c>
      <c r="R40">
        <v>69</v>
      </c>
      <c r="S40" s="32">
        <f t="shared" si="6"/>
        <v>8.5220073941514993</v>
      </c>
      <c r="T40" s="1">
        <f t="shared" si="7"/>
        <v>8.849226732281096</v>
      </c>
      <c r="U40" s="1">
        <f t="shared" si="12"/>
        <v>8.7674106411859754</v>
      </c>
      <c r="V40" s="1">
        <f t="shared" si="8"/>
        <v>1.8998141229083922</v>
      </c>
      <c r="W40" s="1">
        <f t="shared" si="13"/>
        <v>6.6938727620850834E-3</v>
      </c>
      <c r="X40" s="1">
        <f t="shared" si="14"/>
        <v>8.1816091095120669E-2</v>
      </c>
      <c r="Y40" s="39">
        <f t="shared" si="9"/>
        <v>70.589879690779853</v>
      </c>
      <c r="AB40">
        <v>35</v>
      </c>
      <c r="AC40" s="7">
        <v>0.62386313841204444</v>
      </c>
      <c r="AD40">
        <v>1.4695726957445681</v>
      </c>
      <c r="AE40">
        <v>0.95151184923549337</v>
      </c>
      <c r="AF40" s="7">
        <v>4.9703139106980238E-2</v>
      </c>
      <c r="AG40" s="10">
        <v>120.84550624068719</v>
      </c>
      <c r="AH40" s="1">
        <v>0.96530038485636138</v>
      </c>
      <c r="AI40" s="10">
        <v>88.202756186118933</v>
      </c>
      <c r="AJ40" s="32">
        <v>1798.1135519610671</v>
      </c>
      <c r="AK40">
        <v>320</v>
      </c>
      <c r="AL40" s="7">
        <v>0.52500820287079486</v>
      </c>
      <c r="AN40">
        <v>3.3</v>
      </c>
      <c r="AP40" s="60">
        <v>1.7</v>
      </c>
      <c r="AQ40" s="61">
        <v>23</v>
      </c>
    </row>
    <row r="41" spans="1:43" x14ac:dyDescent="0.3">
      <c r="A41">
        <v>78849</v>
      </c>
      <c r="B41">
        <v>27</v>
      </c>
      <c r="C41">
        <v>7</v>
      </c>
      <c r="D41">
        <v>1982</v>
      </c>
      <c r="E41">
        <v>31</v>
      </c>
      <c r="F41">
        <v>5</v>
      </c>
      <c r="G41">
        <v>1986</v>
      </c>
      <c r="H41">
        <v>89</v>
      </c>
      <c r="I41" s="32">
        <f t="shared" si="2"/>
        <v>16.867962264113206</v>
      </c>
      <c r="J41" s="1">
        <v>3.8465753424657501</v>
      </c>
      <c r="K41" s="32">
        <f t="shared" si="3"/>
        <v>17.428780486767703</v>
      </c>
      <c r="L41" s="32">
        <f t="shared" si="10"/>
        <v>94.369377800751366</v>
      </c>
      <c r="M41" s="1">
        <f t="shared" si="4"/>
        <v>0.30097401354720787</v>
      </c>
      <c r="N41">
        <v>-0.22836729840491898</v>
      </c>
      <c r="O41" s="32">
        <f t="shared" si="11"/>
        <v>17.303495678105516</v>
      </c>
      <c r="P41" s="32">
        <f t="shared" si="5"/>
        <v>93.15623634865959</v>
      </c>
      <c r="Q41">
        <v>12</v>
      </c>
      <c r="R41">
        <v>101</v>
      </c>
      <c r="S41" s="32">
        <f t="shared" si="6"/>
        <v>9.6531585939267348</v>
      </c>
      <c r="T41" s="1">
        <f t="shared" si="7"/>
        <v>9.8351417681686719</v>
      </c>
      <c r="U41" s="1">
        <f t="shared" si="12"/>
        <v>9.8675534728805339</v>
      </c>
      <c r="V41" s="1">
        <f t="shared" si="8"/>
        <v>3.2763758219624184</v>
      </c>
      <c r="W41" s="1">
        <f t="shared" si="13"/>
        <v>1.0505186023289338E-3</v>
      </c>
      <c r="X41" s="1">
        <f t="shared" si="14"/>
        <v>-3.2411704711861944E-2</v>
      </c>
      <c r="Y41" s="39">
        <f t="shared" si="9"/>
        <v>93.910328332044614</v>
      </c>
      <c r="AB41">
        <v>36</v>
      </c>
      <c r="AC41" s="7">
        <v>0.35536739632502162</v>
      </c>
      <c r="AD41">
        <v>0.71421377787421558</v>
      </c>
      <c r="AE41">
        <v>0.94336747536885412</v>
      </c>
      <c r="AF41" s="7">
        <v>5.8299384697396449E-2</v>
      </c>
      <c r="AG41" s="10">
        <v>120.03084631445158</v>
      </c>
      <c r="AH41" s="1">
        <v>0.31044081529376322</v>
      </c>
      <c r="AI41" s="10">
        <v>9.0473135660037531</v>
      </c>
      <c r="AJ41" s="32">
        <v>1822.5050701529285</v>
      </c>
      <c r="AK41">
        <v>320</v>
      </c>
      <c r="AL41" s="7">
        <v>0.16814533860253672</v>
      </c>
      <c r="AN41">
        <v>3.4</v>
      </c>
      <c r="AP41" s="60">
        <v>1.8</v>
      </c>
      <c r="AQ41" s="61">
        <v>19</v>
      </c>
    </row>
    <row r="42" spans="1:43" x14ac:dyDescent="0.3">
      <c r="A42">
        <v>79429</v>
      </c>
      <c r="B42">
        <v>3</v>
      </c>
      <c r="C42">
        <v>9</v>
      </c>
      <c r="D42">
        <v>1982</v>
      </c>
      <c r="E42">
        <v>15</v>
      </c>
      <c r="F42">
        <v>6</v>
      </c>
      <c r="G42">
        <v>1983</v>
      </c>
      <c r="H42">
        <v>68</v>
      </c>
      <c r="I42" s="32">
        <f t="shared" si="2"/>
        <v>14.492422502470642</v>
      </c>
      <c r="J42" s="1">
        <v>0.78082191780821897</v>
      </c>
      <c r="K42" s="32">
        <f t="shared" si="3"/>
        <v>14.708647192554812</v>
      </c>
      <c r="L42" s="32">
        <f t="shared" si="10"/>
        <v>69.794722751317465</v>
      </c>
      <c r="M42" s="1">
        <f t="shared" si="4"/>
        <v>7.1056315085784014E-2</v>
      </c>
      <c r="N42">
        <v>-1.1123233889520634</v>
      </c>
      <c r="O42" s="32">
        <f t="shared" si="11"/>
        <v>14.412141927130419</v>
      </c>
      <c r="P42" s="32">
        <f t="shared" si="5"/>
        <v>67.339600659068054</v>
      </c>
      <c r="Q42">
        <v>6</v>
      </c>
      <c r="R42">
        <v>74</v>
      </c>
      <c r="S42" s="32">
        <f t="shared" si="6"/>
        <v>8.6303494035856811</v>
      </c>
      <c r="T42" s="1">
        <f t="shared" si="7"/>
        <v>8.5948222073409521</v>
      </c>
      <c r="U42" s="1">
        <f t="shared" si="12"/>
        <v>8.7240989772237949</v>
      </c>
      <c r="V42" s="1">
        <f t="shared" si="8"/>
        <v>0.79083723808247897</v>
      </c>
      <c r="W42" s="1">
        <f t="shared" si="13"/>
        <v>1.6712483231341481E-2</v>
      </c>
      <c r="X42" s="1">
        <f t="shared" si="14"/>
        <v>-0.12927676988284276</v>
      </c>
      <c r="Y42" s="39">
        <f t="shared" si="9"/>
        <v>69.764210760204307</v>
      </c>
      <c r="AB42">
        <v>37</v>
      </c>
      <c r="AC42" s="7">
        <v>0.35286279972271428</v>
      </c>
      <c r="AD42">
        <v>0.65353570372435588</v>
      </c>
      <c r="AE42">
        <v>0.94788338357875335</v>
      </c>
      <c r="AF42" s="7">
        <v>5.3523797396428353E-2</v>
      </c>
      <c r="AG42" s="10">
        <v>120.56698818596776</v>
      </c>
      <c r="AH42" s="1">
        <v>0.28272505455617719</v>
      </c>
      <c r="AI42" s="10">
        <v>7.4318940812611896</v>
      </c>
      <c r="AJ42" s="32">
        <v>1767.3671796571264</v>
      </c>
      <c r="AK42">
        <v>320</v>
      </c>
      <c r="AL42" s="7">
        <v>0.15239642057456998</v>
      </c>
      <c r="AN42">
        <v>3.5</v>
      </c>
      <c r="AP42" s="60">
        <v>1.9</v>
      </c>
      <c r="AQ42" s="61">
        <v>18</v>
      </c>
    </row>
    <row r="43" spans="1:43" x14ac:dyDescent="0.3">
      <c r="A43">
        <v>22670</v>
      </c>
      <c r="B43">
        <v>26</v>
      </c>
      <c r="C43">
        <v>7</v>
      </c>
      <c r="D43">
        <v>1982</v>
      </c>
      <c r="E43">
        <v>1</v>
      </c>
      <c r="F43">
        <v>5</v>
      </c>
      <c r="G43">
        <v>1986</v>
      </c>
      <c r="H43">
        <v>83</v>
      </c>
      <c r="I43" s="32">
        <f t="shared" si="2"/>
        <v>16.220867158288598</v>
      </c>
      <c r="J43" s="1">
        <v>3.7671232876712302</v>
      </c>
      <c r="K43" s="32">
        <f t="shared" si="3"/>
        <v>16.88488393190687</v>
      </c>
      <c r="L43" s="32">
        <f t="shared" si="10"/>
        <v>89.159710280398571</v>
      </c>
      <c r="M43" s="1">
        <f t="shared" si="4"/>
        <v>0.29588270916155052</v>
      </c>
      <c r="N43">
        <v>0.16254489310085773</v>
      </c>
      <c r="O43" s="32">
        <f t="shared" si="11"/>
        <v>16.973300391857013</v>
      </c>
      <c r="P43" s="32">
        <f t="shared" si="5"/>
        <v>89.996531939910369</v>
      </c>
      <c r="Q43">
        <v>32</v>
      </c>
      <c r="R43">
        <v>115</v>
      </c>
      <c r="S43" s="32">
        <f t="shared" si="6"/>
        <v>9.3797459131381409</v>
      </c>
      <c r="T43" s="1">
        <f t="shared" si="7"/>
        <v>9.6973207488159847</v>
      </c>
      <c r="U43" s="1">
        <f t="shared" si="12"/>
        <v>9.6448331966051342</v>
      </c>
      <c r="V43" s="1">
        <f t="shared" si="8"/>
        <v>3.2226918025796256</v>
      </c>
      <c r="W43" s="1">
        <f t="shared" si="13"/>
        <v>2.7549431370867627E-3</v>
      </c>
      <c r="X43" s="1">
        <f t="shared" si="14"/>
        <v>5.2487552210850552E-2</v>
      </c>
      <c r="Y43" s="39">
        <f t="shared" si="9"/>
        <v>88.81299611562477</v>
      </c>
      <c r="AB43">
        <v>38</v>
      </c>
      <c r="AC43" s="7">
        <v>0.43633777301315096</v>
      </c>
      <c r="AD43">
        <v>0.88675904492538726</v>
      </c>
      <c r="AE43">
        <v>0.94490136683110404</v>
      </c>
      <c r="AF43" s="7">
        <v>5.6674730659409867E-2</v>
      </c>
      <c r="AG43" s="10">
        <v>118.16558128375981</v>
      </c>
      <c r="AH43" s="1">
        <v>0.44202510003090811</v>
      </c>
      <c r="AI43" s="10">
        <v>17.675465863989665</v>
      </c>
      <c r="AJ43" s="32">
        <v>1808.4422236213086</v>
      </c>
      <c r="AK43">
        <v>320</v>
      </c>
      <c r="AL43" s="7">
        <v>0.23502304317868006</v>
      </c>
      <c r="AN43">
        <v>3.6</v>
      </c>
      <c r="AP43" s="60">
        <v>2</v>
      </c>
      <c r="AQ43" s="61">
        <v>25</v>
      </c>
    </row>
    <row r="44" spans="1:43" x14ac:dyDescent="0.3">
      <c r="A44">
        <v>79518</v>
      </c>
      <c r="B44">
        <v>5</v>
      </c>
      <c r="C44">
        <v>9</v>
      </c>
      <c r="D44">
        <v>1982</v>
      </c>
      <c r="E44">
        <v>7</v>
      </c>
      <c r="F44">
        <v>7</v>
      </c>
      <c r="G44">
        <v>1984</v>
      </c>
      <c r="H44">
        <v>71</v>
      </c>
      <c r="I44" s="32">
        <f t="shared" si="2"/>
        <v>14.852299546352718</v>
      </c>
      <c r="J44" s="1">
        <v>1.83835616438356</v>
      </c>
      <c r="K44" s="32">
        <f t="shared" si="3"/>
        <v>15.315520748701882</v>
      </c>
      <c r="L44" s="32">
        <f t="shared" si="10"/>
        <v>74.956814699681345</v>
      </c>
      <c r="M44" s="1">
        <f t="shared" si="4"/>
        <v>0.15865347774023775</v>
      </c>
      <c r="N44">
        <v>0.16735384633648209</v>
      </c>
      <c r="O44" s="32">
        <f t="shared" si="11"/>
        <v>15.382180009987799</v>
      </c>
      <c r="P44" s="32">
        <f t="shared" si="5"/>
        <v>75.535045474904862</v>
      </c>
      <c r="Q44">
        <v>5</v>
      </c>
      <c r="R44">
        <v>76</v>
      </c>
      <c r="S44" s="32">
        <f t="shared" si="6"/>
        <v>8.788793609685694</v>
      </c>
      <c r="T44" s="1">
        <f t="shared" si="7"/>
        <v>9.0197237238167247</v>
      </c>
      <c r="U44" s="1">
        <f t="shared" si="12"/>
        <v>8.9864662343463237</v>
      </c>
      <c r="V44" s="1">
        <f t="shared" si="8"/>
        <v>1.7517915401680622</v>
      </c>
      <c r="W44" s="1">
        <f t="shared" si="13"/>
        <v>1.1060606058738314E-3</v>
      </c>
      <c r="X44" s="1">
        <f t="shared" si="14"/>
        <v>3.3257489470400969E-2</v>
      </c>
      <c r="Y44" s="39">
        <f t="shared" si="9"/>
        <v>74.869894333463037</v>
      </c>
      <c r="AB44">
        <v>39</v>
      </c>
      <c r="AC44" s="7">
        <v>0.64229190542345072</v>
      </c>
      <c r="AD44">
        <v>1.43709850749556</v>
      </c>
      <c r="AE44">
        <v>0.95660215655628078</v>
      </c>
      <c r="AF44" s="7">
        <v>4.4367693341366088E-2</v>
      </c>
      <c r="AG44" s="10">
        <v>125.39316264560368</v>
      </c>
      <c r="AH44" s="1">
        <v>0.9664345821042396</v>
      </c>
      <c r="AI44" s="10">
        <v>97.134790309410789</v>
      </c>
      <c r="AJ44" s="32">
        <v>1780.0061718581196</v>
      </c>
      <c r="AK44">
        <v>320</v>
      </c>
      <c r="AL44" s="7">
        <v>0.55095028788168243</v>
      </c>
      <c r="AN44">
        <v>3.7</v>
      </c>
      <c r="AP44" s="60">
        <v>2.1</v>
      </c>
      <c r="AQ44" s="61">
        <v>10</v>
      </c>
    </row>
    <row r="45" spans="1:43" x14ac:dyDescent="0.3">
      <c r="A45">
        <v>79367</v>
      </c>
      <c r="B45">
        <v>29</v>
      </c>
      <c r="C45">
        <v>8</v>
      </c>
      <c r="D45">
        <v>1982</v>
      </c>
      <c r="E45">
        <v>15</v>
      </c>
      <c r="F45">
        <v>7</v>
      </c>
      <c r="G45">
        <v>1983</v>
      </c>
      <c r="H45">
        <v>70</v>
      </c>
      <c r="I45" s="32">
        <f t="shared" si="2"/>
        <v>14.733200530681511</v>
      </c>
      <c r="J45" s="1">
        <v>0.87671232876712302</v>
      </c>
      <c r="K45" s="32">
        <f t="shared" si="3"/>
        <v>14.964799215316221</v>
      </c>
      <c r="L45" s="32">
        <f t="shared" si="10"/>
        <v>71.951103103998449</v>
      </c>
      <c r="M45" s="1">
        <f t="shared" si="4"/>
        <v>7.9396612281059792E-2</v>
      </c>
      <c r="N45">
        <v>1.1170209290867206</v>
      </c>
      <c r="O45" s="32">
        <f t="shared" si="11"/>
        <v>15.279546720548204</v>
      </c>
      <c r="P45" s="32">
        <f t="shared" si="5"/>
        <v>74.645683716902042</v>
      </c>
      <c r="Q45">
        <v>2</v>
      </c>
      <c r="R45">
        <v>72</v>
      </c>
      <c r="S45" s="32">
        <f t="shared" si="6"/>
        <v>8.736503742677316</v>
      </c>
      <c r="T45" s="1">
        <f t="shared" si="7"/>
        <v>8.975209566376801</v>
      </c>
      <c r="U45" s="1">
        <f t="shared" si="12"/>
        <v>8.8361025137203892</v>
      </c>
      <c r="V45" s="1">
        <f t="shared" si="8"/>
        <v>0.88301406234029123</v>
      </c>
      <c r="W45" s="1">
        <f t="shared" si="13"/>
        <v>1.9350772098753716E-2</v>
      </c>
      <c r="X45" s="1">
        <f t="shared" si="14"/>
        <v>0.13910705265641177</v>
      </c>
      <c r="Y45" s="39">
        <f t="shared" si="9"/>
        <v>71.913240231877396</v>
      </c>
      <c r="AB45">
        <v>40</v>
      </c>
      <c r="AC45" s="7">
        <v>0.51427379076833368</v>
      </c>
      <c r="AD45">
        <v>0.90026984781351649</v>
      </c>
      <c r="AE45">
        <v>0.9600467586697814</v>
      </c>
      <c r="AF45" s="7">
        <v>4.0773288758711036E-2</v>
      </c>
      <c r="AG45" s="10">
        <v>137.678507158717</v>
      </c>
      <c r="AH45" s="1">
        <v>0.50293842867970651</v>
      </c>
      <c r="AI45" s="10">
        <v>32.648503522937261</v>
      </c>
      <c r="AJ45" s="32">
        <v>1795.7375715376097</v>
      </c>
      <c r="AK45">
        <v>320</v>
      </c>
      <c r="AL45" s="7">
        <v>0.31941598818653233</v>
      </c>
      <c r="AN45">
        <v>3.8</v>
      </c>
      <c r="AP45" s="60">
        <v>2.2000000000000002</v>
      </c>
      <c r="AQ45" s="61">
        <v>11</v>
      </c>
    </row>
    <row r="46" spans="1:43" x14ac:dyDescent="0.3">
      <c r="A46">
        <v>78894</v>
      </c>
      <c r="B46">
        <v>27</v>
      </c>
      <c r="C46">
        <v>7</v>
      </c>
      <c r="D46">
        <v>1982</v>
      </c>
      <c r="E46">
        <v>24</v>
      </c>
      <c r="F46">
        <v>5</v>
      </c>
      <c r="G46">
        <v>1983</v>
      </c>
      <c r="H46">
        <v>82</v>
      </c>
      <c r="I46" s="32">
        <f t="shared" si="2"/>
        <v>16.110770276274835</v>
      </c>
      <c r="J46" s="1">
        <v>0.82465753424657495</v>
      </c>
      <c r="K46" s="32">
        <f t="shared" si="3"/>
        <v>16.271851529219919</v>
      </c>
      <c r="L46" s="32">
        <f t="shared" si="10"/>
        <v>83.465139576464082</v>
      </c>
      <c r="M46" s="1">
        <f t="shared" si="4"/>
        <v>7.4879203949758222E-2</v>
      </c>
      <c r="N46">
        <v>1.6584226614213549</v>
      </c>
      <c r="O46" s="32">
        <f t="shared" si="11"/>
        <v>16.72566338007611</v>
      </c>
      <c r="P46" s="32">
        <f t="shared" si="5"/>
        <v>87.662617255980862</v>
      </c>
      <c r="Q46">
        <v>1</v>
      </c>
      <c r="R46">
        <v>83</v>
      </c>
      <c r="S46" s="32">
        <f t="shared" si="6"/>
        <v>9.332855979925947</v>
      </c>
      <c r="T46" s="1">
        <f t="shared" si="7"/>
        <v>9.5933491868456535</v>
      </c>
      <c r="U46" s="1">
        <f t="shared" si="12"/>
        <v>9.3982749310543277</v>
      </c>
      <c r="V46" s="1">
        <f t="shared" si="8"/>
        <v>0.83310506571650489</v>
      </c>
      <c r="W46" s="1">
        <f t="shared" si="13"/>
        <v>3.8053965272539632E-2</v>
      </c>
      <c r="X46" s="1">
        <f t="shared" si="14"/>
        <v>0.19507425579132587</v>
      </c>
      <c r="Y46" s="39">
        <f t="shared" si="9"/>
        <v>83.397480030085802</v>
      </c>
      <c r="AB46">
        <v>41</v>
      </c>
      <c r="AC46" s="7">
        <v>0.7013163378095888</v>
      </c>
      <c r="AD46">
        <v>1.6872799423187306</v>
      </c>
      <c r="AE46">
        <v>0.96155302709303436</v>
      </c>
      <c r="AF46" s="7">
        <v>3.9205565091258027E-2</v>
      </c>
      <c r="AG46" s="10">
        <v>138.63259235989952</v>
      </c>
      <c r="AH46" s="1">
        <v>1.221763962913512</v>
      </c>
      <c r="AI46" s="10">
        <v>158.23834879373518</v>
      </c>
      <c r="AJ46" s="32">
        <v>1774.8649474942777</v>
      </c>
      <c r="AK46">
        <v>320</v>
      </c>
      <c r="AL46" s="7">
        <v>0.70320327074070299</v>
      </c>
      <c r="AN46">
        <v>3.9</v>
      </c>
      <c r="AP46" s="60">
        <v>2.2999999999999998</v>
      </c>
      <c r="AQ46" s="61">
        <v>8</v>
      </c>
    </row>
    <row r="47" spans="1:43" x14ac:dyDescent="0.3">
      <c r="A47">
        <v>76787</v>
      </c>
      <c r="B47">
        <v>30</v>
      </c>
      <c r="C47">
        <v>7</v>
      </c>
      <c r="D47">
        <v>1982</v>
      </c>
      <c r="E47">
        <v>24</v>
      </c>
      <c r="F47">
        <v>8</v>
      </c>
      <c r="G47">
        <v>1987</v>
      </c>
      <c r="H47">
        <v>59</v>
      </c>
      <c r="I47" s="32">
        <f t="shared" si="2"/>
        <v>13.362291495737216</v>
      </c>
      <c r="J47" s="1">
        <v>5.0712328767123296</v>
      </c>
      <c r="K47" s="32">
        <f t="shared" si="3"/>
        <v>14.882599689259838</v>
      </c>
      <c r="L47" s="32">
        <f t="shared" si="10"/>
        <v>71.255543066949087</v>
      </c>
      <c r="M47" s="1">
        <f t="shared" si="4"/>
        <v>0.37442068260540434</v>
      </c>
      <c r="N47">
        <v>2.0158950064796954E-2</v>
      </c>
      <c r="O47" s="32">
        <f t="shared" si="11"/>
        <v>14.894934935528042</v>
      </c>
      <c r="P47" s="32">
        <f t="shared" si="5"/>
        <v>71.359706618931483</v>
      </c>
      <c r="Q47">
        <v>2</v>
      </c>
      <c r="R47">
        <v>61</v>
      </c>
      <c r="S47" s="32">
        <f t="shared" si="6"/>
        <v>8.123853654943634</v>
      </c>
      <c r="T47" s="1">
        <f t="shared" si="7"/>
        <v>8.8074777037107346</v>
      </c>
      <c r="U47" s="1">
        <f t="shared" si="12"/>
        <v>8.7934309509205448</v>
      </c>
      <c r="V47" s="1">
        <f t="shared" si="8"/>
        <v>4.043049340495724</v>
      </c>
      <c r="W47" s="1">
        <f t="shared" si="13"/>
        <v>1.9731126394870332E-4</v>
      </c>
      <c r="X47" s="1">
        <f t="shared" si="14"/>
        <v>1.4046752790189743E-2</v>
      </c>
      <c r="Y47" s="39">
        <f t="shared" si="9"/>
        <v>71.089160620609249</v>
      </c>
      <c r="AB47">
        <v>42</v>
      </c>
      <c r="AC47" s="7">
        <v>0.45083233755553298</v>
      </c>
      <c r="AD47">
        <v>0.82411385366217005</v>
      </c>
      <c r="AE47">
        <v>0.95275396765393749</v>
      </c>
      <c r="AF47" s="7">
        <v>4.8398574813918155E-2</v>
      </c>
      <c r="AG47" s="10">
        <v>126.45706216898905</v>
      </c>
      <c r="AH47" s="1">
        <v>0.41878320740447705</v>
      </c>
      <c r="AI47" s="10">
        <v>18.20363033030787</v>
      </c>
      <c r="AJ47" s="32">
        <v>1782.1276996414583</v>
      </c>
      <c r="AK47">
        <v>320</v>
      </c>
      <c r="AL47" s="7">
        <v>0.23850858429459534</v>
      </c>
      <c r="AN47">
        <v>4</v>
      </c>
      <c r="AP47" s="60">
        <v>2.4</v>
      </c>
      <c r="AQ47" s="61">
        <v>15</v>
      </c>
    </row>
    <row r="48" spans="1:43" x14ac:dyDescent="0.3">
      <c r="A48">
        <v>78727</v>
      </c>
      <c r="B48">
        <v>24</v>
      </c>
      <c r="C48">
        <v>7</v>
      </c>
      <c r="D48">
        <v>1982</v>
      </c>
      <c r="E48">
        <v>14</v>
      </c>
      <c r="F48">
        <v>6</v>
      </c>
      <c r="G48">
        <v>1983</v>
      </c>
      <c r="H48">
        <v>85</v>
      </c>
      <c r="I48" s="32">
        <f t="shared" si="2"/>
        <v>16.439088914585774</v>
      </c>
      <c r="J48" s="1">
        <v>0.89041095890411004</v>
      </c>
      <c r="K48" s="32">
        <f t="shared" si="3"/>
        <v>16.59806521715803</v>
      </c>
      <c r="L48" s="32">
        <f t="shared" si="10"/>
        <v>86.472007455415849</v>
      </c>
      <c r="M48" s="1">
        <f t="shared" si="4"/>
        <v>8.058139994140677E-2</v>
      </c>
      <c r="N48">
        <v>0.26543602871242911</v>
      </c>
      <c r="O48" s="32">
        <f t="shared" si="11"/>
        <v>16.673414179375552</v>
      </c>
      <c r="P48" s="32">
        <f t="shared" si="5"/>
        <v>87.174099278625974</v>
      </c>
      <c r="Q48">
        <v>1</v>
      </c>
      <c r="R48">
        <v>86</v>
      </c>
      <c r="S48" s="32">
        <f t="shared" si="6"/>
        <v>9.4723632360293841</v>
      </c>
      <c r="T48" s="1">
        <f t="shared" si="7"/>
        <v>9.5713443128514228</v>
      </c>
      <c r="U48" s="1">
        <f t="shared" si="12"/>
        <v>9.535700157347037</v>
      </c>
      <c r="V48" s="1">
        <f t="shared" si="8"/>
        <v>0.89609697315131309</v>
      </c>
      <c r="W48" s="1">
        <f t="shared" si="13"/>
        <v>1.2705058216208381E-3</v>
      </c>
      <c r="X48" s="1">
        <f t="shared" si="14"/>
        <v>3.5644155504385822E-2</v>
      </c>
      <c r="Y48" s="39">
        <f t="shared" si="9"/>
        <v>86.386793796507206</v>
      </c>
      <c r="AB48">
        <v>43</v>
      </c>
      <c r="AC48" s="7">
        <v>0.49120751311506478</v>
      </c>
      <c r="AD48">
        <v>1.1201596947801542</v>
      </c>
      <c r="AE48">
        <v>0.94098205124106959</v>
      </c>
      <c r="AF48" s="7">
        <v>6.0831213711434448E-2</v>
      </c>
      <c r="AG48" s="10">
        <v>115.85507012894695</v>
      </c>
      <c r="AH48" s="1">
        <v>0.60924880672361992</v>
      </c>
      <c r="AI48" s="10">
        <v>25.301771424840087</v>
      </c>
      <c r="AJ48" s="32">
        <v>1766.6604431789419</v>
      </c>
      <c r="AK48">
        <v>320</v>
      </c>
      <c r="AL48" s="7">
        <v>0.28119039048770011</v>
      </c>
      <c r="AP48" s="60">
        <v>2.5</v>
      </c>
      <c r="AQ48" s="61">
        <v>10</v>
      </c>
    </row>
    <row r="49" spans="1:43" x14ac:dyDescent="0.3">
      <c r="A49">
        <v>77085</v>
      </c>
      <c r="B49">
        <v>1</v>
      </c>
      <c r="C49">
        <v>8</v>
      </c>
      <c r="D49">
        <v>1982</v>
      </c>
      <c r="E49">
        <v>11</v>
      </c>
      <c r="F49">
        <v>6</v>
      </c>
      <c r="G49">
        <v>1985</v>
      </c>
      <c r="H49">
        <v>80</v>
      </c>
      <c r="I49" s="32">
        <f t="shared" si="2"/>
        <v>15.888543819998318</v>
      </c>
      <c r="J49" s="1">
        <v>2.86301369863014</v>
      </c>
      <c r="K49" s="32">
        <f t="shared" si="3"/>
        <v>16.450084277792566</v>
      </c>
      <c r="L49" s="32">
        <f t="shared" si="10"/>
        <v>85.101402464412104</v>
      </c>
      <c r="M49" s="1">
        <f t="shared" si="4"/>
        <v>0.23492766288993189</v>
      </c>
      <c r="N49">
        <v>1.684084054431878</v>
      </c>
      <c r="O49" s="32">
        <f t="shared" si="11"/>
        <v>17.26634865344278</v>
      </c>
      <c r="P49" s="32">
        <f t="shared" si="5"/>
        <v>92.798047609004101</v>
      </c>
      <c r="Q49">
        <v>10</v>
      </c>
      <c r="R49">
        <v>90</v>
      </c>
      <c r="S49" s="32">
        <f t="shared" si="6"/>
        <v>9.237873101814575</v>
      </c>
      <c r="T49" s="1">
        <f t="shared" si="7"/>
        <v>9.8196826619827515</v>
      </c>
      <c r="U49" s="1">
        <f t="shared" si="12"/>
        <v>9.466736834924907</v>
      </c>
      <c r="V49" s="1">
        <f t="shared" si="8"/>
        <v>2.5748789958003764</v>
      </c>
      <c r="W49" s="1">
        <f t="shared" si="13"/>
        <v>0.12457075683754587</v>
      </c>
      <c r="X49" s="1">
        <f t="shared" si="14"/>
        <v>0.3529458270578445</v>
      </c>
      <c r="Y49" s="39">
        <f t="shared" si="9"/>
        <v>84.877558834313774</v>
      </c>
      <c r="AB49">
        <v>44</v>
      </c>
      <c r="AC49" s="7">
        <v>0.45054781377848285</v>
      </c>
      <c r="AD49">
        <v>0.93145294615529617</v>
      </c>
      <c r="AE49">
        <v>0.94392307800973785</v>
      </c>
      <c r="AF49" s="7">
        <v>5.7710601315908314E-2</v>
      </c>
      <c r="AG49" s="10">
        <v>115.08437875809352</v>
      </c>
      <c r="AH49" s="1">
        <v>0.47574101051805773</v>
      </c>
      <c r="AI49" s="10">
        <v>22.025296743009761</v>
      </c>
      <c r="AJ49" s="32">
        <v>1836.7613438988294</v>
      </c>
      <c r="AK49">
        <v>320</v>
      </c>
      <c r="AL49" s="7">
        <v>0.26235291559634993</v>
      </c>
      <c r="AP49" s="60">
        <v>2.6</v>
      </c>
      <c r="AQ49" s="61">
        <v>12</v>
      </c>
    </row>
    <row r="50" spans="1:43" x14ac:dyDescent="0.3">
      <c r="A50">
        <v>79601</v>
      </c>
      <c r="B50">
        <v>6</v>
      </c>
      <c r="C50">
        <v>9</v>
      </c>
      <c r="D50">
        <v>1982</v>
      </c>
      <c r="E50">
        <v>12</v>
      </c>
      <c r="F50">
        <v>6</v>
      </c>
      <c r="G50">
        <v>1985</v>
      </c>
      <c r="H50">
        <v>91</v>
      </c>
      <c r="I50" s="32">
        <f t="shared" si="2"/>
        <v>17.078784028338912</v>
      </c>
      <c r="J50" s="1">
        <v>2.7671232876712302</v>
      </c>
      <c r="K50" s="32">
        <f t="shared" si="3"/>
        <v>17.465325848731286</v>
      </c>
      <c r="L50" s="32">
        <f t="shared" si="10"/>
        <v>94.724727599321596</v>
      </c>
      <c r="M50" s="1">
        <f t="shared" si="4"/>
        <v>0.2281248854975628</v>
      </c>
      <c r="N50">
        <v>0.44523858377942815</v>
      </c>
      <c r="O50" s="32">
        <f t="shared" si="11"/>
        <v>17.677982575346466</v>
      </c>
      <c r="P50" s="32">
        <f t="shared" si="5"/>
        <v>96.805749558909781</v>
      </c>
      <c r="Q50">
        <v>15</v>
      </c>
      <c r="R50">
        <v>106</v>
      </c>
      <c r="S50" s="32">
        <f t="shared" si="6"/>
        <v>9.7414489609310717</v>
      </c>
      <c r="T50" s="1">
        <f t="shared" si="7"/>
        <v>9.9903507857450382</v>
      </c>
      <c r="U50" s="1">
        <f t="shared" si="12"/>
        <v>9.8871813152764982</v>
      </c>
      <c r="V50" s="1">
        <f t="shared" si="8"/>
        <v>2.5020164796772386</v>
      </c>
      <c r="W50" s="1">
        <f t="shared" si="13"/>
        <v>1.0643939636758941E-2</v>
      </c>
      <c r="X50" s="1">
        <f t="shared" si="14"/>
        <v>0.10316947046853997</v>
      </c>
      <c r="Y50" s="39">
        <f t="shared" si="9"/>
        <v>94.369042382060599</v>
      </c>
      <c r="AB50">
        <v>45</v>
      </c>
      <c r="AC50" s="7">
        <v>0.76913598030594765</v>
      </c>
      <c r="AD50">
        <v>2.3357631538015102</v>
      </c>
      <c r="AE50">
        <v>0.95414291599521472</v>
      </c>
      <c r="AF50" s="7">
        <v>4.6941811630950431E-2</v>
      </c>
      <c r="AG50" s="10">
        <v>121.73642205966387</v>
      </c>
      <c r="AH50" s="1">
        <v>1.8423765670664216</v>
      </c>
      <c r="AI50" s="10">
        <v>342.19395432754908</v>
      </c>
      <c r="AJ50" s="32">
        <v>1824.4100790269033</v>
      </c>
      <c r="AK50">
        <v>320</v>
      </c>
      <c r="AL50" s="7">
        <v>1.0340967591447092</v>
      </c>
      <c r="AP50" s="60">
        <v>2.7</v>
      </c>
      <c r="AQ50" s="61">
        <v>1</v>
      </c>
    </row>
    <row r="51" spans="1:43" x14ac:dyDescent="0.3">
      <c r="A51">
        <v>22981</v>
      </c>
      <c r="B51">
        <v>29</v>
      </c>
      <c r="C51">
        <v>7</v>
      </c>
      <c r="D51">
        <v>1982</v>
      </c>
      <c r="E51">
        <v>8</v>
      </c>
      <c r="F51">
        <v>5</v>
      </c>
      <c r="G51">
        <v>1988</v>
      </c>
      <c r="H51">
        <v>57</v>
      </c>
      <c r="I51" s="32">
        <f t="shared" si="2"/>
        <v>13.0996688705415</v>
      </c>
      <c r="J51" s="1">
        <v>5.7808219178082201</v>
      </c>
      <c r="K51" s="32">
        <f t="shared" si="3"/>
        <v>14.87027526526731</v>
      </c>
      <c r="L51" s="32">
        <f t="shared" si="10"/>
        <v>71.151546881472498</v>
      </c>
      <c r="M51" s="1">
        <f t="shared" si="4"/>
        <v>0.41294071208028604</v>
      </c>
      <c r="N51">
        <v>0.44380158215062693</v>
      </c>
      <c r="O51" s="32">
        <f t="shared" si="11"/>
        <v>15.155464217305209</v>
      </c>
      <c r="P51" s="32">
        <f t="shared" si="5"/>
        <v>73.577488127809858</v>
      </c>
      <c r="Q51">
        <v>15</v>
      </c>
      <c r="R51">
        <v>72</v>
      </c>
      <c r="S51" s="32">
        <f t="shared" si="6"/>
        <v>8.0041122654507237</v>
      </c>
      <c r="T51" s="1">
        <f t="shared" si="7"/>
        <v>8.9212556283570521</v>
      </c>
      <c r="U51" s="1">
        <f t="shared" si="12"/>
        <v>8.7870544639199863</v>
      </c>
      <c r="V51" s="1">
        <f t="shared" si="8"/>
        <v>4.4389893894815575</v>
      </c>
      <c r="W51" s="1">
        <f t="shared" si="13"/>
        <v>1.8009952536264362E-2</v>
      </c>
      <c r="X51" s="1">
        <f t="shared" si="14"/>
        <v>0.13420116443706576</v>
      </c>
      <c r="Y51" s="39">
        <f t="shared" si="9"/>
        <v>70.966582025093501</v>
      </c>
      <c r="AB51">
        <v>46</v>
      </c>
      <c r="AC51" s="7">
        <v>0.30288762420422843</v>
      </c>
      <c r="AD51">
        <v>0.63150118360224639</v>
      </c>
      <c r="AE51">
        <v>0.93952903338726956</v>
      </c>
      <c r="AF51" s="7">
        <v>6.2376557586127285E-2</v>
      </c>
      <c r="AG51" s="10">
        <v>110.92465703965324</v>
      </c>
      <c r="AH51" s="1">
        <v>0.25174485979617311</v>
      </c>
      <c r="AI51" s="10">
        <v>4.5426722809946787</v>
      </c>
      <c r="AJ51" s="32">
        <v>1742.90038892089</v>
      </c>
      <c r="AK51">
        <v>320</v>
      </c>
      <c r="AL51" s="7">
        <v>0.11914634227750498</v>
      </c>
      <c r="AP51" s="60">
        <v>2.8</v>
      </c>
      <c r="AQ51" s="61">
        <v>4</v>
      </c>
    </row>
    <row r="52" spans="1:43" x14ac:dyDescent="0.3">
      <c r="A52">
        <v>22916</v>
      </c>
      <c r="B52">
        <v>28</v>
      </c>
      <c r="C52">
        <v>7</v>
      </c>
      <c r="D52">
        <v>1982</v>
      </c>
      <c r="E52">
        <v>10</v>
      </c>
      <c r="F52">
        <v>5</v>
      </c>
      <c r="G52">
        <v>1988</v>
      </c>
      <c r="H52">
        <v>83</v>
      </c>
      <c r="I52" s="32">
        <f t="shared" si="2"/>
        <v>16.220867158288598</v>
      </c>
      <c r="J52" s="1">
        <v>5.7890410958904104</v>
      </c>
      <c r="K52" s="32">
        <f t="shared" si="3"/>
        <v>17.191766642577115</v>
      </c>
      <c r="L52" s="32">
        <f t="shared" si="10"/>
        <v>92.080976715783919</v>
      </c>
      <c r="M52" s="1">
        <f t="shared" si="4"/>
        <v>0.41337066613648554</v>
      </c>
      <c r="N52">
        <v>-0.35781567930825986</v>
      </c>
      <c r="O52" s="32">
        <f t="shared" si="11"/>
        <v>16.961712957370036</v>
      </c>
      <c r="P52" s="32">
        <f t="shared" si="5"/>
        <v>89.886639569423679</v>
      </c>
      <c r="Q52">
        <v>12</v>
      </c>
      <c r="R52">
        <v>95</v>
      </c>
      <c r="S52" s="32">
        <f t="shared" si="6"/>
        <v>9.3797459131381409</v>
      </c>
      <c r="T52" s="1">
        <f t="shared" si="7"/>
        <v>9.6924674622954132</v>
      </c>
      <c r="U52" s="1">
        <f t="shared" si="12"/>
        <v>9.7645341022658201</v>
      </c>
      <c r="V52" s="1">
        <f t="shared" si="8"/>
        <v>4.4433835070856249</v>
      </c>
      <c r="W52" s="1">
        <f t="shared" si="13"/>
        <v>5.1936005966242427E-3</v>
      </c>
      <c r="X52" s="1">
        <f t="shared" si="14"/>
        <v>-7.2066639970406854E-2</v>
      </c>
      <c r="Y52" s="39">
        <f t="shared" si="9"/>
        <v>91.528030651118897</v>
      </c>
      <c r="AB52">
        <v>47</v>
      </c>
      <c r="AC52" s="7">
        <v>0.62149014938912261</v>
      </c>
      <c r="AD52">
        <v>1.2481911375428543</v>
      </c>
      <c r="AE52">
        <v>0.96103445363179563</v>
      </c>
      <c r="AF52" s="7">
        <v>3.9745018800401169E-2</v>
      </c>
      <c r="AG52" s="10">
        <v>133.18058382542085</v>
      </c>
      <c r="AH52" s="1">
        <v>0.81470404290589171</v>
      </c>
      <c r="AI52" s="10">
        <v>79.42616827092327</v>
      </c>
      <c r="AJ52" s="32">
        <v>1777.4753015763442</v>
      </c>
      <c r="AK52">
        <v>320</v>
      </c>
      <c r="AL52" s="7">
        <v>0.49820354860903515</v>
      </c>
      <c r="AP52" s="60">
        <v>2.9</v>
      </c>
      <c r="AQ52" s="61">
        <v>8</v>
      </c>
    </row>
    <row r="53" spans="1:43" x14ac:dyDescent="0.3">
      <c r="A53">
        <v>77013</v>
      </c>
      <c r="B53">
        <v>31</v>
      </c>
      <c r="C53">
        <v>7</v>
      </c>
      <c r="D53">
        <v>1982</v>
      </c>
      <c r="E53">
        <v>29</v>
      </c>
      <c r="F53">
        <v>7</v>
      </c>
      <c r="G53">
        <v>1988</v>
      </c>
      <c r="H53">
        <v>49</v>
      </c>
      <c r="I53" s="32">
        <f t="shared" si="2"/>
        <v>12</v>
      </c>
      <c r="J53" s="1">
        <v>6</v>
      </c>
      <c r="K53" s="32">
        <f t="shared" si="3"/>
        <v>14.119264874999995</v>
      </c>
      <c r="L53" s="32">
        <f t="shared" si="10"/>
        <v>64.95767502760215</v>
      </c>
      <c r="M53" s="1">
        <f t="shared" si="4"/>
        <v>0.42428299600371966</v>
      </c>
      <c r="N53">
        <v>-0.55895952755236067</v>
      </c>
      <c r="O53" s="32">
        <f t="shared" si="11"/>
        <v>13.755175356435036</v>
      </c>
      <c r="P53" s="32">
        <f t="shared" si="5"/>
        <v>62.056387628004465</v>
      </c>
      <c r="Q53">
        <v>37</v>
      </c>
      <c r="R53">
        <v>86</v>
      </c>
      <c r="S53" s="32">
        <f t="shared" si="6"/>
        <v>7.4937089906386829</v>
      </c>
      <c r="T53" s="1">
        <f t="shared" si="7"/>
        <v>8.3015189582383595</v>
      </c>
      <c r="U53" s="1">
        <f t="shared" si="12"/>
        <v>8.4539559546138978</v>
      </c>
      <c r="V53" s="1">
        <f t="shared" si="8"/>
        <v>4.5547150791209816</v>
      </c>
      <c r="W53" s="1">
        <f t="shared" si="13"/>
        <v>2.323703786399588E-2</v>
      </c>
      <c r="X53" s="1">
        <f t="shared" si="14"/>
        <v>-0.15243699637553831</v>
      </c>
      <c r="Y53" s="39">
        <f t="shared" si="9"/>
        <v>64.764843838018237</v>
      </c>
      <c r="AB53">
        <v>48</v>
      </c>
      <c r="AC53" s="7">
        <v>0.14343803597151908</v>
      </c>
      <c r="AD53">
        <v>0.40724674644386016</v>
      </c>
      <c r="AE53">
        <v>0.94023629815320064</v>
      </c>
      <c r="AF53" s="7">
        <v>6.1624054294957216E-2</v>
      </c>
      <c r="AG53" s="10">
        <v>115.96039064978676</v>
      </c>
      <c r="AH53" s="1">
        <v>0.11817837531249788</v>
      </c>
      <c r="AI53" s="10">
        <v>1.4435074217548824</v>
      </c>
      <c r="AJ53" s="32">
        <v>1827.5839039154785</v>
      </c>
      <c r="AK53">
        <v>320</v>
      </c>
      <c r="AL53" s="7">
        <v>6.7163685820419414E-2</v>
      </c>
      <c r="AP53" s="60">
        <v>3</v>
      </c>
      <c r="AQ53" s="61">
        <v>4</v>
      </c>
    </row>
    <row r="54" spans="1:43" x14ac:dyDescent="0.3">
      <c r="A54" s="7">
        <v>0.4</v>
      </c>
      <c r="B54">
        <v>5</v>
      </c>
      <c r="C54">
        <v>9</v>
      </c>
      <c r="D54">
        <v>1982</v>
      </c>
      <c r="E54">
        <v>5</v>
      </c>
      <c r="F54">
        <v>5</v>
      </c>
      <c r="G54">
        <v>1986</v>
      </c>
      <c r="H54">
        <v>85</v>
      </c>
      <c r="I54" s="32">
        <f t="shared" si="2"/>
        <v>16.439088914585774</v>
      </c>
      <c r="J54" s="1">
        <v>3.6657534246575301</v>
      </c>
      <c r="K54" s="32">
        <f t="shared" si="3"/>
        <v>17.049461000292258</v>
      </c>
      <c r="L54" s="32">
        <f t="shared" si="10"/>
        <v>90.720491100413923</v>
      </c>
      <c r="M54" s="1">
        <f t="shared" si="4"/>
        <v>0.28932636710241399</v>
      </c>
      <c r="N54">
        <v>1.0492203728063032</v>
      </c>
      <c r="O54" s="32">
        <f t="shared" si="11"/>
        <v>17.613826843970532</v>
      </c>
      <c r="P54" s="32">
        <f t="shared" si="5"/>
        <v>96.175550866314765</v>
      </c>
      <c r="Q54">
        <v>11</v>
      </c>
      <c r="R54">
        <v>96</v>
      </c>
      <c r="S54" s="32">
        <f t="shared" si="6"/>
        <v>9.4723632360293841</v>
      </c>
      <c r="T54" s="1">
        <f t="shared" si="7"/>
        <v>9.9638425957449908</v>
      </c>
      <c r="U54" s="1">
        <f t="shared" si="12"/>
        <v>9.7129990520271008</v>
      </c>
      <c r="V54" s="1">
        <f t="shared" si="8"/>
        <v>3.1534612391589585</v>
      </c>
      <c r="W54" s="1">
        <f t="shared" si="13"/>
        <v>6.292248342494898E-2</v>
      </c>
      <c r="X54" s="1">
        <f t="shared" si="14"/>
        <v>0.25084354371788997</v>
      </c>
      <c r="Y54" s="39">
        <f t="shared" si="9"/>
        <v>90.352170410858008</v>
      </c>
      <c r="AB54">
        <v>49</v>
      </c>
      <c r="AC54" s="7">
        <v>0.51034602902634818</v>
      </c>
      <c r="AD54">
        <v>1.1032500728448291</v>
      </c>
      <c r="AE54">
        <v>0.94526626007433878</v>
      </c>
      <c r="AF54" s="7">
        <v>5.6288634481934822E-2</v>
      </c>
      <c r="AG54" s="10">
        <v>115.47045533603485</v>
      </c>
      <c r="AH54" s="1">
        <v>0.6177730336250491</v>
      </c>
      <c r="AI54" s="10">
        <v>29.615853750298157</v>
      </c>
      <c r="AJ54" s="32">
        <v>1764.0429190330085</v>
      </c>
      <c r="AK54">
        <v>320</v>
      </c>
      <c r="AL54" s="7">
        <v>0.30421956375236903</v>
      </c>
      <c r="AP54" s="60">
        <v>3.1</v>
      </c>
      <c r="AQ54" s="61">
        <v>2</v>
      </c>
    </row>
    <row r="55" spans="1:43" x14ac:dyDescent="0.3">
      <c r="A55">
        <v>77091</v>
      </c>
      <c r="B55">
        <v>1</v>
      </c>
      <c r="C55">
        <v>8</v>
      </c>
      <c r="D55">
        <v>1982</v>
      </c>
      <c r="E55">
        <v>9</v>
      </c>
      <c r="F55">
        <v>5</v>
      </c>
      <c r="G55">
        <v>1983</v>
      </c>
      <c r="H55">
        <v>83</v>
      </c>
      <c r="I55" s="32">
        <f t="shared" si="2"/>
        <v>16.220867158288598</v>
      </c>
      <c r="J55" s="1">
        <v>0.76986301369862997</v>
      </c>
      <c r="K55" s="32">
        <f t="shared" si="3"/>
        <v>16.367192496960779</v>
      </c>
      <c r="L55" s="32">
        <f t="shared" si="10"/>
        <v>84.338440055103092</v>
      </c>
      <c r="M55" s="1">
        <f t="shared" si="4"/>
        <v>7.0097903703802644E-2</v>
      </c>
      <c r="N55">
        <v>0.30159299058141187</v>
      </c>
      <c r="O55" s="32">
        <f t="shared" si="11"/>
        <v>16.447042283405956</v>
      </c>
      <c r="P55" s="32">
        <f t="shared" si="5"/>
        <v>85.073342251441815</v>
      </c>
      <c r="Q55">
        <v>6</v>
      </c>
      <c r="R55">
        <v>89</v>
      </c>
      <c r="S55" s="32">
        <f t="shared" si="6"/>
        <v>9.3797459131381409</v>
      </c>
      <c r="T55" s="1">
        <f t="shared" si="7"/>
        <v>9.4757307589958231</v>
      </c>
      <c r="U55" s="1">
        <f t="shared" si="12"/>
        <v>9.4388277221898615</v>
      </c>
      <c r="V55" s="1">
        <f t="shared" si="8"/>
        <v>0.78023596558428476</v>
      </c>
      <c r="W55" s="1">
        <f t="shared" si="13"/>
        <v>1.3618341255021507E-3</v>
      </c>
      <c r="X55" s="1">
        <f t="shared" si="14"/>
        <v>3.690303680596152E-2</v>
      </c>
      <c r="Y55" s="39">
        <f t="shared" si="9"/>
        <v>84.272011038035544</v>
      </c>
      <c r="AB55">
        <v>50</v>
      </c>
      <c r="AC55" s="7">
        <v>0.507017853971509</v>
      </c>
      <c r="AD55">
        <v>0.98978857709513512</v>
      </c>
      <c r="AE55">
        <v>0.95176263176381537</v>
      </c>
      <c r="AF55" s="7">
        <v>4.9439611662802384E-2</v>
      </c>
      <c r="AG55" s="10">
        <v>121.56797677637009</v>
      </c>
      <c r="AH55" s="1">
        <v>0.55007784848047359</v>
      </c>
      <c r="AI55" s="10">
        <v>28.52199778664189</v>
      </c>
      <c r="AJ55" s="32">
        <v>1765.7350072828024</v>
      </c>
      <c r="AK55">
        <v>320</v>
      </c>
      <c r="AL55" s="7">
        <v>0.29854856067858693</v>
      </c>
      <c r="AP55" s="60">
        <v>3.2</v>
      </c>
      <c r="AQ55" s="61">
        <v>7</v>
      </c>
    </row>
    <row r="56" spans="1:43" x14ac:dyDescent="0.3">
      <c r="A56">
        <v>76960</v>
      </c>
      <c r="B56">
        <v>31</v>
      </c>
      <c r="C56">
        <v>7</v>
      </c>
      <c r="D56">
        <v>1982</v>
      </c>
      <c r="E56">
        <v>21</v>
      </c>
      <c r="F56">
        <v>5</v>
      </c>
      <c r="G56">
        <v>1984</v>
      </c>
      <c r="H56">
        <v>60</v>
      </c>
      <c r="I56" s="32">
        <f t="shared" si="2"/>
        <v>13.491933384829668</v>
      </c>
      <c r="J56" s="1">
        <v>1.8082191780821899</v>
      </c>
      <c r="K56" s="32">
        <f t="shared" si="3"/>
        <v>14.06840643307314</v>
      </c>
      <c r="L56" s="32">
        <f t="shared" si="10"/>
        <v>64.548421324606565</v>
      </c>
      <c r="M56" s="1">
        <f t="shared" si="4"/>
        <v>0.1562864904575606</v>
      </c>
      <c r="N56">
        <v>1.4413717508432455</v>
      </c>
      <c r="O56" s="32">
        <f t="shared" si="11"/>
        <v>14.638225169810847</v>
      </c>
      <c r="P56" s="32">
        <f t="shared" si="5"/>
        <v>69.207634200331782</v>
      </c>
      <c r="Q56">
        <v>5</v>
      </c>
      <c r="R56">
        <v>65</v>
      </c>
      <c r="S56" s="32">
        <f t="shared" si="6"/>
        <v>8.1826710278683468</v>
      </c>
      <c r="T56" s="1">
        <f t="shared" si="7"/>
        <v>8.6947019923216349</v>
      </c>
      <c r="U56" s="1">
        <f t="shared" si="12"/>
        <v>8.4387939063326165</v>
      </c>
      <c r="V56" s="1">
        <f t="shared" si="8"/>
        <v>1.7260392968870599</v>
      </c>
      <c r="W56" s="1">
        <f t="shared" si="13"/>
        <v>6.5488948474562825E-2</v>
      </c>
      <c r="X56" s="1">
        <f t="shared" si="14"/>
        <v>0.25590808598901837</v>
      </c>
      <c r="Y56" s="39">
        <f t="shared" si="9"/>
        <v>64.491847912038594</v>
      </c>
      <c r="AB56">
        <v>51</v>
      </c>
      <c r="AC56" s="7">
        <v>0.74380552015983115</v>
      </c>
      <c r="AD56">
        <v>1.9121657026268992</v>
      </c>
      <c r="AE56">
        <v>0.96119080986826455</v>
      </c>
      <c r="AF56" s="7">
        <v>3.9582336268043791E-2</v>
      </c>
      <c r="AG56" s="10">
        <v>131.3670731066747</v>
      </c>
      <c r="AH56" s="1">
        <v>1.4610885952059252</v>
      </c>
      <c r="AI56" s="10">
        <v>238.39089137607328</v>
      </c>
      <c r="AJ56" s="32">
        <v>1784.7585038268051</v>
      </c>
      <c r="AK56">
        <v>320</v>
      </c>
      <c r="AL56" s="7">
        <v>0.86311733591107354</v>
      </c>
      <c r="AP56" s="60">
        <v>3.3</v>
      </c>
      <c r="AQ56" s="61">
        <v>8</v>
      </c>
    </row>
    <row r="57" spans="1:43" x14ac:dyDescent="0.3">
      <c r="A57">
        <v>76975</v>
      </c>
      <c r="B57">
        <v>31</v>
      </c>
      <c r="C57">
        <v>7</v>
      </c>
      <c r="D57">
        <v>1982</v>
      </c>
      <c r="E57">
        <v>19</v>
      </c>
      <c r="F57">
        <v>6</v>
      </c>
      <c r="G57">
        <v>1987</v>
      </c>
      <c r="H57">
        <v>58</v>
      </c>
      <c r="I57" s="32">
        <f t="shared" si="2"/>
        <v>13.231546211727817</v>
      </c>
      <c r="J57" s="1">
        <v>4.88767123287671</v>
      </c>
      <c r="K57" s="32">
        <f t="shared" si="3"/>
        <v>14.732436562920046</v>
      </c>
      <c r="L57" s="32">
        <f t="shared" si="10"/>
        <v>69.993608333035908</v>
      </c>
      <c r="M57" s="1">
        <f t="shared" si="4"/>
        <v>0.3639910656450947</v>
      </c>
      <c r="N57">
        <v>0.65339008870068938</v>
      </c>
      <c r="O57" s="32">
        <f t="shared" si="11"/>
        <v>15.126637728664283</v>
      </c>
      <c r="P57" s="32">
        <f t="shared" si="5"/>
        <v>73.330429972226739</v>
      </c>
      <c r="Q57">
        <v>18</v>
      </c>
      <c r="R57">
        <v>76</v>
      </c>
      <c r="S57" s="32">
        <f t="shared" si="6"/>
        <v>8.0643408766899647</v>
      </c>
      <c r="T57" s="1">
        <f t="shared" si="7"/>
        <v>8.9086996204696742</v>
      </c>
      <c r="U57" s="1">
        <f t="shared" si="12"/>
        <v>8.7279743353561834</v>
      </c>
      <c r="V57" s="1">
        <f t="shared" si="8"/>
        <v>3.9350939855962617</v>
      </c>
      <c r="W57" s="1">
        <f t="shared" si="13"/>
        <v>3.2661628679352551E-2</v>
      </c>
      <c r="X57" s="1">
        <f t="shared" si="14"/>
        <v>0.18072528511349084</v>
      </c>
      <c r="Y57" s="39">
        <f t="shared" si="9"/>
        <v>69.837814150502069</v>
      </c>
      <c r="AB57">
        <v>52</v>
      </c>
      <c r="AC57" s="7">
        <v>0.45205792147236479</v>
      </c>
      <c r="AD57">
        <v>0.82380883368566071</v>
      </c>
      <c r="AE57">
        <v>0.9536650026144653</v>
      </c>
      <c r="AF57" s="7">
        <v>4.7442819500856347E-2</v>
      </c>
      <c r="AG57" s="10">
        <v>130.27504470710315</v>
      </c>
      <c r="AH57" s="1">
        <v>0.41874430643204752</v>
      </c>
      <c r="AI57" s="10">
        <v>16.957421828988611</v>
      </c>
      <c r="AJ57" s="32">
        <v>1757.9528806458386</v>
      </c>
      <c r="AK57">
        <v>320</v>
      </c>
      <c r="AL57" s="7">
        <v>0.23019978978180977</v>
      </c>
      <c r="AP57" s="60">
        <v>3.4</v>
      </c>
      <c r="AQ57" s="61">
        <v>5</v>
      </c>
    </row>
    <row r="58" spans="1:43" x14ac:dyDescent="0.3">
      <c r="A58">
        <v>79529</v>
      </c>
      <c r="B58">
        <v>5</v>
      </c>
      <c r="C58">
        <v>9</v>
      </c>
      <c r="D58">
        <v>1982</v>
      </c>
      <c r="E58">
        <v>16</v>
      </c>
      <c r="F58">
        <v>6</v>
      </c>
      <c r="G58">
        <v>1985</v>
      </c>
      <c r="H58">
        <v>78</v>
      </c>
      <c r="I58" s="32">
        <f t="shared" si="2"/>
        <v>15.663521732655695</v>
      </c>
      <c r="J58" s="1">
        <v>2.7808219178082201</v>
      </c>
      <c r="K58" s="32">
        <f t="shared" si="3"/>
        <v>16.239977120734277</v>
      </c>
      <c r="L58" s="32">
        <f t="shared" si="10"/>
        <v>83.17419134122747</v>
      </c>
      <c r="M58" s="1">
        <f t="shared" si="4"/>
        <v>0.22910081273934049</v>
      </c>
      <c r="N58">
        <v>1.4736770026502199</v>
      </c>
      <c r="O58" s="32">
        <f t="shared" si="11"/>
        <v>16.945344905935986</v>
      </c>
      <c r="P58" s="32">
        <f t="shared" si="5"/>
        <v>89.731523401218652</v>
      </c>
      <c r="Q58">
        <v>8</v>
      </c>
      <c r="R58">
        <v>86</v>
      </c>
      <c r="S58" s="32">
        <f t="shared" si="6"/>
        <v>9.1412290377968759</v>
      </c>
      <c r="T58" s="1">
        <f t="shared" si="7"/>
        <v>9.6856099044226802</v>
      </c>
      <c r="U58" s="1">
        <f t="shared" si="12"/>
        <v>9.3787157109985948</v>
      </c>
      <c r="V58" s="1">
        <f t="shared" si="8"/>
        <v>2.5124761168005998</v>
      </c>
      <c r="W58" s="1">
        <f t="shared" si="13"/>
        <v>9.4184045957419957E-2</v>
      </c>
      <c r="X58" s="1">
        <f t="shared" si="14"/>
        <v>0.30689419342408542</v>
      </c>
      <c r="Y58" s="39">
        <f t="shared" si="9"/>
        <v>82.977938980193073</v>
      </c>
      <c r="AB58">
        <v>53</v>
      </c>
      <c r="AC58" s="7">
        <v>0.65414300195878183</v>
      </c>
      <c r="AD58">
        <v>1.5206601123327923</v>
      </c>
      <c r="AE58">
        <v>0.95553240438226872</v>
      </c>
      <c r="AF58" s="7">
        <v>4.5486602342303756E-2</v>
      </c>
      <c r="AG58" s="10">
        <v>123.67611606437663</v>
      </c>
      <c r="AH58" s="1">
        <v>1.0391967664580823</v>
      </c>
      <c r="AI58" s="10">
        <v>113.75121668399997</v>
      </c>
      <c r="AJ58" s="32">
        <v>1796.4313274736724</v>
      </c>
      <c r="AK58">
        <v>320</v>
      </c>
      <c r="AL58" s="7">
        <v>0.59621518945553531</v>
      </c>
      <c r="AP58" s="60">
        <v>3.5</v>
      </c>
      <c r="AQ58" s="61">
        <v>2</v>
      </c>
    </row>
    <row r="59" spans="1:43" x14ac:dyDescent="0.3">
      <c r="A59">
        <v>78850</v>
      </c>
      <c r="B59">
        <v>27</v>
      </c>
      <c r="C59">
        <v>7</v>
      </c>
      <c r="D59">
        <v>1982</v>
      </c>
      <c r="E59">
        <v>29</v>
      </c>
      <c r="F59">
        <v>5</v>
      </c>
      <c r="G59">
        <v>1984</v>
      </c>
      <c r="H59">
        <v>70</v>
      </c>
      <c r="I59" s="32">
        <f t="shared" si="2"/>
        <v>14.733200530681511</v>
      </c>
      <c r="J59" s="1">
        <v>1.84109589041096</v>
      </c>
      <c r="K59" s="32">
        <f t="shared" si="3"/>
        <v>15.207812473752266</v>
      </c>
      <c r="L59" s="32">
        <f t="shared" si="10"/>
        <v>74.027202532956025</v>
      </c>
      <c r="M59" s="1">
        <f t="shared" si="4"/>
        <v>0.15886829575228487</v>
      </c>
      <c r="N59">
        <v>-0.29495367925846949</v>
      </c>
      <c r="O59" s="32">
        <f t="shared" si="11"/>
        <v>15.090248992903298</v>
      </c>
      <c r="P59" s="32">
        <f t="shared" si="5"/>
        <v>73.019152659858051</v>
      </c>
      <c r="Q59">
        <v>6</v>
      </c>
      <c r="R59">
        <v>76</v>
      </c>
      <c r="S59" s="32">
        <f t="shared" si="6"/>
        <v>8.736503742677316</v>
      </c>
      <c r="T59" s="1">
        <f t="shared" si="7"/>
        <v>8.8928380300717311</v>
      </c>
      <c r="U59" s="1">
        <f t="shared" si="12"/>
        <v>8.939853871621624</v>
      </c>
      <c r="V59" s="1">
        <f t="shared" si="8"/>
        <v>1.7541281007290372</v>
      </c>
      <c r="W59" s="1">
        <f t="shared" si="13"/>
        <v>2.2104893566446365E-3</v>
      </c>
      <c r="X59" s="1">
        <f t="shared" si="14"/>
        <v>-4.7015841549892912E-2</v>
      </c>
      <c r="Y59" s="39">
        <f t="shared" si="9"/>
        <v>73.94449603993877</v>
      </c>
      <c r="AB59">
        <v>54</v>
      </c>
      <c r="AC59" s="7">
        <v>0.60777007818767304</v>
      </c>
      <c r="AD59">
        <v>1.5189035649457745</v>
      </c>
      <c r="AE59">
        <v>0.94500059634320466</v>
      </c>
      <c r="AF59" s="7">
        <v>5.6569720437583189E-2</v>
      </c>
      <c r="AG59" s="10">
        <v>113.9651896089742</v>
      </c>
      <c r="AH59" s="1">
        <v>0.97814354208342402</v>
      </c>
      <c r="AI59" s="10">
        <v>73.948406305598695</v>
      </c>
      <c r="AJ59" s="32">
        <v>1782.2160450212918</v>
      </c>
      <c r="AK59">
        <v>320</v>
      </c>
      <c r="AL59" s="7">
        <v>0.48071693303335583</v>
      </c>
      <c r="AP59" s="60">
        <v>3.6</v>
      </c>
      <c r="AQ59" s="61">
        <v>2</v>
      </c>
    </row>
    <row r="60" spans="1:43" x14ac:dyDescent="0.3">
      <c r="A60">
        <v>22965</v>
      </c>
      <c r="B60">
        <v>29</v>
      </c>
      <c r="C60">
        <v>7</v>
      </c>
      <c r="D60">
        <v>1982</v>
      </c>
      <c r="E60">
        <v>9</v>
      </c>
      <c r="F60">
        <v>7</v>
      </c>
      <c r="G60">
        <v>1983</v>
      </c>
      <c r="H60">
        <v>55</v>
      </c>
      <c r="I60" s="32">
        <f t="shared" si="2"/>
        <v>12.832396974191326</v>
      </c>
      <c r="J60" s="1">
        <v>0.94520547945205502</v>
      </c>
      <c r="K60" s="32">
        <f t="shared" si="3"/>
        <v>13.171612262045972</v>
      </c>
      <c r="L60" s="32">
        <f t="shared" si="10"/>
        <v>57.544454657465927</v>
      </c>
      <c r="M60" s="1">
        <f t="shared" si="4"/>
        <v>8.5303935854358984E-2</v>
      </c>
      <c r="N60">
        <v>0.45310798668651842</v>
      </c>
      <c r="O60" s="32">
        <f t="shared" si="11"/>
        <v>13.303950775556043</v>
      </c>
      <c r="P60" s="32">
        <f t="shared" si="5"/>
        <v>58.552727335160604</v>
      </c>
      <c r="Q60">
        <v>2</v>
      </c>
      <c r="R60">
        <v>57</v>
      </c>
      <c r="S60" s="32">
        <f t="shared" si="6"/>
        <v>7.8814209124336854</v>
      </c>
      <c r="T60" s="1">
        <f t="shared" si="7"/>
        <v>8.0973223714074365</v>
      </c>
      <c r="U60" s="1">
        <f t="shared" si="12"/>
        <v>8.0351100543061573</v>
      </c>
      <c r="V60" s="1">
        <f t="shared" si="8"/>
        <v>0.94821697686054418</v>
      </c>
      <c r="W60" s="1">
        <f t="shared" si="13"/>
        <v>3.8703723991101125E-3</v>
      </c>
      <c r="X60" s="1">
        <f t="shared" si="14"/>
        <v>6.2212317101279169E-2</v>
      </c>
      <c r="Y60" s="39">
        <f t="shared" si="9"/>
        <v>57.513162594977146</v>
      </c>
      <c r="AB60">
        <v>55</v>
      </c>
      <c r="AC60" s="7">
        <v>0.44820752093895433</v>
      </c>
      <c r="AD60">
        <v>0.90223819604908828</v>
      </c>
      <c r="AE60">
        <v>0.947053500332668</v>
      </c>
      <c r="AF60" s="7">
        <v>5.4399692848343416E-2</v>
      </c>
      <c r="AG60" s="10">
        <v>122.80260976952484</v>
      </c>
      <c r="AH60" s="1">
        <v>0.45733644481492813</v>
      </c>
      <c r="AI60" s="10">
        <v>21.915618035734834</v>
      </c>
      <c r="AJ60" s="32">
        <v>1846.3774732519132</v>
      </c>
      <c r="AK60">
        <v>320</v>
      </c>
      <c r="AL60" s="7">
        <v>0.26169888490719895</v>
      </c>
      <c r="AP60" s="60">
        <v>3.7</v>
      </c>
      <c r="AQ60" s="61">
        <v>0</v>
      </c>
    </row>
    <row r="61" spans="1:43" x14ac:dyDescent="0.3">
      <c r="A61">
        <v>76986</v>
      </c>
      <c r="B61">
        <v>31</v>
      </c>
      <c r="C61">
        <v>7</v>
      </c>
      <c r="D61">
        <v>1982</v>
      </c>
      <c r="E61">
        <v>1</v>
      </c>
      <c r="F61">
        <v>5</v>
      </c>
      <c r="G61">
        <v>1986</v>
      </c>
      <c r="H61">
        <v>69</v>
      </c>
      <c r="I61" s="32">
        <f t="shared" si="2"/>
        <v>14.61324772583615</v>
      </c>
      <c r="J61" s="1">
        <v>3.75342465753425</v>
      </c>
      <c r="K61" s="32">
        <f t="shared" si="3"/>
        <v>15.556612034051998</v>
      </c>
      <c r="L61" s="32">
        <f t="shared" si="10"/>
        <v>77.058656528554863</v>
      </c>
      <c r="M61" s="1">
        <f t="shared" si="4"/>
        <v>0.295000696207319</v>
      </c>
      <c r="N61">
        <v>-0.65244421421084553</v>
      </c>
      <c r="O61" s="32">
        <f t="shared" si="11"/>
        <v>15.202243701807408</v>
      </c>
      <c r="P61" s="32">
        <f t="shared" si="5"/>
        <v>73.979297094093155</v>
      </c>
      <c r="Q61">
        <v>16</v>
      </c>
      <c r="R61">
        <v>85</v>
      </c>
      <c r="S61" s="32">
        <f t="shared" si="6"/>
        <v>8.6836932879130497</v>
      </c>
      <c r="T61" s="1">
        <f t="shared" si="7"/>
        <v>8.9416141008782102</v>
      </c>
      <c r="U61" s="1">
        <f t="shared" si="12"/>
        <v>9.0865831421613521</v>
      </c>
      <c r="V61" s="1">
        <f t="shared" si="8"/>
        <v>3.2133847973300425</v>
      </c>
      <c r="W61" s="1">
        <f t="shared" si="13"/>
        <v>2.1016022930553307E-2</v>
      </c>
      <c r="X61" s="1">
        <f t="shared" si="14"/>
        <v>-0.14496904128314192</v>
      </c>
      <c r="Y61" s="39">
        <f t="shared" si="9"/>
        <v>76.884616420021999</v>
      </c>
      <c r="AB61">
        <v>56</v>
      </c>
      <c r="AC61" s="7">
        <v>0.7587773998642281</v>
      </c>
      <c r="AD61">
        <v>2.2899684947133676</v>
      </c>
      <c r="AE61">
        <v>0.95335761264208174</v>
      </c>
      <c r="AF61" s="7">
        <v>4.7765196354268097E-2</v>
      </c>
      <c r="AG61" s="10">
        <v>121.8463198617788</v>
      </c>
      <c r="AH61" s="1">
        <v>1.7842187275475276</v>
      </c>
      <c r="AI61" s="10">
        <v>291.206843624915</v>
      </c>
      <c r="AJ61" s="32">
        <v>1801.7052369509229</v>
      </c>
      <c r="AK61">
        <v>320</v>
      </c>
      <c r="AL61" s="7">
        <v>0.95395041083269072</v>
      </c>
      <c r="AP61" s="60">
        <v>3.8</v>
      </c>
      <c r="AQ61" s="61">
        <v>1</v>
      </c>
    </row>
    <row r="62" spans="1:43" x14ac:dyDescent="0.3">
      <c r="A62">
        <v>78993</v>
      </c>
      <c r="B62">
        <v>31</v>
      </c>
      <c r="C62">
        <v>7</v>
      </c>
      <c r="D62">
        <v>1982</v>
      </c>
      <c r="E62">
        <v>24</v>
      </c>
      <c r="F62">
        <v>6</v>
      </c>
      <c r="G62">
        <v>1984</v>
      </c>
      <c r="H62">
        <v>64</v>
      </c>
      <c r="I62" s="32">
        <f t="shared" si="2"/>
        <v>14</v>
      </c>
      <c r="J62" s="1">
        <v>1.9013698630136999</v>
      </c>
      <c r="K62" s="32">
        <f t="shared" si="3"/>
        <v>14.557535751783114</v>
      </c>
      <c r="L62" s="32">
        <f t="shared" si="10"/>
        <v>68.537997542894004</v>
      </c>
      <c r="M62" s="1">
        <f t="shared" si="4"/>
        <v>0.16357904889438485</v>
      </c>
      <c r="N62">
        <v>-0.25341023501823656</v>
      </c>
      <c r="O62" s="32">
        <f t="shared" si="11"/>
        <v>14.455044218318005</v>
      </c>
      <c r="P62" s="32">
        <f t="shared" si="5"/>
        <v>67.69212005670019</v>
      </c>
      <c r="Q62">
        <v>0</v>
      </c>
      <c r="R62">
        <v>64</v>
      </c>
      <c r="S62" s="32">
        <f t="shared" si="6"/>
        <v>8.411364229409374</v>
      </c>
      <c r="T62" s="1">
        <f t="shared" si="7"/>
        <v>8.6138164394515027</v>
      </c>
      <c r="U62" s="1">
        <f t="shared" si="12"/>
        <v>8.6556116674342896</v>
      </c>
      <c r="V62" s="1">
        <f t="shared" si="8"/>
        <v>1.8053411748990389</v>
      </c>
      <c r="W62" s="1">
        <f t="shared" si="13"/>
        <v>1.746841082133133E-3</v>
      </c>
      <c r="X62" s="1">
        <f t="shared" si="14"/>
        <v>-4.1795227982786898E-2</v>
      </c>
      <c r="Y62" s="39">
        <f t="shared" si="9"/>
        <v>68.472311959313387</v>
      </c>
      <c r="AB62">
        <v>57</v>
      </c>
      <c r="AC62" s="7">
        <v>0.86085481023680055</v>
      </c>
      <c r="AD62">
        <v>3.2024991539732715</v>
      </c>
      <c r="AE62">
        <v>0.95583511122789699</v>
      </c>
      <c r="AF62" s="7">
        <v>4.5169858601828039E-2</v>
      </c>
      <c r="AG62" s="10">
        <v>124.03710453028557</v>
      </c>
      <c r="AH62" s="1">
        <v>2.8010516902492779</v>
      </c>
      <c r="AI62" s="10">
        <v>867.55494137501762</v>
      </c>
      <c r="AJ62" s="32">
        <v>1865.0846348965317</v>
      </c>
      <c r="AK62">
        <v>320</v>
      </c>
      <c r="AL62" s="7">
        <v>1.6465446218663282</v>
      </c>
      <c r="AP62" s="60">
        <v>3.9</v>
      </c>
      <c r="AQ62" s="61">
        <v>4</v>
      </c>
    </row>
    <row r="63" spans="1:43" x14ac:dyDescent="0.3">
      <c r="A63">
        <v>22875</v>
      </c>
      <c r="B63">
        <v>28</v>
      </c>
      <c r="C63">
        <v>7</v>
      </c>
      <c r="D63">
        <v>1982</v>
      </c>
      <c r="E63">
        <v>14</v>
      </c>
      <c r="F63">
        <v>6</v>
      </c>
      <c r="G63">
        <v>1983</v>
      </c>
      <c r="H63">
        <v>83</v>
      </c>
      <c r="I63" s="32">
        <f t="shared" si="2"/>
        <v>16.220867158288598</v>
      </c>
      <c r="J63" s="1">
        <v>0.87945205479452104</v>
      </c>
      <c r="K63" s="32">
        <f t="shared" si="3"/>
        <v>16.387555885758498</v>
      </c>
      <c r="L63" s="32">
        <f t="shared" si="10"/>
        <v>84.525552862973001</v>
      </c>
      <c r="M63" s="1">
        <f t="shared" si="4"/>
        <v>7.9633703030007871E-2</v>
      </c>
      <c r="N63">
        <v>-1.735888872644864</v>
      </c>
      <c r="O63" s="32">
        <f t="shared" si="11"/>
        <v>15.897697694170494</v>
      </c>
      <c r="P63" s="32">
        <f t="shared" si="5"/>
        <v>80.081895687978971</v>
      </c>
      <c r="Q63">
        <v>3</v>
      </c>
      <c r="R63">
        <v>86</v>
      </c>
      <c r="S63" s="32">
        <f t="shared" si="6"/>
        <v>9.3797459131381409</v>
      </c>
      <c r="T63" s="1">
        <f t="shared" si="7"/>
        <v>9.2417945853429799</v>
      </c>
      <c r="U63" s="1">
        <f t="shared" si="12"/>
        <v>9.4470211811966429</v>
      </c>
      <c r="V63" s="1">
        <f t="shared" si="8"/>
        <v>0.88563234201491614</v>
      </c>
      <c r="W63" s="1">
        <f t="shared" si="13"/>
        <v>4.2117955645682721E-2</v>
      </c>
      <c r="X63" s="1">
        <f t="shared" si="14"/>
        <v>-0.20522659585366299</v>
      </c>
      <c r="Y63" s="39">
        <f t="shared" si="9"/>
        <v>84.449473930015927</v>
      </c>
      <c r="AB63">
        <v>58</v>
      </c>
      <c r="AC63" s="7">
        <v>0.67821239721255555</v>
      </c>
      <c r="AD63">
        <v>1.7456856418633553</v>
      </c>
      <c r="AE63">
        <v>0.95463653583109709</v>
      </c>
      <c r="AF63" s="7">
        <v>4.6424601697226626E-2</v>
      </c>
      <c r="AG63" s="10">
        <v>129.67041288850044</v>
      </c>
      <c r="AH63" s="1">
        <v>1.2293091081165879</v>
      </c>
      <c r="AI63" s="10">
        <v>156.15900012362701</v>
      </c>
      <c r="AJ63" s="32">
        <v>1831.5331684423181</v>
      </c>
      <c r="AK63">
        <v>320</v>
      </c>
      <c r="AL63" s="7">
        <v>0.69856773142361395</v>
      </c>
      <c r="AP63" s="60">
        <v>4</v>
      </c>
      <c r="AQ63" s="61">
        <v>1</v>
      </c>
    </row>
    <row r="64" spans="1:43" ht="15" thickBot="1" x14ac:dyDescent="0.35">
      <c r="A64">
        <v>76900</v>
      </c>
      <c r="B64">
        <v>30</v>
      </c>
      <c r="C64">
        <v>7</v>
      </c>
      <c r="D64">
        <v>1982</v>
      </c>
      <c r="E64">
        <v>12</v>
      </c>
      <c r="F64">
        <v>7</v>
      </c>
      <c r="G64">
        <v>1985</v>
      </c>
      <c r="H64">
        <v>54</v>
      </c>
      <c r="I64" s="32">
        <f t="shared" si="2"/>
        <v>12.696938456699069</v>
      </c>
      <c r="J64" s="1">
        <v>2.9534246575342502</v>
      </c>
      <c r="K64" s="32">
        <f t="shared" si="3"/>
        <v>13.723561076061035</v>
      </c>
      <c r="L64" s="32">
        <f t="shared" si="10"/>
        <v>61.807593228155412</v>
      </c>
      <c r="M64" s="1">
        <f t="shared" si="4"/>
        <v>0.24128070652183439</v>
      </c>
      <c r="N64">
        <v>-0.88587967184139416</v>
      </c>
      <c r="O64" s="32">
        <f t="shared" si="11"/>
        <v>13.288414035674879</v>
      </c>
      <c r="P64" s="32">
        <f t="shared" si="5"/>
        <v>58.433900931555165</v>
      </c>
      <c r="Q64">
        <v>14</v>
      </c>
      <c r="R64">
        <v>68</v>
      </c>
      <c r="S64" s="32">
        <f t="shared" si="6"/>
        <v>7.8189121954385223</v>
      </c>
      <c r="T64" s="1">
        <f t="shared" si="7"/>
        <v>8.0902502211943119</v>
      </c>
      <c r="U64" s="1">
        <f t="shared" si="12"/>
        <v>8.281968608159568</v>
      </c>
      <c r="V64" s="1">
        <f t="shared" si="8"/>
        <v>2.6428245176989642</v>
      </c>
      <c r="W64" s="1">
        <f t="shared" si="13"/>
        <v>3.6755939900559684E-2</v>
      </c>
      <c r="X64" s="1">
        <f t="shared" si="14"/>
        <v>-0.19171838696525612</v>
      </c>
      <c r="Y64" s="39">
        <f t="shared" si="9"/>
        <v>61.714807253032163</v>
      </c>
      <c r="AB64">
        <v>59</v>
      </c>
      <c r="AC64" s="7">
        <v>0.33443087670555882</v>
      </c>
      <c r="AD64">
        <v>0.58324913623637231</v>
      </c>
      <c r="AE64">
        <v>0.95080528919767959</v>
      </c>
      <c r="AF64" s="7">
        <v>5.0445980619606784E-2</v>
      </c>
      <c r="AG64" s="10">
        <v>120.47679387721151</v>
      </c>
      <c r="AH64" s="1">
        <v>0.24425123077161032</v>
      </c>
      <c r="AI64" s="10">
        <v>6.4953949096202797</v>
      </c>
      <c r="AJ64" s="32">
        <v>1776.1662878729815</v>
      </c>
      <c r="AK64">
        <v>320</v>
      </c>
      <c r="AL64" s="7">
        <v>0.14247143254899691</v>
      </c>
      <c r="AP64" s="62" t="s">
        <v>78</v>
      </c>
      <c r="AQ64" s="62">
        <v>33</v>
      </c>
    </row>
    <row r="65" spans="1:43" ht="15" thickBot="1" x14ac:dyDescent="0.35">
      <c r="A65">
        <v>78864</v>
      </c>
      <c r="B65">
        <v>27</v>
      </c>
      <c r="C65">
        <v>7</v>
      </c>
      <c r="D65">
        <v>1982</v>
      </c>
      <c r="E65">
        <v>4</v>
      </c>
      <c r="F65">
        <v>5</v>
      </c>
      <c r="G65">
        <v>1983</v>
      </c>
      <c r="H65">
        <v>84</v>
      </c>
      <c r="I65" s="32">
        <f t="shared" si="2"/>
        <v>16.330302779823359</v>
      </c>
      <c r="J65" s="1">
        <v>0.76986301369862997</v>
      </c>
      <c r="K65" s="32">
        <f t="shared" si="3"/>
        <v>16.472390848980396</v>
      </c>
      <c r="L65" s="32">
        <f t="shared" si="10"/>
        <v>85.307305919373675</v>
      </c>
      <c r="M65" s="1">
        <f t="shared" si="4"/>
        <v>7.0097903703802644E-2</v>
      </c>
      <c r="N65">
        <v>-0.86200770965660922</v>
      </c>
      <c r="O65" s="32">
        <f t="shared" si="11"/>
        <v>16.244165612719161</v>
      </c>
      <c r="P65" s="32">
        <f t="shared" si="5"/>
        <v>83.212394726081087</v>
      </c>
      <c r="Q65">
        <v>1</v>
      </c>
      <c r="R65">
        <v>85</v>
      </c>
      <c r="S65" s="32">
        <f t="shared" si="6"/>
        <v>9.4262457208818446</v>
      </c>
      <c r="T65" s="1">
        <f t="shared" si="7"/>
        <v>9.389654589191279</v>
      </c>
      <c r="U65" s="1">
        <f t="shared" si="12"/>
        <v>9.4832562042182786</v>
      </c>
      <c r="V65" s="1">
        <f t="shared" si="8"/>
        <v>0.78023596558428476</v>
      </c>
      <c r="W65" s="1">
        <f t="shared" si="13"/>
        <v>8.7612623356626371E-3</v>
      </c>
      <c r="X65" s="1">
        <f t="shared" si="14"/>
        <v>-9.3601615026999596E-2</v>
      </c>
      <c r="Y65" s="39">
        <f t="shared" si="9"/>
        <v>85.237399673240503</v>
      </c>
      <c r="AB65">
        <v>60</v>
      </c>
      <c r="AC65" s="7">
        <v>0.36760946983097725</v>
      </c>
      <c r="AD65">
        <v>0.70359095924198622</v>
      </c>
      <c r="AE65">
        <v>0.94646949173824468</v>
      </c>
      <c r="AF65" s="7">
        <v>5.501654156408322E-2</v>
      </c>
      <c r="AG65" s="10">
        <v>121.11237288359621</v>
      </c>
      <c r="AH65" s="1">
        <v>0.3121772077665706</v>
      </c>
      <c r="AI65" s="10">
        <v>8.4151866470860437</v>
      </c>
      <c r="AJ65" s="32">
        <v>1766.0341193291815</v>
      </c>
      <c r="AK65">
        <v>320</v>
      </c>
      <c r="AL65" s="7">
        <v>0.16216491073023129</v>
      </c>
    </row>
    <row r="66" spans="1:43" x14ac:dyDescent="0.3">
      <c r="A66">
        <v>76806</v>
      </c>
      <c r="B66">
        <v>30</v>
      </c>
      <c r="C66">
        <v>7</v>
      </c>
      <c r="D66">
        <v>1982</v>
      </c>
      <c r="E66">
        <v>8</v>
      </c>
      <c r="F66">
        <v>5</v>
      </c>
      <c r="G66">
        <v>1989</v>
      </c>
      <c r="H66">
        <v>48</v>
      </c>
      <c r="I66" s="32">
        <f t="shared" si="2"/>
        <v>11.856406460551018</v>
      </c>
      <c r="J66" s="1">
        <v>6.7780821917808201</v>
      </c>
      <c r="K66" s="32">
        <f t="shared" si="3"/>
        <v>14.24792083068343</v>
      </c>
      <c r="L66" s="32">
        <f t="shared" si="10"/>
        <v>65.998732830039131</v>
      </c>
      <c r="M66" s="1">
        <f t="shared" si="4"/>
        <v>0.46254957541660374</v>
      </c>
      <c r="N66">
        <v>-0.34934714676637668</v>
      </c>
      <c r="O66" s="32">
        <f t="shared" si="11"/>
        <v>14.010326352117596</v>
      </c>
      <c r="P66" s="32">
        <f t="shared" si="5"/>
        <v>64.082637475327772</v>
      </c>
      <c r="Q66">
        <v>25</v>
      </c>
      <c r="R66">
        <v>73</v>
      </c>
      <c r="S66" s="32">
        <f t="shared" si="6"/>
        <v>7.4259342422243391</v>
      </c>
      <c r="T66" s="1">
        <f t="shared" si="7"/>
        <v>8.4159829990876212</v>
      </c>
      <c r="U66" s="1">
        <f t="shared" si="12"/>
        <v>8.5099466494675937</v>
      </c>
      <c r="V66" s="1">
        <f t="shared" si="8"/>
        <v>4.9421193688487355</v>
      </c>
      <c r="W66" s="1">
        <f t="shared" si="13"/>
        <v>8.8291675927297184E-3</v>
      </c>
      <c r="X66" s="1">
        <f t="shared" si="14"/>
        <v>-9.3963650379972563E-2</v>
      </c>
      <c r="Y66" s="39">
        <f t="shared" si="9"/>
        <v>65.779912840277305</v>
      </c>
      <c r="AB66">
        <v>61</v>
      </c>
      <c r="AC66" s="7">
        <v>0.27450600145613263</v>
      </c>
      <c r="AD66">
        <v>0.57831884239712306</v>
      </c>
      <c r="AE66">
        <v>0.94147372770056847</v>
      </c>
      <c r="AF66" s="7">
        <v>6.0308836000170528E-2</v>
      </c>
      <c r="AG66" s="10">
        <v>118.91550825080537</v>
      </c>
      <c r="AH66" s="1">
        <v>0.21727826529260513</v>
      </c>
      <c r="AI66" s="10">
        <v>3.5158104405281896</v>
      </c>
      <c r="AJ66" s="32">
        <v>1746.8479431750666</v>
      </c>
      <c r="AK66">
        <v>320</v>
      </c>
      <c r="AL66" s="7">
        <v>0.10481845079302876</v>
      </c>
      <c r="AN66">
        <v>0.93</v>
      </c>
      <c r="AP66" s="63" t="s">
        <v>77</v>
      </c>
      <c r="AQ66" s="63" t="s">
        <v>79</v>
      </c>
    </row>
    <row r="67" spans="1:43" x14ac:dyDescent="0.3">
      <c r="A67">
        <v>20576</v>
      </c>
      <c r="B67">
        <v>18</v>
      </c>
      <c r="C67">
        <v>1</v>
      </c>
      <c r="D67">
        <v>1982</v>
      </c>
      <c r="E67">
        <v>29</v>
      </c>
      <c r="F67">
        <v>4</v>
      </c>
      <c r="G67">
        <v>1985</v>
      </c>
      <c r="H67">
        <v>110</v>
      </c>
      <c r="I67" s="32">
        <f t="shared" si="2"/>
        <v>18.976176963403031</v>
      </c>
      <c r="J67" s="1">
        <v>3.2794520547945201</v>
      </c>
      <c r="K67" s="32">
        <f t="shared" si="3"/>
        <v>19.134692378791105</v>
      </c>
      <c r="L67" s="32">
        <f t="shared" si="10"/>
        <v>111.6688054865327</v>
      </c>
      <c r="M67" s="1">
        <f t="shared" si="4"/>
        <v>0.26370696378745245</v>
      </c>
      <c r="N67">
        <v>-0.80632162280380726</v>
      </c>
      <c r="O67" s="32">
        <f t="shared" si="11"/>
        <v>18.720626822565769</v>
      </c>
      <c r="P67" s="32">
        <f t="shared" si="5"/>
        <v>107.336093980008</v>
      </c>
      <c r="Q67">
        <v>17</v>
      </c>
      <c r="R67">
        <v>127</v>
      </c>
      <c r="S67" s="32">
        <f t="shared" si="6"/>
        <v>10.519766987800159</v>
      </c>
      <c r="T67" s="1">
        <f t="shared" si="7"/>
        <v>10.416576205227139</v>
      </c>
      <c r="U67" s="1">
        <f t="shared" si="12"/>
        <v>10.552640259459658</v>
      </c>
      <c r="V67" s="1">
        <f t="shared" si="8"/>
        <v>2.8818884188018696</v>
      </c>
      <c r="W67" s="1">
        <f t="shared" si="13"/>
        <v>1.8513426854189659E-2</v>
      </c>
      <c r="X67" s="1">
        <f t="shared" si="14"/>
        <v>-0.13606405423251822</v>
      </c>
      <c r="Y67" s="39">
        <f t="shared" si="9"/>
        <v>110.85817065025483</v>
      </c>
      <c r="AB67">
        <v>62</v>
      </c>
      <c r="AC67" s="7">
        <v>0.53256886990721275</v>
      </c>
      <c r="AD67">
        <v>1.2066338644568475</v>
      </c>
      <c r="AE67">
        <v>0.94494182565809426</v>
      </c>
      <c r="AF67" s="7">
        <v>5.6631913533462919E-2</v>
      </c>
      <c r="AG67" s="10">
        <v>117.69976169242463</v>
      </c>
      <c r="AH67" s="1">
        <v>0.69767380792746192</v>
      </c>
      <c r="AI67" s="10">
        <v>37.278190398409876</v>
      </c>
      <c r="AJ67" s="32">
        <v>1776.2084918315829</v>
      </c>
      <c r="AK67">
        <v>320</v>
      </c>
      <c r="AL67" s="7">
        <v>0.34131267921809011</v>
      </c>
      <c r="AN67">
        <v>0.93100000000000005</v>
      </c>
      <c r="AP67" s="60">
        <v>0.93</v>
      </c>
      <c r="AQ67" s="61">
        <v>0</v>
      </c>
    </row>
    <row r="68" spans="1:43" x14ac:dyDescent="0.3">
      <c r="A68">
        <v>79470</v>
      </c>
      <c r="B68">
        <v>4</v>
      </c>
      <c r="C68">
        <v>9</v>
      </c>
      <c r="D68">
        <v>1982</v>
      </c>
      <c r="E68">
        <v>29</v>
      </c>
      <c r="F68">
        <v>4</v>
      </c>
      <c r="G68">
        <v>1984</v>
      </c>
      <c r="H68">
        <v>74</v>
      </c>
      <c r="I68" s="32">
        <f t="shared" si="2"/>
        <v>15.204650534085253</v>
      </c>
      <c r="J68" s="1">
        <v>1.6520547945205499</v>
      </c>
      <c r="K68" s="32">
        <f t="shared" si="3"/>
        <v>15.594264326970881</v>
      </c>
      <c r="L68" s="32">
        <f t="shared" si="10"/>
        <v>77.389534301830011</v>
      </c>
      <c r="M68" s="1">
        <f t="shared" si="4"/>
        <v>0.14390329610323932</v>
      </c>
      <c r="N68">
        <v>-0.3843683771265205</v>
      </c>
      <c r="O68" s="32">
        <f t="shared" si="11"/>
        <v>15.448455766994289</v>
      </c>
      <c r="P68" s="32">
        <f t="shared" si="5"/>
        <v>76.112152163189066</v>
      </c>
      <c r="Q68">
        <v>4</v>
      </c>
      <c r="R68">
        <v>78</v>
      </c>
      <c r="S68" s="32">
        <f t="shared" si="6"/>
        <v>8.9426609766862715</v>
      </c>
      <c r="T68" s="1">
        <f t="shared" si="7"/>
        <v>9.0484148550032426</v>
      </c>
      <c r="U68" s="1">
        <f t="shared" si="12"/>
        <v>9.1069328976195134</v>
      </c>
      <c r="V68" s="1">
        <f t="shared" si="8"/>
        <v>1.5911143819232278</v>
      </c>
      <c r="W68" s="1">
        <f t="shared" si="13"/>
        <v>3.4243613116396862E-3</v>
      </c>
      <c r="X68" s="1">
        <f t="shared" si="14"/>
        <v>-5.8518042616270805E-2</v>
      </c>
      <c r="Y68" s="39">
        <f t="shared" si="9"/>
        <v>77.298676119358149</v>
      </c>
      <c r="AB68">
        <v>63</v>
      </c>
      <c r="AC68" s="7">
        <v>0.58175607966573673</v>
      </c>
      <c r="AD68">
        <v>1.2768915419643523</v>
      </c>
      <c r="AE68">
        <v>0.9520735231417371</v>
      </c>
      <c r="AF68" s="7">
        <v>4.9113016981969078E-2</v>
      </c>
      <c r="AG68" s="10">
        <v>123.80953936542876</v>
      </c>
      <c r="AH68" s="1">
        <v>0.79076589446978207</v>
      </c>
      <c r="AI68" s="10">
        <v>60.089441876859219</v>
      </c>
      <c r="AJ68" s="32">
        <v>1794.9674728426671</v>
      </c>
      <c r="AK68">
        <v>320</v>
      </c>
      <c r="AL68" s="7">
        <v>0.43333532727575425</v>
      </c>
      <c r="AN68">
        <v>0.93200000000000005</v>
      </c>
      <c r="AP68" s="60">
        <v>0.93100000000000005</v>
      </c>
      <c r="AQ68" s="61">
        <v>3</v>
      </c>
    </row>
    <row r="69" spans="1:43" x14ac:dyDescent="0.3">
      <c r="A69">
        <v>78810</v>
      </c>
      <c r="B69">
        <v>25</v>
      </c>
      <c r="C69">
        <v>7</v>
      </c>
      <c r="D69">
        <v>1982</v>
      </c>
      <c r="E69">
        <v>11</v>
      </c>
      <c r="F69">
        <v>9</v>
      </c>
      <c r="G69">
        <v>1984</v>
      </c>
      <c r="H69">
        <v>88</v>
      </c>
      <c r="I69" s="32">
        <f t="shared" si="2"/>
        <v>16.761663039293719</v>
      </c>
      <c r="J69" s="1">
        <v>2.1342465753424702</v>
      </c>
      <c r="K69" s="32">
        <f t="shared" si="3"/>
        <v>17.097456631038082</v>
      </c>
      <c r="L69" s="32">
        <f t="shared" si="10"/>
        <v>91.1782124435951</v>
      </c>
      <c r="M69" s="1">
        <f t="shared" si="4"/>
        <v>0.18150845428367926</v>
      </c>
      <c r="N69">
        <v>-0.97898919193539768</v>
      </c>
      <c r="O69" s="32">
        <f t="shared" si="11"/>
        <v>16.680369945399686</v>
      </c>
      <c r="P69" s="32">
        <f t="shared" si="5"/>
        <v>87.239055324247971</v>
      </c>
      <c r="Q69">
        <v>8</v>
      </c>
      <c r="R69">
        <v>96</v>
      </c>
      <c r="S69" s="32">
        <f t="shared" si="6"/>
        <v>9.6084967093666851</v>
      </c>
      <c r="T69" s="1">
        <f t="shared" si="7"/>
        <v>9.5742751232426944</v>
      </c>
      <c r="U69" s="1">
        <f t="shared" si="12"/>
        <v>9.7387489887257637</v>
      </c>
      <c r="V69" s="1">
        <f t="shared" si="8"/>
        <v>1.9998119515900099</v>
      </c>
      <c r="W69" s="1">
        <f t="shared" si="13"/>
        <v>2.7051652426942775E-2</v>
      </c>
      <c r="X69" s="1">
        <f t="shared" si="14"/>
        <v>-0.1644738654830693</v>
      </c>
      <c r="Y69" s="39">
        <f t="shared" si="9"/>
        <v>90.938381353277791</v>
      </c>
      <c r="AB69">
        <v>64</v>
      </c>
      <c r="AC69" s="7">
        <v>0.1936813765114703</v>
      </c>
      <c r="AD69">
        <v>0.41785927948224028</v>
      </c>
      <c r="AE69">
        <v>0.94706377973548206</v>
      </c>
      <c r="AF69" s="7">
        <v>5.4388838818424219E-2</v>
      </c>
      <c r="AG69" s="10">
        <v>120.32063177061691</v>
      </c>
      <c r="AH69" s="1">
        <v>0.13386778070272942</v>
      </c>
      <c r="AI69" s="10">
        <v>2.2054910056388355</v>
      </c>
      <c r="AJ69" s="32">
        <v>1825.497306366002</v>
      </c>
      <c r="AK69">
        <v>320</v>
      </c>
      <c r="AL69" s="7">
        <v>8.3019030304029448E-2</v>
      </c>
      <c r="AN69">
        <v>0.93300000000000005</v>
      </c>
      <c r="AP69" s="60">
        <v>0.93200000000000005</v>
      </c>
      <c r="AQ69" s="61">
        <v>0</v>
      </c>
    </row>
    <row r="70" spans="1:43" x14ac:dyDescent="0.3">
      <c r="A70">
        <v>79575</v>
      </c>
      <c r="B70">
        <v>5</v>
      </c>
      <c r="C70">
        <v>9</v>
      </c>
      <c r="D70">
        <v>1982</v>
      </c>
      <c r="E70">
        <v>7</v>
      </c>
      <c r="F70">
        <v>9</v>
      </c>
      <c r="G70">
        <v>1987</v>
      </c>
      <c r="H70">
        <v>82</v>
      </c>
      <c r="I70" s="32">
        <f t="shared" si="2"/>
        <v>16.110770276274835</v>
      </c>
      <c r="J70" s="1">
        <v>5.0082191780821903</v>
      </c>
      <c r="K70" s="32">
        <f t="shared" si="3"/>
        <v>16.991856644899549</v>
      </c>
      <c r="L70" s="32">
        <f t="shared" si="10"/>
        <v>90.172654705103795</v>
      </c>
      <c r="M70" s="1">
        <f t="shared" si="4"/>
        <v>0.37086248258474203</v>
      </c>
      <c r="N70">
        <v>0.51111328502884135</v>
      </c>
      <c r="O70" s="32">
        <f t="shared" si="11"/>
        <v>17.303116864862176</v>
      </c>
      <c r="P70" s="32">
        <f t="shared" si="5"/>
        <v>93.152580174631638</v>
      </c>
      <c r="Q70">
        <v>10</v>
      </c>
      <c r="R70">
        <v>92</v>
      </c>
      <c r="S70" s="32">
        <f t="shared" si="6"/>
        <v>9.332855979925947</v>
      </c>
      <c r="T70" s="1">
        <f t="shared" si="7"/>
        <v>9.834984179357912</v>
      </c>
      <c r="U70" s="1">
        <f t="shared" si="12"/>
        <v>9.6851367219511317</v>
      </c>
      <c r="V70" s="1">
        <f t="shared" si="8"/>
        <v>4.0062541593696608</v>
      </c>
      <c r="W70" s="1">
        <f t="shared" si="13"/>
        <v>2.2454260491276835E-2</v>
      </c>
      <c r="X70" s="1">
        <f t="shared" si="14"/>
        <v>0.14984745740678029</v>
      </c>
      <c r="Y70" s="39">
        <f t="shared" si="9"/>
        <v>89.720826988192186</v>
      </c>
      <c r="AB70">
        <v>65</v>
      </c>
      <c r="AC70" s="7">
        <v>0.17317085741992563</v>
      </c>
      <c r="AD70">
        <v>0.36558276846750243</v>
      </c>
      <c r="AE70">
        <v>0.9521037182859029</v>
      </c>
      <c r="AF70" s="7">
        <v>4.9081302345840259E-2</v>
      </c>
      <c r="AG70" s="10">
        <v>129.56414340406968</v>
      </c>
      <c r="AH70" s="1">
        <v>0.11120456318756465</v>
      </c>
      <c r="AI70" s="10">
        <v>1.5615153677507003</v>
      </c>
      <c r="AJ70" s="32">
        <v>1778.1313782188536</v>
      </c>
      <c r="AK70">
        <v>320</v>
      </c>
      <c r="AL70" s="7">
        <v>6.9855103780761346E-2</v>
      </c>
      <c r="AN70">
        <v>0.93400000000000005</v>
      </c>
      <c r="AP70" s="60">
        <v>0.93300000000000005</v>
      </c>
      <c r="AQ70" s="61">
        <v>3</v>
      </c>
    </row>
    <row r="71" spans="1:43" x14ac:dyDescent="0.3">
      <c r="A71">
        <v>22973</v>
      </c>
      <c r="B71">
        <v>29</v>
      </c>
      <c r="C71">
        <v>7</v>
      </c>
      <c r="D71">
        <v>1982</v>
      </c>
      <c r="E71">
        <v>10</v>
      </c>
      <c r="F71">
        <v>7</v>
      </c>
      <c r="G71">
        <v>1984</v>
      </c>
      <c r="H71">
        <v>70</v>
      </c>
      <c r="I71" s="32">
        <f t="shared" si="2"/>
        <v>14.733200530681511</v>
      </c>
      <c r="J71" s="1">
        <v>1.95068493150685</v>
      </c>
      <c r="K71" s="32">
        <f t="shared" si="3"/>
        <v>15.234674667167942</v>
      </c>
      <c r="L71" s="32">
        <f t="shared" si="10"/>
        <v>74.258502720780115</v>
      </c>
      <c r="M71" s="1">
        <f t="shared" si="4"/>
        <v>0.16741169476680939</v>
      </c>
      <c r="N71">
        <v>0.41011389839695767</v>
      </c>
      <c r="O71" s="32">
        <f t="shared" si="11"/>
        <v>15.402476764173649</v>
      </c>
      <c r="P71" s="32">
        <f t="shared" si="5"/>
        <v>75.711549381900937</v>
      </c>
      <c r="Q71">
        <v>4</v>
      </c>
      <c r="R71">
        <v>74</v>
      </c>
      <c r="S71" s="32">
        <f t="shared" si="6"/>
        <v>8.736503742677316</v>
      </c>
      <c r="T71" s="1">
        <f t="shared" si="7"/>
        <v>9.0285147863759843</v>
      </c>
      <c r="U71" s="1">
        <f t="shared" si="12"/>
        <v>8.9512734334776258</v>
      </c>
      <c r="V71" s="1">
        <f t="shared" si="8"/>
        <v>1.8469718380672175</v>
      </c>
      <c r="W71" s="1">
        <f t="shared" si="13"/>
        <v>5.9662265975687443E-3</v>
      </c>
      <c r="X71" s="1">
        <f t="shared" si="14"/>
        <v>7.7241352898358429E-2</v>
      </c>
      <c r="Y71" s="39">
        <f t="shared" si="9"/>
        <v>74.170471544866999</v>
      </c>
      <c r="AB71">
        <v>66</v>
      </c>
      <c r="AC71" s="7">
        <v>0.45239978050952356</v>
      </c>
      <c r="AD71">
        <v>0.94388505741249817</v>
      </c>
      <c r="AE71">
        <v>0.9447816646779692</v>
      </c>
      <c r="AF71" s="7">
        <v>5.6801420851679149E-2</v>
      </c>
      <c r="AG71" s="10">
        <v>120.33720751365782</v>
      </c>
      <c r="AH71" s="1">
        <v>0.48223172812166404</v>
      </c>
      <c r="AI71" s="10">
        <v>17.726683493816449</v>
      </c>
      <c r="AJ71" s="32">
        <v>1765.3421852659478</v>
      </c>
      <c r="AK71">
        <v>320</v>
      </c>
      <c r="AL71" s="7">
        <v>0.2353633062271526</v>
      </c>
      <c r="AN71">
        <v>0.93500000000000005</v>
      </c>
      <c r="AP71" s="60">
        <v>0.93400000000000005</v>
      </c>
      <c r="AQ71" s="61">
        <v>9</v>
      </c>
    </row>
    <row r="72" spans="1:43" x14ac:dyDescent="0.3">
      <c r="A72">
        <v>77045</v>
      </c>
      <c r="B72">
        <v>1</v>
      </c>
      <c r="C72">
        <v>8</v>
      </c>
      <c r="D72">
        <v>1982</v>
      </c>
      <c r="E72">
        <v>8</v>
      </c>
      <c r="F72">
        <v>5</v>
      </c>
      <c r="G72">
        <v>1988</v>
      </c>
      <c r="H72">
        <v>79</v>
      </c>
      <c r="I72" s="32">
        <f t="shared" ref="I72:I135" si="15">(H72^gamma_T-1)/gamma_T</f>
        <v>15.776388834631177</v>
      </c>
      <c r="J72" s="1">
        <v>5.7726027397260298</v>
      </c>
      <c r="K72" s="32">
        <f t="shared" ref="K72:K135" si="16">alpha_T*(1-rho_T^J72)/(1-rho_T)+I72*rho_T^J72</f>
        <v>16.858832089443759</v>
      </c>
      <c r="L72" s="32">
        <f t="shared" ref="L72:L135" si="17">(gamma_T*K72+1)^(1/gamma_T)</f>
        <v>88.913886944458412</v>
      </c>
      <c r="M72" s="1">
        <f t="shared" ref="M72:M135" si="18">sigma_eps_T^2*(1-rho_T^(2*J72))/(1-rho_T^2)</f>
        <v>0.41251039534364464</v>
      </c>
      <c r="N72">
        <v>-0.95312771009048447</v>
      </c>
      <c r="O72" s="32">
        <f t="shared" si="11"/>
        <v>16.246667020390547</v>
      </c>
      <c r="P72" s="32">
        <f t="shared" ref="P72:P135" si="19">(gamma_T*O72+1)^(1/gamma_T)</f>
        <v>83.235214338252007</v>
      </c>
      <c r="Q72">
        <v>23</v>
      </c>
      <c r="R72">
        <v>102</v>
      </c>
      <c r="S72" s="32">
        <f t="shared" ref="S72:S135" si="20">(H72^gamma-1)/gamma</f>
        <v>9.1897631511801485</v>
      </c>
      <c r="T72" s="1">
        <f t="shared" ref="T72:T135" si="21">(P72^gamma-1)/gamma</f>
        <v>9.3907181299818472</v>
      </c>
      <c r="U72" s="1">
        <f t="shared" ref="U72:U135" si="22">alpha*(1-rho^J72)/(1-rho)+(rho^J72)*S72</f>
        <v>9.6286197178587365</v>
      </c>
      <c r="V72" s="1">
        <f t="shared" ref="V72:V135" si="23">(1-rho^(2*J72))/(1-rho^2)</f>
        <v>4.4345909944524298</v>
      </c>
      <c r="W72" s="1">
        <f t="shared" si="13"/>
        <v>5.6597165514345286E-2</v>
      </c>
      <c r="X72" s="1">
        <f t="shared" si="14"/>
        <v>-0.23790158787688931</v>
      </c>
      <c r="Y72" s="39">
        <f t="shared" ref="Y72:Y135" si="24">(U72*gamma+1)^(1/gamma)</f>
        <v>88.449593571709556</v>
      </c>
      <c r="AB72">
        <v>67</v>
      </c>
      <c r="AC72" s="7">
        <v>0.45587994409225535</v>
      </c>
      <c r="AD72">
        <v>0.90819218306141336</v>
      </c>
      <c r="AE72">
        <v>0.94670269779673177</v>
      </c>
      <c r="AF72" s="7">
        <v>5.4770176166412839E-2</v>
      </c>
      <c r="AG72" s="10">
        <v>117.04037740498352</v>
      </c>
      <c r="AH72" s="1">
        <v>0.46732390384232869</v>
      </c>
      <c r="AI72" s="10">
        <v>18.316628502318196</v>
      </c>
      <c r="AJ72" s="32">
        <v>1764.3967018692188</v>
      </c>
      <c r="AK72">
        <v>320</v>
      </c>
      <c r="AL72" s="7">
        <v>0.23924770441896481</v>
      </c>
      <c r="AN72">
        <v>0.93600000000000005</v>
      </c>
      <c r="AP72" s="60">
        <v>0.93500000000000005</v>
      </c>
      <c r="AQ72" s="61">
        <v>0</v>
      </c>
    </row>
    <row r="73" spans="1:43" x14ac:dyDescent="0.3">
      <c r="A73">
        <v>78917</v>
      </c>
      <c r="B73">
        <v>28</v>
      </c>
      <c r="C73">
        <v>7</v>
      </c>
      <c r="D73">
        <v>1982</v>
      </c>
      <c r="E73">
        <v>6</v>
      </c>
      <c r="F73">
        <v>7</v>
      </c>
      <c r="G73">
        <v>1983</v>
      </c>
      <c r="H73">
        <v>79</v>
      </c>
      <c r="I73" s="32">
        <f t="shared" si="15"/>
        <v>15.776388834631177</v>
      </c>
      <c r="J73" s="1">
        <v>0.93972602739725997</v>
      </c>
      <c r="K73" s="32">
        <f t="shared" si="16"/>
        <v>15.975145163530975</v>
      </c>
      <c r="L73" s="32">
        <f t="shared" si="17"/>
        <v>80.776460912502756</v>
      </c>
      <c r="M73" s="1">
        <f t="shared" si="18"/>
        <v>8.483287594817894E-2</v>
      </c>
      <c r="N73">
        <v>0.51477854867698625</v>
      </c>
      <c r="O73" s="32">
        <f t="shared" ref="O73:O136" si="25">K73+N73*SQRT(M73)</f>
        <v>16.125079995176012</v>
      </c>
      <c r="P73" s="32">
        <f t="shared" si="19"/>
        <v>82.129631207882412</v>
      </c>
      <c r="Q73">
        <v>6</v>
      </c>
      <c r="R73">
        <v>85</v>
      </c>
      <c r="S73" s="32">
        <f t="shared" si="20"/>
        <v>9.1897631511801485</v>
      </c>
      <c r="T73" s="1">
        <f t="shared" si="21"/>
        <v>9.3389566688886063</v>
      </c>
      <c r="U73" s="1">
        <f t="shared" si="22"/>
        <v>9.2718008306056117</v>
      </c>
      <c r="V73" s="1">
        <f t="shared" si="23"/>
        <v>0.94302017668697624</v>
      </c>
      <c r="W73" s="1">
        <f t="shared" ref="W73:W136" si="26">(T73-U73)^2</f>
        <v>4.5099066154917298E-3</v>
      </c>
      <c r="X73" s="1">
        <f t="shared" ref="X73:X136" si="27">T73-U73</f>
        <v>6.7155838282994651E-2</v>
      </c>
      <c r="Y73" s="39">
        <f t="shared" si="24"/>
        <v>80.710467091101293</v>
      </c>
      <c r="AB73">
        <v>68</v>
      </c>
      <c r="AC73" s="7">
        <v>0.52465975547460486</v>
      </c>
      <c r="AD73">
        <v>1.0894311232745888</v>
      </c>
      <c r="AE73">
        <v>0.9488566571169279</v>
      </c>
      <c r="AF73" s="7">
        <v>5.2497538022224149E-2</v>
      </c>
      <c r="AG73" s="10">
        <v>117.2120594179211</v>
      </c>
      <c r="AH73" s="1">
        <v>0.6227240096267419</v>
      </c>
      <c r="AI73" s="10">
        <v>37.713162309004808</v>
      </c>
      <c r="AJ73" s="32">
        <v>1802.69724872394</v>
      </c>
      <c r="AK73">
        <v>320</v>
      </c>
      <c r="AL73" s="7">
        <v>0.34329816809246161</v>
      </c>
      <c r="AN73">
        <v>0.93700000000000006</v>
      </c>
      <c r="AP73" s="60">
        <v>0.93600000000000005</v>
      </c>
      <c r="AQ73" s="61">
        <v>10</v>
      </c>
    </row>
    <row r="74" spans="1:43" x14ac:dyDescent="0.3">
      <c r="A74">
        <v>20582</v>
      </c>
      <c r="B74">
        <v>18</v>
      </c>
      <c r="C74">
        <v>1</v>
      </c>
      <c r="D74">
        <v>1982</v>
      </c>
      <c r="E74">
        <v>3</v>
      </c>
      <c r="F74">
        <v>5</v>
      </c>
      <c r="G74">
        <v>1983</v>
      </c>
      <c r="H74">
        <v>96</v>
      </c>
      <c r="I74" s="32">
        <f t="shared" si="15"/>
        <v>17.595917942265423</v>
      </c>
      <c r="J74" s="1">
        <v>1.2876712328767099</v>
      </c>
      <c r="K74" s="32">
        <f t="shared" si="16"/>
        <v>17.749574633106089</v>
      </c>
      <c r="L74" s="32">
        <f t="shared" si="17"/>
        <v>97.511424547156878</v>
      </c>
      <c r="M74" s="1">
        <f t="shared" si="18"/>
        <v>0.11422588266200534</v>
      </c>
      <c r="N74">
        <v>0.35007929000130389</v>
      </c>
      <c r="O74" s="32">
        <f t="shared" si="25"/>
        <v>17.867892050350942</v>
      </c>
      <c r="P74" s="32">
        <f t="shared" si="19"/>
        <v>98.683283631099542</v>
      </c>
      <c r="Q74">
        <v>0</v>
      </c>
      <c r="R74">
        <v>96</v>
      </c>
      <c r="S74" s="32">
        <f t="shared" si="20"/>
        <v>9.9564369191438562</v>
      </c>
      <c r="T74" s="1">
        <f t="shared" si="21"/>
        <v>10.068623278907648</v>
      </c>
      <c r="U74" s="1">
        <f t="shared" si="22"/>
        <v>10.011449497057624</v>
      </c>
      <c r="V74" s="1">
        <f t="shared" si="23"/>
        <v>1.2664180766910957</v>
      </c>
      <c r="W74" s="1">
        <f t="shared" si="26"/>
        <v>3.2688413310340801E-3</v>
      </c>
      <c r="X74" s="1">
        <f t="shared" si="27"/>
        <v>5.7173781850023531E-2</v>
      </c>
      <c r="Y74" s="39">
        <f t="shared" si="24"/>
        <v>97.309386860960117</v>
      </c>
      <c r="AB74">
        <v>69</v>
      </c>
      <c r="AC74" s="7">
        <v>0.22614054803174236</v>
      </c>
      <c r="AD74">
        <v>0.505006694871171</v>
      </c>
      <c r="AE74">
        <v>0.94078305857494726</v>
      </c>
      <c r="AF74" s="7">
        <v>6.1042709467016336E-2</v>
      </c>
      <c r="AG74" s="10">
        <v>115.7570928197416</v>
      </c>
      <c r="AH74" s="1">
        <v>0.17341943216291825</v>
      </c>
      <c r="AI74" s="10">
        <v>2.5158036305579792</v>
      </c>
      <c r="AJ74" s="32">
        <v>1773.1635951238434</v>
      </c>
      <c r="AK74">
        <v>320</v>
      </c>
      <c r="AL74" s="7">
        <v>8.8667278888514917E-2</v>
      </c>
      <c r="AN74">
        <v>0.93799999999999994</v>
      </c>
      <c r="AP74" s="60">
        <v>0.93700000000000006</v>
      </c>
      <c r="AQ74" s="61">
        <v>9</v>
      </c>
    </row>
    <row r="75" spans="1:43" x14ac:dyDescent="0.3">
      <c r="A75">
        <v>79008</v>
      </c>
      <c r="B75">
        <v>31</v>
      </c>
      <c r="C75">
        <v>7</v>
      </c>
      <c r="D75">
        <v>1982</v>
      </c>
      <c r="E75">
        <v>1</v>
      </c>
      <c r="F75">
        <v>5</v>
      </c>
      <c r="G75">
        <v>1984</v>
      </c>
      <c r="H75">
        <v>76</v>
      </c>
      <c r="I75" s="32">
        <f t="shared" si="15"/>
        <v>15.435595774162696</v>
      </c>
      <c r="J75" s="1">
        <v>1.75342465753425</v>
      </c>
      <c r="K75" s="32">
        <f t="shared" si="16"/>
        <v>15.828193859493267</v>
      </c>
      <c r="L75" s="32">
        <f t="shared" si="17"/>
        <v>79.461124072918366</v>
      </c>
      <c r="M75" s="1">
        <f t="shared" si="18"/>
        <v>0.15196408401693537</v>
      </c>
      <c r="N75">
        <v>0.418115178035805</v>
      </c>
      <c r="O75" s="32">
        <f t="shared" si="25"/>
        <v>15.991185905547008</v>
      </c>
      <c r="P75" s="32">
        <f t="shared" si="19"/>
        <v>80.920692571988312</v>
      </c>
      <c r="Q75">
        <v>3</v>
      </c>
      <c r="R75">
        <v>79</v>
      </c>
      <c r="S75" s="32">
        <f t="shared" si="20"/>
        <v>9.0428509961318699</v>
      </c>
      <c r="T75" s="1">
        <f t="shared" si="21"/>
        <v>9.2818002391990966</v>
      </c>
      <c r="U75" s="1">
        <f t="shared" si="22"/>
        <v>9.2068124237485272</v>
      </c>
      <c r="V75" s="1">
        <f t="shared" si="23"/>
        <v>1.6789810101788107</v>
      </c>
      <c r="W75" s="1">
        <f t="shared" si="26"/>
        <v>5.6231724660486589E-3</v>
      </c>
      <c r="X75" s="1">
        <f t="shared" si="27"/>
        <v>7.4987815450569428E-2</v>
      </c>
      <c r="Y75" s="39">
        <f t="shared" si="24"/>
        <v>79.35338382607631</v>
      </c>
      <c r="AB75">
        <v>70</v>
      </c>
      <c r="AC75" s="7">
        <v>0.42437727528122071</v>
      </c>
      <c r="AD75">
        <v>0.89453927489364793</v>
      </c>
      <c r="AE75">
        <v>0.94133177814525193</v>
      </c>
      <c r="AF75" s="7">
        <v>6.0459621150463279E-2</v>
      </c>
      <c r="AG75" s="10">
        <v>114.28198138578382</v>
      </c>
      <c r="AH75" s="1">
        <v>0.43829036196615329</v>
      </c>
      <c r="AI75" s="10">
        <v>15.730185172137498</v>
      </c>
      <c r="AJ75" s="32">
        <v>1801.5691564436424</v>
      </c>
      <c r="AK75">
        <v>320</v>
      </c>
      <c r="AL75" s="7">
        <v>0.22171339306169505</v>
      </c>
      <c r="AN75">
        <v>0.93899999999999995</v>
      </c>
      <c r="AP75" s="60">
        <v>0.93799999999999994</v>
      </c>
      <c r="AQ75" s="61">
        <v>14</v>
      </c>
    </row>
    <row r="76" spans="1:43" x14ac:dyDescent="0.3">
      <c r="A76">
        <v>22602</v>
      </c>
      <c r="B76">
        <v>25</v>
      </c>
      <c r="C76">
        <v>7</v>
      </c>
      <c r="D76">
        <v>1982</v>
      </c>
      <c r="E76">
        <v>24</v>
      </c>
      <c r="F76">
        <v>8</v>
      </c>
      <c r="G76">
        <v>1985</v>
      </c>
      <c r="H76">
        <v>81</v>
      </c>
      <c r="I76" s="32">
        <f t="shared" si="15"/>
        <v>16</v>
      </c>
      <c r="J76" s="1">
        <v>3.0849315068493199</v>
      </c>
      <c r="K76" s="32">
        <f t="shared" si="16"/>
        <v>16.585407835409971</v>
      </c>
      <c r="L76" s="32">
        <f t="shared" si="17"/>
        <v>86.354346102129583</v>
      </c>
      <c r="M76" s="1">
        <f t="shared" si="18"/>
        <v>0.25041694324156155</v>
      </c>
      <c r="N76">
        <v>-0.41928387872758321</v>
      </c>
      <c r="O76" s="32">
        <f t="shared" si="25"/>
        <v>16.375591151294937</v>
      </c>
      <c r="P76" s="32">
        <f t="shared" si="19"/>
        <v>84.415587539887198</v>
      </c>
      <c r="Q76">
        <v>9</v>
      </c>
      <c r="R76">
        <v>90</v>
      </c>
      <c r="S76" s="32">
        <f t="shared" si="20"/>
        <v>9.2855678299812343</v>
      </c>
      <c r="T76" s="1">
        <f t="shared" si="21"/>
        <v>9.4454575699526604</v>
      </c>
      <c r="U76" s="1">
        <f t="shared" si="22"/>
        <v>9.522644201513744</v>
      </c>
      <c r="V76" s="1">
        <f t="shared" si="23"/>
        <v>2.7403652360880275</v>
      </c>
      <c r="W76" s="1">
        <f t="shared" si="26"/>
        <v>5.9577760917464712E-3</v>
      </c>
      <c r="X76" s="1">
        <f t="shared" si="27"/>
        <v>-7.718663156108363E-2</v>
      </c>
      <c r="Y76" s="39">
        <f t="shared" si="24"/>
        <v>86.099652918367738</v>
      </c>
      <c r="AB76">
        <v>71</v>
      </c>
      <c r="AC76" s="7">
        <v>0.39442660705872201</v>
      </c>
      <c r="AD76">
        <v>0.84053957803260304</v>
      </c>
      <c r="AE76">
        <v>0.93958519051230982</v>
      </c>
      <c r="AF76" s="7">
        <v>6.2316787802744522E-2</v>
      </c>
      <c r="AG76" s="10">
        <v>114.52349443007584</v>
      </c>
      <c r="AH76" s="1">
        <v>0.39194598334965969</v>
      </c>
      <c r="AI76" s="10">
        <v>11.006551443533294</v>
      </c>
      <c r="AJ76" s="32">
        <v>1771.3808565458453</v>
      </c>
      <c r="AK76">
        <v>320</v>
      </c>
      <c r="AL76" s="7">
        <v>0.18546016623804032</v>
      </c>
      <c r="AN76">
        <v>0.94</v>
      </c>
      <c r="AP76" s="60">
        <v>0.93899999999999995</v>
      </c>
      <c r="AQ76" s="61">
        <v>20</v>
      </c>
    </row>
    <row r="77" spans="1:43" x14ac:dyDescent="0.3">
      <c r="A77">
        <v>78729</v>
      </c>
      <c r="B77">
        <v>24</v>
      </c>
      <c r="C77">
        <v>7</v>
      </c>
      <c r="D77">
        <v>1982</v>
      </c>
      <c r="E77">
        <v>9</v>
      </c>
      <c r="F77">
        <v>6</v>
      </c>
      <c r="G77">
        <v>1986</v>
      </c>
      <c r="H77">
        <v>78</v>
      </c>
      <c r="I77" s="32">
        <f t="shared" si="15"/>
        <v>15.663521732655695</v>
      </c>
      <c r="J77" s="1">
        <v>3.8794520547945202</v>
      </c>
      <c r="K77" s="32">
        <f t="shared" si="16"/>
        <v>16.446003719179252</v>
      </c>
      <c r="L77" s="32">
        <f t="shared" si="17"/>
        <v>85.063763301993703</v>
      </c>
      <c r="M77" s="1">
        <f t="shared" si="18"/>
        <v>0.3030686518177983</v>
      </c>
      <c r="N77">
        <v>0.50224116421304643</v>
      </c>
      <c r="O77" s="32">
        <f t="shared" si="25"/>
        <v>16.722495874274809</v>
      </c>
      <c r="P77" s="32">
        <f t="shared" si="19"/>
        <v>87.63296294055931</v>
      </c>
      <c r="Q77">
        <v>10</v>
      </c>
      <c r="R77">
        <v>88</v>
      </c>
      <c r="S77" s="32">
        <f t="shared" si="20"/>
        <v>9.1412290377968759</v>
      </c>
      <c r="T77" s="1">
        <f t="shared" si="21"/>
        <v>9.5920158612053452</v>
      </c>
      <c r="U77" s="1">
        <f t="shared" si="22"/>
        <v>9.46228417489991</v>
      </c>
      <c r="V77" s="1">
        <f t="shared" si="23"/>
        <v>3.2984426282937251</v>
      </c>
      <c r="W77" s="1">
        <f t="shared" si="26"/>
        <v>1.683031043165184E-2</v>
      </c>
      <c r="X77" s="1">
        <f t="shared" si="27"/>
        <v>0.12973168630543519</v>
      </c>
      <c r="Y77" s="39">
        <f t="shared" si="24"/>
        <v>84.780747237044594</v>
      </c>
      <c r="AB77">
        <v>72</v>
      </c>
      <c r="AC77" s="7">
        <v>0.61427651175692033</v>
      </c>
      <c r="AD77">
        <v>1.7337084350764211</v>
      </c>
      <c r="AE77">
        <v>0.93777361536513792</v>
      </c>
      <c r="AF77" s="7">
        <v>6.4246707329881789E-2</v>
      </c>
      <c r="AG77" s="10">
        <v>111.68179347215722</v>
      </c>
      <c r="AH77" s="1">
        <v>1.1272027545371552</v>
      </c>
      <c r="AI77" s="10">
        <v>83.417767382693768</v>
      </c>
      <c r="AJ77" s="32">
        <v>1799.0631386878372</v>
      </c>
      <c r="AK77">
        <v>320</v>
      </c>
      <c r="AL77" s="7">
        <v>0.51056882305025053</v>
      </c>
      <c r="AN77">
        <v>0.94099999999999995</v>
      </c>
      <c r="AP77" s="60">
        <v>0.94</v>
      </c>
      <c r="AQ77" s="61">
        <v>27</v>
      </c>
    </row>
    <row r="78" spans="1:43" x14ac:dyDescent="0.3">
      <c r="A78">
        <v>79193</v>
      </c>
      <c r="B78">
        <v>13</v>
      </c>
      <c r="C78">
        <v>8</v>
      </c>
      <c r="D78">
        <v>1982</v>
      </c>
      <c r="E78">
        <v>14</v>
      </c>
      <c r="F78">
        <v>6</v>
      </c>
      <c r="G78">
        <v>1986</v>
      </c>
      <c r="H78">
        <v>147</v>
      </c>
      <c r="I78" s="32">
        <f t="shared" si="15"/>
        <v>22.248711305964282</v>
      </c>
      <c r="J78" s="1">
        <v>3.8383561643835602</v>
      </c>
      <c r="K78" s="32">
        <f t="shared" si="16"/>
        <v>21.846838699861735</v>
      </c>
      <c r="L78" s="32">
        <f t="shared" si="17"/>
        <v>142.16792899430584</v>
      </c>
      <c r="M78" s="1">
        <f t="shared" si="18"/>
        <v>0.30044924920365951</v>
      </c>
      <c r="N78">
        <v>-1.3927319741924293</v>
      </c>
      <c r="O78" s="32">
        <f t="shared" si="25"/>
        <v>21.083437026220441</v>
      </c>
      <c r="P78" s="32">
        <f t="shared" si="19"/>
        <v>133.21126623587119</v>
      </c>
      <c r="Q78">
        <v>2</v>
      </c>
      <c r="R78">
        <v>149</v>
      </c>
      <c r="S78" s="32">
        <f t="shared" si="20"/>
        <v>11.800931774389342</v>
      </c>
      <c r="T78" s="1">
        <f t="shared" si="21"/>
        <v>11.352891319892283</v>
      </c>
      <c r="U78" s="1">
        <f t="shared" si="22"/>
        <v>11.57842793243513</v>
      </c>
      <c r="V78" s="1">
        <f t="shared" si="23"/>
        <v>3.2708456883555561</v>
      </c>
      <c r="W78" s="1">
        <f t="shared" si="26"/>
        <v>5.086676359730212E-2</v>
      </c>
      <c r="X78" s="1">
        <f t="shared" si="27"/>
        <v>-0.22553661254284663</v>
      </c>
      <c r="Y78" s="39">
        <f t="shared" si="24"/>
        <v>140.03460067800864</v>
      </c>
      <c r="AB78">
        <v>73</v>
      </c>
      <c r="AC78" s="7">
        <v>0.5017665161609729</v>
      </c>
      <c r="AD78">
        <v>0.80741801509116862</v>
      </c>
      <c r="AE78">
        <v>0.96227749820122888</v>
      </c>
      <c r="AF78" s="7">
        <v>3.8452410244284613E-2</v>
      </c>
      <c r="AG78" s="10">
        <v>135.45528932032147</v>
      </c>
      <c r="AH78" s="1">
        <v>0.44285782631667464</v>
      </c>
      <c r="AI78" s="10">
        <v>28.815757141440013</v>
      </c>
      <c r="AJ78" s="32">
        <v>1790.2353386609866</v>
      </c>
      <c r="AK78">
        <v>320</v>
      </c>
      <c r="AL78" s="7">
        <v>0.3000820572226871</v>
      </c>
      <c r="AN78">
        <v>0.94199999999999995</v>
      </c>
      <c r="AP78" s="60">
        <v>0.94099999999999995</v>
      </c>
      <c r="AQ78" s="61">
        <v>24</v>
      </c>
    </row>
    <row r="79" spans="1:43" x14ac:dyDescent="0.3">
      <c r="A79">
        <v>22643</v>
      </c>
      <c r="B79">
        <v>26</v>
      </c>
      <c r="C79">
        <v>7</v>
      </c>
      <c r="D79">
        <v>1982</v>
      </c>
      <c r="E79">
        <v>18</v>
      </c>
      <c r="F79">
        <v>6</v>
      </c>
      <c r="G79">
        <v>1987</v>
      </c>
      <c r="H79">
        <v>65</v>
      </c>
      <c r="I79" s="32">
        <f t="shared" si="15"/>
        <v>14.124515496597098</v>
      </c>
      <c r="J79" s="1">
        <v>4.8986301369863003</v>
      </c>
      <c r="K79" s="32">
        <f t="shared" si="16"/>
        <v>15.429961416808197</v>
      </c>
      <c r="L79" s="32">
        <f t="shared" si="17"/>
        <v>75.950888747855601</v>
      </c>
      <c r="M79" s="1">
        <f t="shared" si="18"/>
        <v>0.36461925723843691</v>
      </c>
      <c r="N79">
        <v>-0.64329015003750101</v>
      </c>
      <c r="O79" s="32">
        <f t="shared" si="25"/>
        <v>15.041518950745814</v>
      </c>
      <c r="P79" s="32">
        <f t="shared" si="19"/>
        <v>72.603342037157176</v>
      </c>
      <c r="Q79">
        <v>35</v>
      </c>
      <c r="R79">
        <v>100</v>
      </c>
      <c r="S79" s="32">
        <f t="shared" si="20"/>
        <v>8.4669809135353606</v>
      </c>
      <c r="T79" s="1">
        <f t="shared" si="21"/>
        <v>8.8715764737320715</v>
      </c>
      <c r="U79" s="1">
        <f t="shared" si="22"/>
        <v>9.0305544436099474</v>
      </c>
      <c r="V79" s="1">
        <f t="shared" si="23"/>
        <v>3.9416051355424955</v>
      </c>
      <c r="W79" s="1">
        <f t="shared" si="26"/>
        <v>2.5273994906490828E-2</v>
      </c>
      <c r="X79" s="1">
        <f t="shared" si="27"/>
        <v>-0.15897796987787594</v>
      </c>
      <c r="Y79" s="39">
        <f t="shared" si="24"/>
        <v>75.752541749729204</v>
      </c>
      <c r="AB79">
        <v>74</v>
      </c>
      <c r="AC79" s="7">
        <v>0.23338975536506329</v>
      </c>
      <c r="AD79">
        <v>0.54366484988764274</v>
      </c>
      <c r="AE79">
        <v>0.93700749345242174</v>
      </c>
      <c r="AF79" s="7">
        <v>6.5063999494559821E-2</v>
      </c>
      <c r="AG79" s="10">
        <v>113.02118252941541</v>
      </c>
      <c r="AH79" s="1">
        <v>0.18987831286343906</v>
      </c>
      <c r="AI79" s="10">
        <v>2.5916506955440832</v>
      </c>
      <c r="AJ79" s="32">
        <v>1759.9279540231998</v>
      </c>
      <c r="AK79">
        <v>320</v>
      </c>
      <c r="AL79" s="7">
        <v>8.9993935482204912E-2</v>
      </c>
      <c r="AN79">
        <v>0.94299999999999995</v>
      </c>
      <c r="AP79" s="60">
        <v>0.94199999999999995</v>
      </c>
      <c r="AQ79" s="61">
        <v>23</v>
      </c>
    </row>
    <row r="80" spans="1:43" x14ac:dyDescent="0.3">
      <c r="A80">
        <v>20568</v>
      </c>
      <c r="B80">
        <v>18</v>
      </c>
      <c r="C80">
        <v>1</v>
      </c>
      <c r="D80">
        <v>1982</v>
      </c>
      <c r="E80">
        <v>10</v>
      </c>
      <c r="F80">
        <v>7</v>
      </c>
      <c r="G80">
        <v>1982</v>
      </c>
      <c r="H80">
        <v>116</v>
      </c>
      <c r="I80" s="32">
        <f t="shared" si="15"/>
        <v>19.540659228538015</v>
      </c>
      <c r="J80" s="1">
        <v>0.47397260273972602</v>
      </c>
      <c r="K80" s="32">
        <f t="shared" si="16"/>
        <v>19.551691890770297</v>
      </c>
      <c r="L80" s="32">
        <f t="shared" si="17"/>
        <v>116.11885583867354</v>
      </c>
      <c r="M80" s="1">
        <f t="shared" si="18"/>
        <v>4.3809278579889414E-2</v>
      </c>
      <c r="N80">
        <v>-1.5630303096259013</v>
      </c>
      <c r="O80" s="32">
        <f t="shared" si="25"/>
        <v>19.224539234721146</v>
      </c>
      <c r="P80" s="32">
        <f t="shared" si="19"/>
        <v>112.62026643155431</v>
      </c>
      <c r="Q80">
        <v>2</v>
      </c>
      <c r="R80">
        <v>118</v>
      </c>
      <c r="S80" s="32">
        <f t="shared" si="20"/>
        <v>10.745996036337928</v>
      </c>
      <c r="T80" s="1">
        <f t="shared" si="21"/>
        <v>10.619590314207985</v>
      </c>
      <c r="U80" s="1">
        <f t="shared" si="22"/>
        <v>10.744892100072081</v>
      </c>
      <c r="V80" s="1">
        <f t="shared" si="23"/>
        <v>0.48874061296610438</v>
      </c>
      <c r="W80" s="1">
        <f t="shared" si="26"/>
        <v>1.5700537540731745E-2</v>
      </c>
      <c r="X80" s="1">
        <f t="shared" si="27"/>
        <v>-0.1253017858640959</v>
      </c>
      <c r="Y80" s="39">
        <f t="shared" si="24"/>
        <v>115.97018333959032</v>
      </c>
      <c r="AB80">
        <v>75</v>
      </c>
      <c r="AC80" s="7">
        <v>0.35925350030480541</v>
      </c>
      <c r="AD80">
        <v>0.57140848981973835</v>
      </c>
      <c r="AE80">
        <v>0.95719041540606731</v>
      </c>
      <c r="AF80" s="7">
        <v>4.3752936155105414E-2</v>
      </c>
      <c r="AG80" s="10">
        <v>133.05734569353001</v>
      </c>
      <c r="AH80" s="1">
        <v>0.24809008466555646</v>
      </c>
      <c r="AI80" s="10">
        <v>8.4008290173583333</v>
      </c>
      <c r="AJ80" s="32">
        <v>1795.1857254020349</v>
      </c>
      <c r="AK80">
        <v>320</v>
      </c>
      <c r="AL80" s="7">
        <v>0.16202651227266726</v>
      </c>
      <c r="AN80">
        <v>0.94399999999999995</v>
      </c>
      <c r="AP80" s="60">
        <v>0.94299999999999995</v>
      </c>
      <c r="AQ80" s="61">
        <v>30</v>
      </c>
    </row>
    <row r="81" spans="1:43" x14ac:dyDescent="0.3">
      <c r="A81">
        <v>79132</v>
      </c>
      <c r="B81">
        <v>9</v>
      </c>
      <c r="C81">
        <v>8</v>
      </c>
      <c r="D81">
        <v>1982</v>
      </c>
      <c r="E81">
        <v>12</v>
      </c>
      <c r="F81">
        <v>6</v>
      </c>
      <c r="G81">
        <v>1985</v>
      </c>
      <c r="H81">
        <v>73</v>
      </c>
      <c r="I81" s="32">
        <f t="shared" si="15"/>
        <v>15.088007490635061</v>
      </c>
      <c r="J81" s="1">
        <v>2.8438356164383598</v>
      </c>
      <c r="K81" s="32">
        <f t="shared" si="16"/>
        <v>15.754710699122395</v>
      </c>
      <c r="L81" s="32">
        <f t="shared" si="17"/>
        <v>78.80743800238281</v>
      </c>
      <c r="M81" s="1">
        <f t="shared" si="18"/>
        <v>0.23357245569011437</v>
      </c>
      <c r="N81">
        <v>-1.7733282220433466</v>
      </c>
      <c r="O81" s="32">
        <f t="shared" si="25"/>
        <v>14.897672973900765</v>
      </c>
      <c r="P81" s="32">
        <f t="shared" si="19"/>
        <v>71.382837983224078</v>
      </c>
      <c r="Q81">
        <v>11</v>
      </c>
      <c r="R81">
        <v>84</v>
      </c>
      <c r="S81" s="32">
        <f t="shared" si="20"/>
        <v>8.8918605482504951</v>
      </c>
      <c r="T81" s="1">
        <f t="shared" si="21"/>
        <v>8.8086769697691487</v>
      </c>
      <c r="U81" s="1">
        <f t="shared" si="22"/>
        <v>9.1729208657734773</v>
      </c>
      <c r="V81" s="1">
        <f t="shared" si="23"/>
        <v>2.560372584192002</v>
      </c>
      <c r="W81" s="1">
        <f t="shared" si="26"/>
        <v>0.13267361577641215</v>
      </c>
      <c r="X81" s="1">
        <f t="shared" si="27"/>
        <v>-0.3642438960043286</v>
      </c>
      <c r="Y81" s="39">
        <f t="shared" si="24"/>
        <v>78.651979383796103</v>
      </c>
      <c r="AB81">
        <v>76</v>
      </c>
      <c r="AC81" s="7">
        <v>0.40434427185183258</v>
      </c>
      <c r="AD81">
        <v>0.62617419089905768</v>
      </c>
      <c r="AE81">
        <v>0.95912230578832247</v>
      </c>
      <c r="AF81" s="7">
        <v>4.1736677519065048E-2</v>
      </c>
      <c r="AG81" s="10">
        <v>131.6388765111349</v>
      </c>
      <c r="AH81" s="1">
        <v>0.29406764148316744</v>
      </c>
      <c r="AI81" s="10">
        <v>12.429154088395842</v>
      </c>
      <c r="AJ81" s="32">
        <v>1793.3049746111114</v>
      </c>
      <c r="AK81">
        <v>320</v>
      </c>
      <c r="AL81" s="7">
        <v>0.19708147179843419</v>
      </c>
      <c r="AN81">
        <v>0.94499999999999995</v>
      </c>
      <c r="AP81" s="60">
        <v>0.94399999999999995</v>
      </c>
      <c r="AQ81" s="61">
        <v>40</v>
      </c>
    </row>
    <row r="82" spans="1:43" x14ac:dyDescent="0.3">
      <c r="A82">
        <v>76796</v>
      </c>
      <c r="B82">
        <v>30</v>
      </c>
      <c r="C82">
        <v>7</v>
      </c>
      <c r="D82">
        <v>1982</v>
      </c>
      <c r="E82">
        <v>14</v>
      </c>
      <c r="F82">
        <v>6</v>
      </c>
      <c r="G82">
        <v>1985</v>
      </c>
      <c r="H82">
        <v>68</v>
      </c>
      <c r="I82" s="32">
        <f t="shared" si="15"/>
        <v>14.492422502470642</v>
      </c>
      <c r="J82" s="1">
        <v>2.8767123287671201</v>
      </c>
      <c r="K82" s="32">
        <f t="shared" si="16"/>
        <v>15.247984620321679</v>
      </c>
      <c r="L82" s="32">
        <f t="shared" si="17"/>
        <v>74.373243365713307</v>
      </c>
      <c r="M82" s="1">
        <f t="shared" si="18"/>
        <v>0.23589403693174985</v>
      </c>
      <c r="N82">
        <v>-0.4041294232592918</v>
      </c>
      <c r="O82" s="32">
        <f t="shared" si="25"/>
        <v>15.05170330826</v>
      </c>
      <c r="P82" s="32">
        <f t="shared" si="19"/>
        <v>72.690146428231273</v>
      </c>
      <c r="Q82">
        <v>6</v>
      </c>
      <c r="R82">
        <v>74</v>
      </c>
      <c r="S82" s="32">
        <f t="shared" si="20"/>
        <v>8.6303494035856811</v>
      </c>
      <c r="T82" s="1">
        <f t="shared" si="21"/>
        <v>8.876021984527652</v>
      </c>
      <c r="U82" s="1">
        <f t="shared" si="22"/>
        <v>8.9553331753514325</v>
      </c>
      <c r="V82" s="1">
        <f t="shared" si="23"/>
        <v>2.5852205736056488</v>
      </c>
      <c r="W82" s="1">
        <f t="shared" si="26"/>
        <v>6.2902649898861187E-3</v>
      </c>
      <c r="X82" s="1">
        <f t="shared" si="27"/>
        <v>-7.9311190823780464E-2</v>
      </c>
      <c r="Y82" s="39">
        <f t="shared" si="24"/>
        <v>74.250922816192897</v>
      </c>
      <c r="AB82">
        <v>77</v>
      </c>
      <c r="AC82" s="7">
        <v>0.38348808314024813</v>
      </c>
      <c r="AD82">
        <v>0.7741083139659235</v>
      </c>
      <c r="AE82">
        <v>0.94307563141460349</v>
      </c>
      <c r="AF82" s="7">
        <v>5.8608796580033692E-2</v>
      </c>
      <c r="AG82" s="10">
        <v>117.22318711236738</v>
      </c>
      <c r="AH82" s="1">
        <v>0.35378568205111788</v>
      </c>
      <c r="AI82" s="10">
        <v>10.403296510178324</v>
      </c>
      <c r="AJ82" s="32">
        <v>1786.5118896660344</v>
      </c>
      <c r="AK82">
        <v>320</v>
      </c>
      <c r="AL82" s="7">
        <v>0.18030613299138568</v>
      </c>
      <c r="AN82">
        <v>0.94599999999999995</v>
      </c>
      <c r="AP82" s="60">
        <v>0.94499999999999995</v>
      </c>
      <c r="AQ82" s="61">
        <v>42</v>
      </c>
    </row>
    <row r="83" spans="1:43" x14ac:dyDescent="0.3">
      <c r="A83">
        <v>79247</v>
      </c>
      <c r="B83">
        <v>15</v>
      </c>
      <c r="C83">
        <v>8</v>
      </c>
      <c r="D83">
        <v>1982</v>
      </c>
      <c r="E83">
        <v>8</v>
      </c>
      <c r="F83">
        <v>6</v>
      </c>
      <c r="G83">
        <v>1985</v>
      </c>
      <c r="H83">
        <v>77</v>
      </c>
      <c r="I83" s="32">
        <f t="shared" si="15"/>
        <v>15.549928774784245</v>
      </c>
      <c r="J83" s="1">
        <v>2.81643835616438</v>
      </c>
      <c r="K83" s="32">
        <f t="shared" si="16"/>
        <v>16.148526894243069</v>
      </c>
      <c r="L83" s="32">
        <f t="shared" si="17"/>
        <v>82.342257107766002</v>
      </c>
      <c r="M83" s="1">
        <f t="shared" si="18"/>
        <v>0.2316318144158673</v>
      </c>
      <c r="N83">
        <v>-1.3424551070784219</v>
      </c>
      <c r="O83" s="32">
        <f t="shared" si="25"/>
        <v>15.502428181220948</v>
      </c>
      <c r="P83" s="32">
        <f t="shared" si="19"/>
        <v>76.583748059699317</v>
      </c>
      <c r="Q83">
        <v>9</v>
      </c>
      <c r="R83">
        <v>86</v>
      </c>
      <c r="S83" s="32">
        <f t="shared" si="20"/>
        <v>9.0922615112669138</v>
      </c>
      <c r="T83" s="1">
        <f t="shared" si="21"/>
        <v>9.071748669375161</v>
      </c>
      <c r="U83" s="1">
        <f t="shared" si="22"/>
        <v>9.3400623617010705</v>
      </c>
      <c r="V83" s="1">
        <f t="shared" si="23"/>
        <v>2.5395919262529087</v>
      </c>
      <c r="W83" s="1">
        <f t="shared" si="26"/>
        <v>7.1992237489562835E-2</v>
      </c>
      <c r="X83" s="1">
        <f t="shared" si="27"/>
        <v>-0.26831369232590951</v>
      </c>
      <c r="Y83" s="39">
        <f t="shared" si="24"/>
        <v>82.153140853378559</v>
      </c>
      <c r="AB83">
        <v>78</v>
      </c>
      <c r="AC83" s="7">
        <v>0.56284180508765203</v>
      </c>
      <c r="AD83">
        <v>1.1942227743150045</v>
      </c>
      <c r="AE83">
        <v>0.950943244522514</v>
      </c>
      <c r="AF83" s="7">
        <v>5.030089800470762E-2</v>
      </c>
      <c r="AG83" s="10">
        <v>118.59248657860189</v>
      </c>
      <c r="AH83" s="1">
        <v>0.72121525744972681</v>
      </c>
      <c r="AI83" s="10">
        <v>48.35701211836885</v>
      </c>
      <c r="AJ83" s="32">
        <v>1776.2853319598366</v>
      </c>
      <c r="AK83">
        <v>320</v>
      </c>
      <c r="AL83" s="7">
        <v>0.38873598093037731</v>
      </c>
      <c r="AN83">
        <v>0.94699999999999995</v>
      </c>
      <c r="AP83" s="60">
        <v>0.94599999999999995</v>
      </c>
      <c r="AQ83" s="61">
        <v>45</v>
      </c>
    </row>
    <row r="84" spans="1:43" x14ac:dyDescent="0.3">
      <c r="A84">
        <v>78900</v>
      </c>
      <c r="B84">
        <v>27</v>
      </c>
      <c r="C84">
        <v>7</v>
      </c>
      <c r="D84">
        <v>1982</v>
      </c>
      <c r="E84">
        <v>27</v>
      </c>
      <c r="F84">
        <v>4</v>
      </c>
      <c r="G84">
        <v>1984</v>
      </c>
      <c r="H84">
        <v>89</v>
      </c>
      <c r="I84" s="32">
        <f t="shared" si="15"/>
        <v>16.867962264113206</v>
      </c>
      <c r="J84" s="1">
        <v>1.75342465753425</v>
      </c>
      <c r="K84" s="32">
        <f t="shared" si="16"/>
        <v>17.137358215359544</v>
      </c>
      <c r="L84" s="32">
        <f t="shared" si="17"/>
        <v>91.559619865747365</v>
      </c>
      <c r="M84" s="1">
        <f t="shared" si="18"/>
        <v>0.15196408401693537</v>
      </c>
      <c r="N84">
        <v>-0.83992176769243088</v>
      </c>
      <c r="O84" s="32">
        <f t="shared" si="25"/>
        <v>16.809935116096831</v>
      </c>
      <c r="P84" s="32">
        <f t="shared" si="19"/>
        <v>88.453414767943173</v>
      </c>
      <c r="Q84">
        <v>14</v>
      </c>
      <c r="R84">
        <v>103</v>
      </c>
      <c r="S84" s="32">
        <f t="shared" si="20"/>
        <v>9.6531585939267348</v>
      </c>
      <c r="T84" s="1">
        <f t="shared" si="21"/>
        <v>9.6287904434957596</v>
      </c>
      <c r="U84" s="1">
        <f t="shared" si="22"/>
        <v>9.7569561831490716</v>
      </c>
      <c r="V84" s="1">
        <f t="shared" si="23"/>
        <v>1.6789810101788107</v>
      </c>
      <c r="W84" s="1">
        <f t="shared" si="26"/>
        <v>1.6426456820880557E-2</v>
      </c>
      <c r="X84" s="1">
        <f t="shared" si="27"/>
        <v>-0.12816573965331202</v>
      </c>
      <c r="Y84" s="39">
        <f t="shared" si="24"/>
        <v>91.354465927876916</v>
      </c>
      <c r="AB84">
        <v>79</v>
      </c>
      <c r="AC84" s="7">
        <v>0.34792676128016642</v>
      </c>
      <c r="AD84">
        <v>0.63933351236252911</v>
      </c>
      <c r="AE84">
        <v>0.94819594521694373</v>
      </c>
      <c r="AF84" s="7">
        <v>5.3194104818407244E-2</v>
      </c>
      <c r="AG84" s="10">
        <v>120.2962949477119</v>
      </c>
      <c r="AH84" s="1">
        <v>0.27424529311722423</v>
      </c>
      <c r="AI84" s="10">
        <v>6.820276480048646</v>
      </c>
      <c r="AJ84" s="32">
        <v>1753.7638298494328</v>
      </c>
      <c r="AK84">
        <v>320</v>
      </c>
      <c r="AL84" s="7">
        <v>0.14599097232415442</v>
      </c>
      <c r="AN84">
        <v>0.94799999999999995</v>
      </c>
      <c r="AP84" s="60">
        <v>0.94699999999999995</v>
      </c>
      <c r="AQ84" s="61">
        <v>50</v>
      </c>
    </row>
    <row r="85" spans="1:43" x14ac:dyDescent="0.3">
      <c r="A85">
        <v>78940</v>
      </c>
      <c r="B85">
        <v>30</v>
      </c>
      <c r="C85">
        <v>7</v>
      </c>
      <c r="D85">
        <v>1982</v>
      </c>
      <c r="E85">
        <v>1</v>
      </c>
      <c r="F85">
        <v>5</v>
      </c>
      <c r="G85">
        <v>1984</v>
      </c>
      <c r="H85">
        <v>72</v>
      </c>
      <c r="I85" s="32">
        <f t="shared" si="15"/>
        <v>14.970562748477139</v>
      </c>
      <c r="J85" s="1">
        <v>1.7561643835616401</v>
      </c>
      <c r="K85" s="32">
        <f t="shared" si="16"/>
        <v>15.403805664499158</v>
      </c>
      <c r="L85" s="32">
        <f t="shared" si="17"/>
        <v>75.723112901913268</v>
      </c>
      <c r="M85" s="1">
        <f t="shared" si="18"/>
        <v>0.1521807818800906</v>
      </c>
      <c r="N85">
        <v>-0.49704112825565971</v>
      </c>
      <c r="O85" s="32">
        <f t="shared" si="25"/>
        <v>15.209908154496164</v>
      </c>
      <c r="P85" s="32">
        <f t="shared" si="19"/>
        <v>74.045234671548371</v>
      </c>
      <c r="Q85">
        <v>5</v>
      </c>
      <c r="R85">
        <v>77</v>
      </c>
      <c r="S85" s="32">
        <f t="shared" si="20"/>
        <v>8.8405752459119533</v>
      </c>
      <c r="T85" s="1">
        <f t="shared" si="21"/>
        <v>8.9449476343111005</v>
      </c>
      <c r="U85" s="1">
        <f t="shared" si="22"/>
        <v>9.0247495938921389</v>
      </c>
      <c r="V85" s="1">
        <f t="shared" si="23"/>
        <v>1.6813411810640508</v>
      </c>
      <c r="W85" s="1">
        <f t="shared" si="26"/>
        <v>6.3683527529736893E-3</v>
      </c>
      <c r="X85" s="1">
        <f t="shared" si="27"/>
        <v>-7.9801959581038417E-2</v>
      </c>
      <c r="Y85" s="39">
        <f t="shared" si="24"/>
        <v>75.635918177896173</v>
      </c>
      <c r="AB85">
        <v>80</v>
      </c>
      <c r="AC85" s="7">
        <v>0.74699512401861234</v>
      </c>
      <c r="AD85">
        <v>2.1613665213769973</v>
      </c>
      <c r="AE85">
        <v>0.95498220865795413</v>
      </c>
      <c r="AF85" s="7">
        <v>4.6062568352476338E-2</v>
      </c>
      <c r="AG85" s="10">
        <v>125.08637374130743</v>
      </c>
      <c r="AH85" s="1">
        <v>1.6595480440277326</v>
      </c>
      <c r="AI85" s="10">
        <v>232.1519435496208</v>
      </c>
      <c r="AJ85" s="32">
        <v>1763.7095502203797</v>
      </c>
      <c r="AK85">
        <v>320</v>
      </c>
      <c r="AL85" s="7">
        <v>0.85174809867270318</v>
      </c>
      <c r="AN85">
        <v>0.94899999999999995</v>
      </c>
      <c r="AP85" s="60">
        <v>0.94799999999999995</v>
      </c>
      <c r="AQ85" s="61">
        <v>37</v>
      </c>
    </row>
    <row r="86" spans="1:43" x14ac:dyDescent="0.3">
      <c r="A86">
        <v>76775</v>
      </c>
      <c r="B86">
        <v>30</v>
      </c>
      <c r="C86">
        <v>7</v>
      </c>
      <c r="D86">
        <v>1982</v>
      </c>
      <c r="E86">
        <v>23</v>
      </c>
      <c r="F86">
        <v>9</v>
      </c>
      <c r="G86">
        <v>1987</v>
      </c>
      <c r="H86">
        <v>63</v>
      </c>
      <c r="I86" s="32">
        <f t="shared" si="15"/>
        <v>13.874507866387544</v>
      </c>
      <c r="J86" s="1">
        <v>5.1534246575342504</v>
      </c>
      <c r="K86" s="32">
        <f t="shared" si="16"/>
        <v>15.297365077264237</v>
      </c>
      <c r="L86" s="32">
        <f t="shared" si="17"/>
        <v>74.799709654040115</v>
      </c>
      <c r="M86" s="1">
        <f t="shared" si="18"/>
        <v>0.37902737965130018</v>
      </c>
      <c r="N86">
        <v>0.46023956201679539</v>
      </c>
      <c r="O86" s="32">
        <f t="shared" si="25"/>
        <v>15.580712482060878</v>
      </c>
      <c r="P86" s="32">
        <f t="shared" si="19"/>
        <v>77.270362844222788</v>
      </c>
      <c r="Q86">
        <v>25</v>
      </c>
      <c r="R86">
        <v>88</v>
      </c>
      <c r="S86" s="32">
        <f t="shared" si="20"/>
        <v>8.3551416389114923</v>
      </c>
      <c r="T86" s="1">
        <f t="shared" si="21"/>
        <v>9.1055437985220493</v>
      </c>
      <c r="U86" s="1">
        <f t="shared" si="22"/>
        <v>8.973196490254951</v>
      </c>
      <c r="V86" s="1">
        <f t="shared" si="23"/>
        <v>4.0906324146285016</v>
      </c>
      <c r="W86" s="1">
        <f t="shared" si="26"/>
        <v>1.7515810005546341E-2</v>
      </c>
      <c r="X86" s="1">
        <f t="shared" si="27"/>
        <v>0.13234730826709828</v>
      </c>
      <c r="Y86" s="39">
        <f t="shared" si="24"/>
        <v>74.60563635026989</v>
      </c>
      <c r="AB86">
        <v>81</v>
      </c>
      <c r="AC86" s="7">
        <v>0.56442000701751061</v>
      </c>
      <c r="AD86">
        <v>1.0449970303354226</v>
      </c>
      <c r="AE86">
        <v>0.96008433184672304</v>
      </c>
      <c r="AF86" s="7">
        <v>4.0734152704790541E-2</v>
      </c>
      <c r="AG86" s="10">
        <v>132.60375898311139</v>
      </c>
      <c r="AH86" s="1">
        <v>0.62973289934847387</v>
      </c>
      <c r="AI86" s="10">
        <v>51.433514750339896</v>
      </c>
      <c r="AJ86" s="32">
        <v>1798.6317699601773</v>
      </c>
      <c r="AK86">
        <v>320</v>
      </c>
      <c r="AL86" s="7">
        <v>0.40091112929776868</v>
      </c>
      <c r="AN86">
        <v>0.95</v>
      </c>
      <c r="AP86" s="60">
        <v>0.94899999999999995</v>
      </c>
      <c r="AQ86" s="61">
        <v>56</v>
      </c>
    </row>
    <row r="87" spans="1:43" x14ac:dyDescent="0.3">
      <c r="A87">
        <v>76639</v>
      </c>
      <c r="B87">
        <v>30</v>
      </c>
      <c r="C87">
        <v>7</v>
      </c>
      <c r="D87">
        <v>1982</v>
      </c>
      <c r="E87">
        <v>25</v>
      </c>
      <c r="F87">
        <v>8</v>
      </c>
      <c r="G87">
        <v>1988</v>
      </c>
      <c r="H87">
        <v>56</v>
      </c>
      <c r="I87" s="32">
        <f t="shared" si="15"/>
        <v>12.966629547095765</v>
      </c>
      <c r="J87" s="1">
        <v>6.0767123287671199</v>
      </c>
      <c r="K87" s="32">
        <f t="shared" si="16"/>
        <v>14.850130188291658</v>
      </c>
      <c r="L87" s="32">
        <f t="shared" si="17"/>
        <v>70.98172184059446</v>
      </c>
      <c r="M87" s="1">
        <f t="shared" si="18"/>
        <v>0.42819292759959504</v>
      </c>
      <c r="N87">
        <v>1.4908891898812726</v>
      </c>
      <c r="O87" s="32">
        <f t="shared" si="25"/>
        <v>15.825715180323256</v>
      </c>
      <c r="P87" s="32">
        <f t="shared" si="19"/>
        <v>79.439030422501759</v>
      </c>
      <c r="Q87">
        <v>26</v>
      </c>
      <c r="R87">
        <v>82</v>
      </c>
      <c r="S87" s="32">
        <f t="shared" si="20"/>
        <v>7.9431464222722967</v>
      </c>
      <c r="T87" s="1">
        <f t="shared" si="21"/>
        <v>9.210936580038366</v>
      </c>
      <c r="U87" s="1">
        <f t="shared" si="22"/>
        <v>8.7778225694055312</v>
      </c>
      <c r="V87" s="1">
        <f t="shared" si="23"/>
        <v>4.5945149014774218</v>
      </c>
      <c r="W87" s="1">
        <f t="shared" si="26"/>
        <v>0.18758774620645938</v>
      </c>
      <c r="X87" s="1">
        <f t="shared" si="27"/>
        <v>0.43311401063283483</v>
      </c>
      <c r="Y87" s="39">
        <f t="shared" si="24"/>
        <v>70.789372232959508</v>
      </c>
      <c r="AB87">
        <v>82</v>
      </c>
      <c r="AC87" s="7">
        <v>0.56497470172556896</v>
      </c>
      <c r="AD87">
        <v>1.0430603836984276</v>
      </c>
      <c r="AE87">
        <v>0.96058938276918426</v>
      </c>
      <c r="AF87" s="7">
        <v>4.0208242519985546E-2</v>
      </c>
      <c r="AG87" s="10">
        <v>134.59058983035317</v>
      </c>
      <c r="AH87" s="1">
        <v>0.62871334639259235</v>
      </c>
      <c r="AI87" s="10">
        <v>52.405649287146183</v>
      </c>
      <c r="AJ87" s="32">
        <v>1803.5761284245268</v>
      </c>
      <c r="AK87">
        <v>320</v>
      </c>
      <c r="AL87" s="7">
        <v>0.40468216420090941</v>
      </c>
      <c r="AN87">
        <v>0.95099999999999996</v>
      </c>
      <c r="AP87" s="60">
        <v>0.95</v>
      </c>
      <c r="AQ87" s="61">
        <v>60</v>
      </c>
    </row>
    <row r="88" spans="1:43" x14ac:dyDescent="0.3">
      <c r="A88">
        <v>78792</v>
      </c>
      <c r="B88">
        <v>25</v>
      </c>
      <c r="C88">
        <v>7</v>
      </c>
      <c r="D88">
        <v>1982</v>
      </c>
      <c r="E88">
        <v>1</v>
      </c>
      <c r="F88">
        <v>5</v>
      </c>
      <c r="G88">
        <v>1984</v>
      </c>
      <c r="H88">
        <v>86</v>
      </c>
      <c r="I88" s="32">
        <f t="shared" si="15"/>
        <v>16.547236990991408</v>
      </c>
      <c r="J88" s="1">
        <v>1.76986301369863</v>
      </c>
      <c r="K88" s="32">
        <f t="shared" si="16"/>
        <v>16.846879245536311</v>
      </c>
      <c r="L88" s="32">
        <f t="shared" si="17"/>
        <v>88.801214323956842</v>
      </c>
      <c r="M88" s="1">
        <f t="shared" si="18"/>
        <v>0.15326335809268193</v>
      </c>
      <c r="N88">
        <v>-0.62523668020730838</v>
      </c>
      <c r="O88" s="32">
        <f t="shared" si="25"/>
        <v>16.602106185653088</v>
      </c>
      <c r="P88" s="32">
        <f t="shared" si="19"/>
        <v>86.509588635578226</v>
      </c>
      <c r="Q88">
        <v>7</v>
      </c>
      <c r="R88">
        <v>93</v>
      </c>
      <c r="S88" s="32">
        <f t="shared" si="20"/>
        <v>9.5181060442442096</v>
      </c>
      <c r="T88" s="1">
        <f t="shared" si="21"/>
        <v>9.5412743078809257</v>
      </c>
      <c r="U88" s="1">
        <f t="shared" si="22"/>
        <v>9.6362584723538642</v>
      </c>
      <c r="V88" s="1">
        <f t="shared" si="23"/>
        <v>1.6931305604372775</v>
      </c>
      <c r="W88" s="1">
        <f t="shared" si="26"/>
        <v>9.0219915006222434E-3</v>
      </c>
      <c r="X88" s="1">
        <f t="shared" si="27"/>
        <v>-9.4984164472938559E-2</v>
      </c>
      <c r="Y88" s="39">
        <f t="shared" si="24"/>
        <v>88.620676894865866</v>
      </c>
      <c r="AB88">
        <v>83</v>
      </c>
      <c r="AC88" s="7">
        <v>0.35291855236024294</v>
      </c>
      <c r="AD88">
        <v>0.6419977494682757</v>
      </c>
      <c r="AE88">
        <v>0.94983704158290061</v>
      </c>
      <c r="AF88" s="7">
        <v>5.1464844277285565E-2</v>
      </c>
      <c r="AG88" s="10">
        <v>126.34787941859435</v>
      </c>
      <c r="AH88" s="1">
        <v>0.27673587477797718</v>
      </c>
      <c r="AI88" s="10">
        <v>7.3536897007463224</v>
      </c>
      <c r="AJ88" s="32">
        <v>1767.1911777398482</v>
      </c>
      <c r="AK88">
        <v>320</v>
      </c>
      <c r="AL88" s="7">
        <v>0.15159248106298762</v>
      </c>
      <c r="AN88">
        <v>0.95199999999999996</v>
      </c>
      <c r="AP88" s="60">
        <v>0.95099999999999996</v>
      </c>
      <c r="AQ88" s="61">
        <v>48</v>
      </c>
    </row>
    <row r="89" spans="1:43" x14ac:dyDescent="0.3">
      <c r="A89">
        <v>79508</v>
      </c>
      <c r="B89">
        <v>5</v>
      </c>
      <c r="C89">
        <v>9</v>
      </c>
      <c r="D89">
        <v>1982</v>
      </c>
      <c r="E89">
        <v>6</v>
      </c>
      <c r="F89">
        <v>5</v>
      </c>
      <c r="G89">
        <v>1987</v>
      </c>
      <c r="H89">
        <v>79</v>
      </c>
      <c r="I89" s="32">
        <f t="shared" si="15"/>
        <v>15.776388834631177</v>
      </c>
      <c r="J89" s="1">
        <v>4.6684931506849301</v>
      </c>
      <c r="K89" s="32">
        <f t="shared" si="16"/>
        <v>16.67580315355292</v>
      </c>
      <c r="L89" s="32">
        <f t="shared" si="17"/>
        <v>87.196405857564301</v>
      </c>
      <c r="M89" s="1">
        <f t="shared" si="18"/>
        <v>0.35127777827654649</v>
      </c>
      <c r="N89">
        <v>1.7069442037609406</v>
      </c>
      <c r="O89" s="32">
        <f t="shared" si="25"/>
        <v>17.687486646409752</v>
      </c>
      <c r="P89" s="32">
        <f t="shared" si="19"/>
        <v>96.899282613140585</v>
      </c>
      <c r="Q89">
        <v>10</v>
      </c>
      <c r="R89">
        <v>89</v>
      </c>
      <c r="S89" s="32">
        <f t="shared" si="20"/>
        <v>9.1897631511801485</v>
      </c>
      <c r="T89" s="1">
        <f t="shared" si="21"/>
        <v>9.9942748807872182</v>
      </c>
      <c r="U89" s="1">
        <f t="shared" si="22"/>
        <v>9.5558539604823878</v>
      </c>
      <c r="V89" s="1">
        <f t="shared" si="23"/>
        <v>3.8030813138465791</v>
      </c>
      <c r="W89" s="1">
        <f t="shared" si="26"/>
        <v>0.19221290336093444</v>
      </c>
      <c r="X89" s="1">
        <f t="shared" si="27"/>
        <v>0.43842092030483037</v>
      </c>
      <c r="Y89" s="39">
        <f t="shared" si="24"/>
        <v>86.831340942013171</v>
      </c>
      <c r="AB89">
        <v>84</v>
      </c>
      <c r="AC89" s="7">
        <v>0.44659561616945992</v>
      </c>
      <c r="AD89">
        <v>0.74254268769566012</v>
      </c>
      <c r="AE89">
        <v>0.95757648535348328</v>
      </c>
      <c r="AF89" s="7">
        <v>4.3349680852859958E-2</v>
      </c>
      <c r="AG89" s="10">
        <v>130.82931118060202</v>
      </c>
      <c r="AH89" s="1">
        <v>0.37403982379008688</v>
      </c>
      <c r="AI89" s="10">
        <v>16.063692189061268</v>
      </c>
      <c r="AJ89" s="32">
        <v>1756.362863268175</v>
      </c>
      <c r="AK89">
        <v>320</v>
      </c>
      <c r="AL89" s="7">
        <v>0.2240514184084012</v>
      </c>
      <c r="AN89">
        <v>0.95299999999999996</v>
      </c>
      <c r="AP89" s="60">
        <v>0.95199999999999996</v>
      </c>
      <c r="AQ89" s="61">
        <v>55</v>
      </c>
    </row>
    <row r="90" spans="1:43" x14ac:dyDescent="0.3">
      <c r="A90">
        <v>79535</v>
      </c>
      <c r="B90">
        <v>5</v>
      </c>
      <c r="C90">
        <v>9</v>
      </c>
      <c r="D90">
        <v>1982</v>
      </c>
      <c r="E90">
        <v>29</v>
      </c>
      <c r="F90">
        <v>5</v>
      </c>
      <c r="G90">
        <v>1984</v>
      </c>
      <c r="H90">
        <v>77</v>
      </c>
      <c r="I90" s="32">
        <f t="shared" si="15"/>
        <v>15.549928774784245</v>
      </c>
      <c r="J90" s="1">
        <v>1.73150684931507</v>
      </c>
      <c r="K90" s="32">
        <f t="shared" si="16"/>
        <v>15.928117549156307</v>
      </c>
      <c r="L90" s="32">
        <f t="shared" si="17"/>
        <v>80.354349714091569</v>
      </c>
      <c r="M90" s="1">
        <f t="shared" si="18"/>
        <v>0.15022830678762508</v>
      </c>
      <c r="N90">
        <v>-0.3795139491558075</v>
      </c>
      <c r="O90" s="32">
        <f t="shared" si="25"/>
        <v>15.781020612211897</v>
      </c>
      <c r="P90" s="32">
        <f t="shared" si="19"/>
        <v>79.041173502976079</v>
      </c>
      <c r="Q90">
        <v>3</v>
      </c>
      <c r="R90">
        <v>80</v>
      </c>
      <c r="S90" s="32">
        <f t="shared" si="20"/>
        <v>9.0922615112669138</v>
      </c>
      <c r="T90" s="1">
        <f t="shared" si="21"/>
        <v>9.1917523167093993</v>
      </c>
      <c r="U90" s="1">
        <f t="shared" si="22"/>
        <v>9.2494636255623099</v>
      </c>
      <c r="V90" s="1">
        <f t="shared" si="23"/>
        <v>1.6600720612524484</v>
      </c>
      <c r="W90" s="1">
        <f t="shared" si="26"/>
        <v>3.3305951695160427E-3</v>
      </c>
      <c r="X90" s="1">
        <f t="shared" si="27"/>
        <v>-5.7711308852910648E-2</v>
      </c>
      <c r="Y90" s="39">
        <f t="shared" si="24"/>
        <v>80.242222784371563</v>
      </c>
      <c r="AB90">
        <v>85</v>
      </c>
      <c r="AC90" s="7">
        <v>0.38229393922025384</v>
      </c>
      <c r="AD90">
        <v>0.7764350396091324</v>
      </c>
      <c r="AE90">
        <v>0.94187167267775485</v>
      </c>
      <c r="AF90" s="7">
        <v>5.9886242265607868E-2</v>
      </c>
      <c r="AG90" s="10">
        <v>113.61811389565557</v>
      </c>
      <c r="AH90" s="1">
        <v>0.3549547371630542</v>
      </c>
      <c r="AI90" s="10">
        <v>10.67900561345264</v>
      </c>
      <c r="AJ90" s="32">
        <v>1795.6058345472463</v>
      </c>
      <c r="AK90">
        <v>320</v>
      </c>
      <c r="AL90" s="7">
        <v>0.18267975405621581</v>
      </c>
      <c r="AN90">
        <v>0.95399999999999996</v>
      </c>
      <c r="AP90" s="60">
        <v>0.95299999999999996</v>
      </c>
      <c r="AQ90" s="61">
        <v>48</v>
      </c>
    </row>
    <row r="91" spans="1:43" x14ac:dyDescent="0.3">
      <c r="A91">
        <v>79379</v>
      </c>
      <c r="B91">
        <v>30</v>
      </c>
      <c r="C91">
        <v>8</v>
      </c>
      <c r="D91">
        <v>1982</v>
      </c>
      <c r="E91">
        <v>21</v>
      </c>
      <c r="F91">
        <v>3</v>
      </c>
      <c r="G91">
        <v>1984</v>
      </c>
      <c r="H91">
        <v>81</v>
      </c>
      <c r="I91" s="32">
        <f t="shared" si="15"/>
        <v>16</v>
      </c>
      <c r="J91" s="1">
        <v>1.5589041095890399</v>
      </c>
      <c r="K91" s="32">
        <f t="shared" si="16"/>
        <v>16.307391814511188</v>
      </c>
      <c r="L91" s="32">
        <f t="shared" si="17"/>
        <v>83.790148762507812</v>
      </c>
      <c r="M91" s="1">
        <f t="shared" si="18"/>
        <v>0.13642181471890533</v>
      </c>
      <c r="N91">
        <v>0.35007929000130389</v>
      </c>
      <c r="O91" s="32">
        <f t="shared" si="25"/>
        <v>16.436694733971052</v>
      </c>
      <c r="P91" s="32">
        <f t="shared" si="19"/>
        <v>84.977928178408987</v>
      </c>
      <c r="Q91">
        <v>6</v>
      </c>
      <c r="R91">
        <v>87</v>
      </c>
      <c r="S91" s="32">
        <f t="shared" si="20"/>
        <v>9.2855678299812343</v>
      </c>
      <c r="T91" s="1">
        <f t="shared" si="21"/>
        <v>9.4713494098765132</v>
      </c>
      <c r="U91" s="1">
        <f t="shared" si="22"/>
        <v>9.410774269316649</v>
      </c>
      <c r="V91" s="1">
        <f t="shared" si="23"/>
        <v>1.5094371541414899</v>
      </c>
      <c r="W91" s="1">
        <f t="shared" si="26"/>
        <v>3.6693476538473095E-3</v>
      </c>
      <c r="X91" s="1">
        <f t="shared" si="27"/>
        <v>6.0575140559864238E-2</v>
      </c>
      <c r="Y91" s="39">
        <f t="shared" si="24"/>
        <v>83.666357112814225</v>
      </c>
      <c r="AB91">
        <v>86</v>
      </c>
      <c r="AC91" s="7">
        <v>0.68265025190799378</v>
      </c>
      <c r="AD91">
        <v>1.6740841528549497</v>
      </c>
      <c r="AE91">
        <v>0.95592123109044014</v>
      </c>
      <c r="AF91" s="7">
        <v>4.507976358219079E-2</v>
      </c>
      <c r="AG91" s="10">
        <v>124.46394520442709</v>
      </c>
      <c r="AH91" s="1">
        <v>1.1868927375711718</v>
      </c>
      <c r="AI91" s="10">
        <v>144.25959276397106</v>
      </c>
      <c r="AJ91" s="32">
        <v>1792.7261837548933</v>
      </c>
      <c r="AK91">
        <v>320</v>
      </c>
      <c r="AL91" s="7">
        <v>0.67142477418353397</v>
      </c>
      <c r="AN91">
        <v>0.95499999999999996</v>
      </c>
      <c r="AP91" s="60">
        <v>0.95399999999999996</v>
      </c>
      <c r="AQ91" s="61">
        <v>44</v>
      </c>
    </row>
    <row r="92" spans="1:43" x14ac:dyDescent="0.3">
      <c r="A92">
        <v>79026</v>
      </c>
      <c r="B92">
        <v>2</v>
      </c>
      <c r="C92">
        <v>8</v>
      </c>
      <c r="D92">
        <v>1982</v>
      </c>
      <c r="E92">
        <v>13</v>
      </c>
      <c r="F92">
        <v>6</v>
      </c>
      <c r="G92">
        <v>1986</v>
      </c>
      <c r="H92">
        <v>115</v>
      </c>
      <c r="I92" s="32">
        <f t="shared" si="15"/>
        <v>19.447610589527216</v>
      </c>
      <c r="J92" s="1">
        <v>3.8657534246575298</v>
      </c>
      <c r="K92" s="32">
        <f t="shared" si="16"/>
        <v>19.546966523244095</v>
      </c>
      <c r="L92" s="32">
        <f t="shared" si="17"/>
        <v>116.06794158845042</v>
      </c>
      <c r="M92" s="1">
        <f t="shared" si="18"/>
        <v>0.30219674433707111</v>
      </c>
      <c r="N92">
        <v>-0.68584085965994745</v>
      </c>
      <c r="O92" s="32">
        <f t="shared" si="25"/>
        <v>19.169943175228283</v>
      </c>
      <c r="P92" s="32">
        <f t="shared" si="19"/>
        <v>112.04162351059864</v>
      </c>
      <c r="Q92">
        <v>5</v>
      </c>
      <c r="R92">
        <v>120</v>
      </c>
      <c r="S92" s="32">
        <f t="shared" si="20"/>
        <v>10.708864000438982</v>
      </c>
      <c r="T92" s="1">
        <f t="shared" si="21"/>
        <v>10.597685641173642</v>
      </c>
      <c r="U92" s="1">
        <f t="shared" si="22"/>
        <v>10.708296872747269</v>
      </c>
      <c r="V92" s="1">
        <f t="shared" si="23"/>
        <v>3.2892585614949903</v>
      </c>
      <c r="W92" s="1">
        <f t="shared" si="26"/>
        <v>1.2234844550234431E-2</v>
      </c>
      <c r="X92" s="1">
        <f t="shared" si="27"/>
        <v>-0.11061123157362651</v>
      </c>
      <c r="Y92" s="39">
        <f t="shared" si="24"/>
        <v>114.98477324963751</v>
      </c>
      <c r="AB92">
        <v>87</v>
      </c>
      <c r="AC92" s="7">
        <v>0.66154117971434223</v>
      </c>
      <c r="AD92">
        <v>1.7900619976382435</v>
      </c>
      <c r="AE92">
        <v>0.94613273820498067</v>
      </c>
      <c r="AF92" s="7">
        <v>5.5372404546267219E-2</v>
      </c>
      <c r="AG92" s="10">
        <v>114.27490420526772</v>
      </c>
      <c r="AH92" s="1">
        <v>1.238066987474435</v>
      </c>
      <c r="AI92" s="10">
        <v>129.44905332144663</v>
      </c>
      <c r="AJ92" s="32">
        <v>1810.631839156872</v>
      </c>
      <c r="AK92">
        <v>320</v>
      </c>
      <c r="AL92" s="7">
        <v>0.63602538599455349</v>
      </c>
      <c r="AN92">
        <v>0.95599999999999996</v>
      </c>
      <c r="AP92" s="60">
        <v>0.95499999999999996</v>
      </c>
      <c r="AQ92" s="61">
        <v>50</v>
      </c>
    </row>
    <row r="93" spans="1:43" x14ac:dyDescent="0.3">
      <c r="A93">
        <v>78882</v>
      </c>
      <c r="B93">
        <v>27</v>
      </c>
      <c r="C93">
        <v>7</v>
      </c>
      <c r="D93">
        <v>1982</v>
      </c>
      <c r="E93">
        <v>16</v>
      </c>
      <c r="F93">
        <v>6</v>
      </c>
      <c r="G93">
        <v>1990</v>
      </c>
      <c r="H93">
        <v>74</v>
      </c>
      <c r="I93" s="32">
        <f t="shared" si="15"/>
        <v>15.204650534085253</v>
      </c>
      <c r="J93" s="1">
        <v>7.8931506849315101</v>
      </c>
      <c r="K93" s="32">
        <f t="shared" si="16"/>
        <v>16.80118353959325</v>
      </c>
      <c r="L93" s="32">
        <f t="shared" si="17"/>
        <v>88.371125622368041</v>
      </c>
      <c r="M93" s="1">
        <f t="shared" si="18"/>
        <v>0.51232839728221424</v>
      </c>
      <c r="N93">
        <v>1.1736210581148043</v>
      </c>
      <c r="O93" s="32">
        <f t="shared" si="25"/>
        <v>17.641227681664521</v>
      </c>
      <c r="P93" s="32">
        <f t="shared" si="19"/>
        <v>96.444456210746168</v>
      </c>
      <c r="Q93">
        <v>23</v>
      </c>
      <c r="R93">
        <v>97</v>
      </c>
      <c r="S93" s="32">
        <f t="shared" si="20"/>
        <v>8.9426609766862715</v>
      </c>
      <c r="T93" s="1">
        <f t="shared" si="21"/>
        <v>9.9751683101395248</v>
      </c>
      <c r="U93" s="1">
        <f t="shared" si="22"/>
        <v>9.6008393711570896</v>
      </c>
      <c r="V93" s="1">
        <f t="shared" si="23"/>
        <v>5.4386407190167914</v>
      </c>
      <c r="W93" s="1">
        <f t="shared" si="26"/>
        <v>0.14012215455971563</v>
      </c>
      <c r="X93" s="1">
        <f t="shared" si="27"/>
        <v>0.37432893898243513</v>
      </c>
      <c r="Y93" s="39">
        <f t="shared" si="24"/>
        <v>87.8293347884224</v>
      </c>
      <c r="AB93">
        <v>88</v>
      </c>
      <c r="AC93" s="7">
        <v>2.9639065179818267E-2</v>
      </c>
      <c r="AD93">
        <v>0.27525197842468641</v>
      </c>
      <c r="AE93">
        <v>0.94660748223080338</v>
      </c>
      <c r="AF93" s="7">
        <v>5.487075721965292E-2</v>
      </c>
      <c r="AG93" s="10">
        <v>121.19746638995046</v>
      </c>
      <c r="AH93" s="1">
        <v>6.1550729098599835E-2</v>
      </c>
      <c r="AI93" s="10">
        <v>0.48248265904221393</v>
      </c>
      <c r="AJ93" s="32">
        <v>1800.32004867096</v>
      </c>
      <c r="AK93">
        <v>320</v>
      </c>
      <c r="AL93" s="7">
        <v>3.882986362977494E-2</v>
      </c>
      <c r="AN93">
        <v>0.95699999999999996</v>
      </c>
      <c r="AP93" s="60">
        <v>0.95599999999999996</v>
      </c>
      <c r="AQ93" s="61">
        <v>36</v>
      </c>
    </row>
    <row r="94" spans="1:43" x14ac:dyDescent="0.3">
      <c r="A94">
        <v>20683</v>
      </c>
      <c r="B94">
        <v>25</v>
      </c>
      <c r="C94">
        <v>1</v>
      </c>
      <c r="D94">
        <v>1982</v>
      </c>
      <c r="E94">
        <v>26</v>
      </c>
      <c r="F94">
        <v>4</v>
      </c>
      <c r="G94">
        <v>1984</v>
      </c>
      <c r="H94">
        <v>128</v>
      </c>
      <c r="I94" s="32">
        <f t="shared" si="15"/>
        <v>20.627416997969522</v>
      </c>
      <c r="J94" s="1">
        <v>2.25205479452055</v>
      </c>
      <c r="K94" s="32">
        <f t="shared" si="16"/>
        <v>20.558970153214009</v>
      </c>
      <c r="L94" s="32">
        <f t="shared" si="17"/>
        <v>127.22678359340013</v>
      </c>
      <c r="M94" s="1">
        <f t="shared" si="18"/>
        <v>0.19041677278552621</v>
      </c>
      <c r="N94">
        <v>8.6973841462167911E-2</v>
      </c>
      <c r="O94" s="32">
        <f t="shared" si="25"/>
        <v>20.596922728690149</v>
      </c>
      <c r="P94" s="32">
        <f t="shared" si="19"/>
        <v>127.65522920159836</v>
      </c>
      <c r="Q94">
        <v>17</v>
      </c>
      <c r="R94">
        <v>145</v>
      </c>
      <c r="S94" s="32">
        <f t="shared" si="20"/>
        <v>11.175182447046536</v>
      </c>
      <c r="T94" s="1">
        <f t="shared" si="21"/>
        <v>11.163249785003611</v>
      </c>
      <c r="U94" s="1">
        <f t="shared" si="22"/>
        <v>11.116642286259523</v>
      </c>
      <c r="V94" s="1">
        <f t="shared" si="23"/>
        <v>2.096168032773031</v>
      </c>
      <c r="W94" s="1">
        <f t="shared" si="26"/>
        <v>2.1722589391801319E-3</v>
      </c>
      <c r="X94" s="1">
        <f t="shared" si="27"/>
        <v>4.660749874408765E-2</v>
      </c>
      <c r="Y94" s="39">
        <f t="shared" si="24"/>
        <v>126.31476566840354</v>
      </c>
      <c r="AB94">
        <v>89</v>
      </c>
      <c r="AC94" s="7">
        <v>0.55593068334099416</v>
      </c>
      <c r="AD94">
        <v>1.1501558001265579</v>
      </c>
      <c r="AE94">
        <v>0.95206205666245747</v>
      </c>
      <c r="AF94" s="7">
        <v>4.9125060745450408E-2</v>
      </c>
      <c r="AG94" s="10">
        <v>120.30587433526995</v>
      </c>
      <c r="AH94" s="1">
        <v>0.68734484325050782</v>
      </c>
      <c r="AI94" s="10">
        <v>47.254650802914348</v>
      </c>
      <c r="AJ94" s="32">
        <v>1789.3237838183545</v>
      </c>
      <c r="AK94">
        <v>320</v>
      </c>
      <c r="AL94" s="7">
        <v>0.38427956458691287</v>
      </c>
      <c r="AN94">
        <v>0.95799999999999996</v>
      </c>
      <c r="AP94" s="60">
        <v>0.95699999999999996</v>
      </c>
      <c r="AQ94" s="61">
        <v>39</v>
      </c>
    </row>
    <row r="95" spans="1:43" x14ac:dyDescent="0.3">
      <c r="A95">
        <v>78757</v>
      </c>
      <c r="B95">
        <v>25</v>
      </c>
      <c r="C95">
        <v>7</v>
      </c>
      <c r="D95">
        <v>1982</v>
      </c>
      <c r="E95">
        <v>30</v>
      </c>
      <c r="F95">
        <v>4</v>
      </c>
      <c r="G95">
        <v>1984</v>
      </c>
      <c r="H95">
        <v>94</v>
      </c>
      <c r="I95" s="32">
        <f t="shared" si="15"/>
        <v>17.390719429665317</v>
      </c>
      <c r="J95" s="1">
        <v>1.7671232876712299</v>
      </c>
      <c r="K95" s="32">
        <f t="shared" si="16"/>
        <v>17.616826590745369</v>
      </c>
      <c r="L95" s="32">
        <f t="shared" si="17"/>
        <v>96.204971372843644</v>
      </c>
      <c r="M95" s="1">
        <f t="shared" si="18"/>
        <v>0.15304696454023575</v>
      </c>
      <c r="N95">
        <v>0.20831066649407148</v>
      </c>
      <c r="O95" s="32">
        <f t="shared" si="25"/>
        <v>17.698320259306652</v>
      </c>
      <c r="P95" s="32">
        <f t="shared" si="19"/>
        <v>97.005955259552721</v>
      </c>
      <c r="Q95">
        <v>8</v>
      </c>
      <c r="R95">
        <v>102</v>
      </c>
      <c r="S95" s="32">
        <f t="shared" si="20"/>
        <v>9.871395639049501</v>
      </c>
      <c r="T95" s="1">
        <f t="shared" si="21"/>
        <v>9.9987470309645445</v>
      </c>
      <c r="U95" s="1">
        <f t="shared" si="22"/>
        <v>9.9542893363867098</v>
      </c>
      <c r="V95" s="1">
        <f t="shared" si="23"/>
        <v>1.690774213742849</v>
      </c>
      <c r="W95" s="1">
        <f t="shared" si="26"/>
        <v>1.9764866071760394E-3</v>
      </c>
      <c r="X95" s="1">
        <f t="shared" si="27"/>
        <v>4.4457694577834772E-2</v>
      </c>
      <c r="Y95" s="39">
        <f t="shared" si="24"/>
        <v>95.949133344140009</v>
      </c>
      <c r="AB95">
        <v>90</v>
      </c>
      <c r="AC95" s="7">
        <v>0.33204819328185525</v>
      </c>
      <c r="AD95">
        <v>0.67163838227435924</v>
      </c>
      <c r="AE95">
        <v>0.9424727577942551</v>
      </c>
      <c r="AF95" s="7">
        <v>5.9248264274782393E-2</v>
      </c>
      <c r="AG95" s="10">
        <v>118.13268472168821</v>
      </c>
      <c r="AH95" s="1">
        <v>0.28054355357869393</v>
      </c>
      <c r="AI95" s="10">
        <v>6.489765256865927</v>
      </c>
      <c r="AJ95" s="32">
        <v>1780.5737984611239</v>
      </c>
      <c r="AK95">
        <v>320</v>
      </c>
      <c r="AL95" s="7">
        <v>0.14240967813918415</v>
      </c>
      <c r="AN95">
        <v>0.95899999999999996</v>
      </c>
      <c r="AP95" s="60">
        <v>0.95799999999999996</v>
      </c>
      <c r="AQ95" s="61">
        <v>38</v>
      </c>
    </row>
    <row r="96" spans="1:43" x14ac:dyDescent="0.3">
      <c r="A96">
        <v>22683</v>
      </c>
      <c r="B96">
        <v>26</v>
      </c>
      <c r="C96">
        <v>7</v>
      </c>
      <c r="D96">
        <v>1982</v>
      </c>
      <c r="E96">
        <v>30</v>
      </c>
      <c r="F96">
        <v>4</v>
      </c>
      <c r="G96">
        <v>1984</v>
      </c>
      <c r="H96">
        <v>97</v>
      </c>
      <c r="I96" s="32">
        <f t="shared" si="15"/>
        <v>17.697715603592208</v>
      </c>
      <c r="J96" s="1">
        <v>1.7643835616438399</v>
      </c>
      <c r="K96" s="32">
        <f t="shared" si="16"/>
        <v>17.896924493181142</v>
      </c>
      <c r="L96" s="32">
        <f t="shared" si="17"/>
        <v>98.97190107183792</v>
      </c>
      <c r="M96" s="1">
        <f t="shared" si="18"/>
        <v>0.1528305101598553</v>
      </c>
      <c r="N96">
        <v>1.1233260011067614</v>
      </c>
      <c r="O96" s="32">
        <f t="shared" si="25"/>
        <v>18.336072426066902</v>
      </c>
      <c r="P96" s="32">
        <f t="shared" si="19"/>
        <v>103.38896042955965</v>
      </c>
      <c r="Q96">
        <v>2</v>
      </c>
      <c r="R96">
        <v>99</v>
      </c>
      <c r="S96" s="32">
        <f t="shared" si="20"/>
        <v>9.9984974522199881</v>
      </c>
      <c r="T96" s="1">
        <f t="shared" si="21"/>
        <v>10.26036085810893</v>
      </c>
      <c r="U96" s="1">
        <f t="shared" si="22"/>
        <v>10.068665296025113</v>
      </c>
      <c r="V96" s="1">
        <f t="shared" si="23"/>
        <v>1.6884171027062935</v>
      </c>
      <c r="W96" s="1">
        <f t="shared" si="26"/>
        <v>3.6747188522630536E-2</v>
      </c>
      <c r="X96" s="1">
        <f t="shared" si="27"/>
        <v>0.19169556208381699</v>
      </c>
      <c r="Y96" s="39">
        <f t="shared" si="24"/>
        <v>98.684298226420935</v>
      </c>
      <c r="AB96">
        <v>91</v>
      </c>
      <c r="AC96" s="7">
        <v>0.45537542872217002</v>
      </c>
      <c r="AD96">
        <v>0.78358808492343501</v>
      </c>
      <c r="AE96">
        <v>0.95500326557347015</v>
      </c>
      <c r="AF96" s="7">
        <v>4.6040519058593264E-2</v>
      </c>
      <c r="AG96" s="10">
        <v>122.48046706106074</v>
      </c>
      <c r="AH96" s="1">
        <v>0.40182349454012323</v>
      </c>
      <c r="AI96" s="10">
        <v>19.258013487829292</v>
      </c>
      <c r="AJ96" s="32">
        <v>1786.013554688735</v>
      </c>
      <c r="AK96">
        <v>320</v>
      </c>
      <c r="AL96" s="7">
        <v>0.24531875621213012</v>
      </c>
      <c r="AN96">
        <v>0.96</v>
      </c>
      <c r="AP96" s="60">
        <v>0.95899999999999996</v>
      </c>
      <c r="AQ96" s="61">
        <v>21</v>
      </c>
    </row>
    <row r="97" spans="1:43" x14ac:dyDescent="0.3">
      <c r="A97">
        <v>77071</v>
      </c>
      <c r="B97">
        <v>1</v>
      </c>
      <c r="C97">
        <v>8</v>
      </c>
      <c r="D97">
        <v>1982</v>
      </c>
      <c r="E97">
        <v>11</v>
      </c>
      <c r="F97">
        <v>6</v>
      </c>
      <c r="G97">
        <v>1986</v>
      </c>
      <c r="H97">
        <v>62</v>
      </c>
      <c r="I97" s="32">
        <f t="shared" si="15"/>
        <v>13.748015748023622</v>
      </c>
      <c r="J97" s="1">
        <v>3.86301369863014</v>
      </c>
      <c r="K97" s="32">
        <f t="shared" si="16"/>
        <v>14.871812951799139</v>
      </c>
      <c r="L97" s="32">
        <f t="shared" si="17"/>
        <v>71.164518070124302</v>
      </c>
      <c r="M97" s="1">
        <f t="shared" si="18"/>
        <v>0.30202221575816363</v>
      </c>
      <c r="N97">
        <v>0.88905380835058168</v>
      </c>
      <c r="O97" s="32">
        <f t="shared" si="25"/>
        <v>15.360406233882273</v>
      </c>
      <c r="P97" s="32">
        <f t="shared" si="19"/>
        <v>75.345926151354618</v>
      </c>
      <c r="Q97">
        <v>15</v>
      </c>
      <c r="R97">
        <v>77</v>
      </c>
      <c r="S97" s="32">
        <f t="shared" si="20"/>
        <v>8.2982967640550349</v>
      </c>
      <c r="T97" s="1">
        <f t="shared" si="21"/>
        <v>9.010288507598549</v>
      </c>
      <c r="U97" s="1">
        <f t="shared" si="22"/>
        <v>8.7904292473912236</v>
      </c>
      <c r="V97" s="1">
        <f t="shared" si="23"/>
        <v>3.287419960294685</v>
      </c>
      <c r="W97" s="1">
        <f t="shared" si="26"/>
        <v>4.8338094298912455E-2</v>
      </c>
      <c r="X97" s="1">
        <f t="shared" si="27"/>
        <v>0.21985926020732549</v>
      </c>
      <c r="Y97" s="39">
        <f t="shared" si="24"/>
        <v>71.031439006096818</v>
      </c>
      <c r="AB97">
        <v>92</v>
      </c>
      <c r="AC97" s="7">
        <v>0.55563709069678424</v>
      </c>
      <c r="AD97">
        <v>1.0539659312658489</v>
      </c>
      <c r="AE97">
        <v>0.95764632659332005</v>
      </c>
      <c r="AF97" s="7">
        <v>4.3276748095969139E-2</v>
      </c>
      <c r="AG97" s="10">
        <v>128.11043688770044</v>
      </c>
      <c r="AH97" s="1">
        <v>0.62797623714876316</v>
      </c>
      <c r="AI97" s="10">
        <v>41.503519369620726</v>
      </c>
      <c r="AJ97" s="32">
        <v>1752.6880646355835</v>
      </c>
      <c r="AK97">
        <v>320</v>
      </c>
      <c r="AL97" s="7">
        <v>0.36013677683633588</v>
      </c>
      <c r="AN97">
        <v>0.96099999999999997</v>
      </c>
      <c r="AP97" s="60">
        <v>0.96</v>
      </c>
      <c r="AQ97" s="61">
        <v>32</v>
      </c>
    </row>
    <row r="98" spans="1:43" x14ac:dyDescent="0.3">
      <c r="A98">
        <v>79342</v>
      </c>
      <c r="B98">
        <v>27</v>
      </c>
      <c r="C98">
        <v>8</v>
      </c>
      <c r="D98">
        <v>1982</v>
      </c>
      <c r="E98">
        <v>25</v>
      </c>
      <c r="F98">
        <v>4</v>
      </c>
      <c r="G98">
        <v>1984</v>
      </c>
      <c r="H98">
        <v>96</v>
      </c>
      <c r="I98" s="32">
        <f t="shared" si="15"/>
        <v>17.595917942265423</v>
      </c>
      <c r="J98" s="1">
        <v>1.66301369863014</v>
      </c>
      <c r="K98" s="32">
        <f t="shared" si="16"/>
        <v>17.792486655151766</v>
      </c>
      <c r="L98" s="32">
        <f t="shared" si="17"/>
        <v>97.935631998590182</v>
      </c>
      <c r="M98" s="1">
        <f t="shared" si="18"/>
        <v>0.14477877938673217</v>
      </c>
      <c r="N98">
        <v>0.78500988820451312</v>
      </c>
      <c r="O98" s="32">
        <f t="shared" si="25"/>
        <v>18.091181400597961</v>
      </c>
      <c r="P98" s="32">
        <f t="shared" si="19"/>
        <v>100.91389251793336</v>
      </c>
      <c r="Q98">
        <v>13</v>
      </c>
      <c r="R98">
        <v>109</v>
      </c>
      <c r="S98" s="32">
        <f t="shared" si="20"/>
        <v>9.9564369191438562</v>
      </c>
      <c r="T98" s="1">
        <f t="shared" si="21"/>
        <v>10.160284260372286</v>
      </c>
      <c r="U98" s="1">
        <f t="shared" si="22"/>
        <v>10.02671159589713</v>
      </c>
      <c r="V98" s="1">
        <f t="shared" si="23"/>
        <v>1.6006643893323043</v>
      </c>
      <c r="W98" s="1">
        <f t="shared" si="26"/>
        <v>1.784165669499279E-2</v>
      </c>
      <c r="X98" s="1">
        <f t="shared" si="27"/>
        <v>0.1335726644751567</v>
      </c>
      <c r="Y98" s="39">
        <f t="shared" si="24"/>
        <v>97.674831661662893</v>
      </c>
      <c r="AB98">
        <v>93</v>
      </c>
      <c r="AC98" s="7">
        <v>0.52566630819791216</v>
      </c>
      <c r="AD98">
        <v>1.083375579165444</v>
      </c>
      <c r="AE98">
        <v>0.95010632342536805</v>
      </c>
      <c r="AF98" s="7">
        <v>5.1181381254934516E-2</v>
      </c>
      <c r="AG98" s="10">
        <v>120.50649419574455</v>
      </c>
      <c r="AH98" s="1">
        <v>0.61938771766630585</v>
      </c>
      <c r="AI98" s="10">
        <v>38.866418211646277</v>
      </c>
      <c r="AJ98" s="32">
        <v>1811.3992077050129</v>
      </c>
      <c r="AK98">
        <v>320</v>
      </c>
      <c r="AL98" s="7">
        <v>0.34850761384996259</v>
      </c>
      <c r="AN98">
        <v>0.96199999999999997</v>
      </c>
      <c r="AP98" s="60">
        <v>0.96099999999999997</v>
      </c>
      <c r="AQ98" s="61">
        <v>18</v>
      </c>
    </row>
    <row r="99" spans="1:43" x14ac:dyDescent="0.3">
      <c r="A99">
        <v>76954</v>
      </c>
      <c r="B99">
        <v>31</v>
      </c>
      <c r="C99">
        <v>7</v>
      </c>
      <c r="D99">
        <v>1982</v>
      </c>
      <c r="E99">
        <v>22</v>
      </c>
      <c r="F99">
        <v>8</v>
      </c>
      <c r="G99">
        <v>1988</v>
      </c>
      <c r="H99">
        <v>72</v>
      </c>
      <c r="I99" s="32">
        <f t="shared" si="15"/>
        <v>14.970562748477139</v>
      </c>
      <c r="J99" s="1">
        <v>6.0657534246575304</v>
      </c>
      <c r="K99" s="32">
        <f t="shared" si="16"/>
        <v>16.315349698406109</v>
      </c>
      <c r="L99" s="32">
        <f t="shared" si="17"/>
        <v>83.863008643726189</v>
      </c>
      <c r="M99" s="1">
        <f t="shared" si="18"/>
        <v>0.4276362480432821</v>
      </c>
      <c r="N99">
        <v>-0.45887873056926765</v>
      </c>
      <c r="O99" s="32">
        <f t="shared" si="25"/>
        <v>16.015270988875859</v>
      </c>
      <c r="P99" s="32">
        <f t="shared" si="19"/>
        <v>81.137497200658046</v>
      </c>
      <c r="Q99">
        <v>14</v>
      </c>
      <c r="R99">
        <v>86</v>
      </c>
      <c r="S99" s="32">
        <f t="shared" si="20"/>
        <v>8.8405752459119533</v>
      </c>
      <c r="T99" s="1">
        <f t="shared" si="21"/>
        <v>9.2920937357348841</v>
      </c>
      <c r="U99" s="1">
        <f t="shared" si="22"/>
        <v>9.4032964260753236</v>
      </c>
      <c r="V99" s="1">
        <f t="shared" si="23"/>
        <v>4.5888513166470437</v>
      </c>
      <c r="W99" s="1">
        <f t="shared" si="26"/>
        <v>1.2366038338951677E-2</v>
      </c>
      <c r="X99" s="1">
        <f t="shared" si="27"/>
        <v>-0.1112026903404395</v>
      </c>
      <c r="Y99" s="39">
        <f t="shared" si="24"/>
        <v>83.505426824913187</v>
      </c>
      <c r="AB99">
        <v>94</v>
      </c>
      <c r="AC99" s="7">
        <v>0.60377312922552195</v>
      </c>
      <c r="AD99">
        <v>1.1952965614276556</v>
      </c>
      <c r="AE99">
        <v>0.95993097101192737</v>
      </c>
      <c r="AF99" s="7">
        <v>4.0893902301466653E-2</v>
      </c>
      <c r="AG99" s="10">
        <v>131.32819371286197</v>
      </c>
      <c r="AH99" s="1">
        <v>0.76175697423375455</v>
      </c>
      <c r="AI99" s="10">
        <v>68.540915877924661</v>
      </c>
      <c r="AJ99" s="32">
        <v>1779.3806158236257</v>
      </c>
      <c r="AK99">
        <v>320</v>
      </c>
      <c r="AL99" s="7">
        <v>0.4628070463146759</v>
      </c>
      <c r="AN99">
        <v>0.96299999999999997</v>
      </c>
      <c r="AP99" s="60">
        <v>0.96199999999999997</v>
      </c>
      <c r="AQ99" s="61">
        <v>13</v>
      </c>
    </row>
    <row r="100" spans="1:43" x14ac:dyDescent="0.3">
      <c r="A100">
        <v>76805</v>
      </c>
      <c r="B100">
        <v>30</v>
      </c>
      <c r="C100">
        <v>7</v>
      </c>
      <c r="D100">
        <v>1982</v>
      </c>
      <c r="E100">
        <v>7</v>
      </c>
      <c r="F100">
        <v>5</v>
      </c>
      <c r="G100">
        <v>1983</v>
      </c>
      <c r="H100">
        <v>86</v>
      </c>
      <c r="I100" s="32">
        <f t="shared" si="15"/>
        <v>16.547236990991408</v>
      </c>
      <c r="J100" s="1">
        <v>0.76986301369862997</v>
      </c>
      <c r="K100" s="32">
        <f t="shared" si="16"/>
        <v>16.680925521617173</v>
      </c>
      <c r="L100" s="32">
        <f t="shared" si="17"/>
        <v>87.244244586051963</v>
      </c>
      <c r="M100" s="1">
        <f t="shared" si="18"/>
        <v>7.0097903703802644E-2</v>
      </c>
      <c r="N100">
        <v>-0.58563273341860622</v>
      </c>
      <c r="O100" s="32">
        <f t="shared" si="25"/>
        <v>16.525873348127892</v>
      </c>
      <c r="P100" s="32">
        <f t="shared" si="19"/>
        <v>85.801995827718841</v>
      </c>
      <c r="Q100">
        <v>5</v>
      </c>
      <c r="R100">
        <v>91</v>
      </c>
      <c r="S100" s="32">
        <f t="shared" si="20"/>
        <v>9.5181060442442096</v>
      </c>
      <c r="T100" s="1">
        <f t="shared" si="21"/>
        <v>9.5090781750279501</v>
      </c>
      <c r="U100" s="1">
        <f t="shared" si="22"/>
        <v>9.5710246257163654</v>
      </c>
      <c r="V100" s="1">
        <f t="shared" si="23"/>
        <v>0.78023596558428476</v>
      </c>
      <c r="W100" s="1">
        <f t="shared" si="26"/>
        <v>3.8373627528922698E-3</v>
      </c>
      <c r="X100" s="1">
        <f t="shared" si="27"/>
        <v>-6.1946450688415311E-2</v>
      </c>
      <c r="Y100" s="39">
        <f t="shared" si="24"/>
        <v>87.167016027917299</v>
      </c>
      <c r="AB100">
        <v>95</v>
      </c>
      <c r="AC100" s="7">
        <v>0.76228601068880586</v>
      </c>
      <c r="AD100">
        <v>2.8463677671806495</v>
      </c>
      <c r="AE100">
        <v>0.93805567300243475</v>
      </c>
      <c r="AF100" s="7">
        <v>6.3945978856164432E-2</v>
      </c>
      <c r="AG100" s="10">
        <v>110.16871287686361</v>
      </c>
      <c r="AH100" s="1">
        <v>2.231690657194906</v>
      </c>
      <c r="AI100" s="10">
        <v>394.38001915908643</v>
      </c>
      <c r="AJ100" s="32">
        <v>1878.9914338068638</v>
      </c>
      <c r="AK100">
        <v>320</v>
      </c>
      <c r="AL100" s="7">
        <v>1.1101520435832855</v>
      </c>
      <c r="AN100">
        <v>0.96399999999999997</v>
      </c>
      <c r="AP100" s="60">
        <v>0.96299999999999997</v>
      </c>
      <c r="AQ100" s="61">
        <v>15</v>
      </c>
    </row>
    <row r="101" spans="1:43" x14ac:dyDescent="0.3">
      <c r="A101">
        <v>22703</v>
      </c>
      <c r="B101">
        <v>27</v>
      </c>
      <c r="C101">
        <v>7</v>
      </c>
      <c r="D101">
        <v>1982</v>
      </c>
      <c r="E101">
        <v>29</v>
      </c>
      <c r="F101">
        <v>5</v>
      </c>
      <c r="G101">
        <v>1984</v>
      </c>
      <c r="H101">
        <v>72</v>
      </c>
      <c r="I101" s="32">
        <f t="shared" si="15"/>
        <v>14.970562748477139</v>
      </c>
      <c r="J101" s="1">
        <v>1.84109589041096</v>
      </c>
      <c r="K101" s="32">
        <f t="shared" si="16"/>
        <v>15.423785051775992</v>
      </c>
      <c r="L101" s="32">
        <f t="shared" si="17"/>
        <v>75.897071382623139</v>
      </c>
      <c r="M101" s="1">
        <f t="shared" si="18"/>
        <v>0.15886829575228487</v>
      </c>
      <c r="N101">
        <v>-0.24985752133943606</v>
      </c>
      <c r="O101" s="32">
        <f t="shared" si="25"/>
        <v>15.324196126495224</v>
      </c>
      <c r="P101" s="32">
        <f t="shared" si="19"/>
        <v>75.031942857318029</v>
      </c>
      <c r="Q101">
        <v>7</v>
      </c>
      <c r="R101">
        <v>79</v>
      </c>
      <c r="S101" s="32">
        <f t="shared" si="20"/>
        <v>8.8405752459119533</v>
      </c>
      <c r="T101" s="1">
        <f t="shared" si="21"/>
        <v>8.9945874618425936</v>
      </c>
      <c r="U101" s="1">
        <f t="shared" si="22"/>
        <v>9.0331805078148335</v>
      </c>
      <c r="V101" s="1">
        <f t="shared" si="23"/>
        <v>1.7541281007290372</v>
      </c>
      <c r="W101" s="1">
        <f t="shared" si="26"/>
        <v>1.4894231974154218E-3</v>
      </c>
      <c r="X101" s="1">
        <f t="shared" si="27"/>
        <v>-3.8593045972239892E-2</v>
      </c>
      <c r="Y101" s="39">
        <f t="shared" si="24"/>
        <v>75.805342194272981</v>
      </c>
      <c r="AB101">
        <v>96</v>
      </c>
      <c r="AC101" s="7">
        <v>0.37409014823304459</v>
      </c>
      <c r="AD101">
        <v>0.81656364996586928</v>
      </c>
      <c r="AE101">
        <v>0.93688227946010005</v>
      </c>
      <c r="AF101" s="7">
        <v>6.5197640218062389E-2</v>
      </c>
      <c r="AG101" s="10">
        <v>111.85905389404947</v>
      </c>
      <c r="AH101" s="1">
        <v>0.36858613739734791</v>
      </c>
      <c r="AI101" s="10">
        <v>11.499177028266987</v>
      </c>
      <c r="AJ101" s="32">
        <v>1840.3754276268958</v>
      </c>
      <c r="AK101">
        <v>320</v>
      </c>
      <c r="AL101" s="7">
        <v>0.18956510283629299</v>
      </c>
      <c r="AN101">
        <v>0.96499999999999997</v>
      </c>
      <c r="AP101" s="60">
        <v>0.96399999999999997</v>
      </c>
      <c r="AQ101" s="61">
        <v>11</v>
      </c>
    </row>
    <row r="102" spans="1:43" x14ac:dyDescent="0.3">
      <c r="A102">
        <v>22907</v>
      </c>
      <c r="B102">
        <v>28</v>
      </c>
      <c r="C102">
        <v>7</v>
      </c>
      <c r="D102">
        <v>1982</v>
      </c>
      <c r="E102">
        <v>6</v>
      </c>
      <c r="F102">
        <v>10</v>
      </c>
      <c r="G102">
        <v>1983</v>
      </c>
      <c r="H102">
        <v>58</v>
      </c>
      <c r="I102" s="32">
        <f t="shared" si="15"/>
        <v>13.231546211727817</v>
      </c>
      <c r="J102" s="1">
        <v>1.1917808219178101</v>
      </c>
      <c r="K102" s="32">
        <f t="shared" si="16"/>
        <v>13.632911475342523</v>
      </c>
      <c r="L102" s="32">
        <f t="shared" si="17"/>
        <v>61.096980298973982</v>
      </c>
      <c r="M102" s="1">
        <f t="shared" si="18"/>
        <v>0.10622989416085797</v>
      </c>
      <c r="N102">
        <v>-0.18335640561417677</v>
      </c>
      <c r="O102" s="32">
        <f t="shared" si="25"/>
        <v>13.573150254471232</v>
      </c>
      <c r="P102" s="32">
        <f t="shared" si="19"/>
        <v>60.630752212084346</v>
      </c>
      <c r="Q102">
        <v>7</v>
      </c>
      <c r="R102">
        <v>65</v>
      </c>
      <c r="S102" s="32">
        <f t="shared" si="20"/>
        <v>8.0643408766899647</v>
      </c>
      <c r="T102" s="1">
        <f t="shared" si="21"/>
        <v>8.2194214066759042</v>
      </c>
      <c r="U102" s="1">
        <f t="shared" si="22"/>
        <v>8.2442700520876055</v>
      </c>
      <c r="V102" s="1">
        <f t="shared" si="23"/>
        <v>1.1786181876878647</v>
      </c>
      <c r="W102" s="1">
        <f t="shared" si="26"/>
        <v>6.1745517879646889E-4</v>
      </c>
      <c r="X102" s="1">
        <f t="shared" si="27"/>
        <v>-2.4848645411701398E-2</v>
      </c>
      <c r="Y102" s="39">
        <f t="shared" si="24"/>
        <v>61.059829210736424</v>
      </c>
      <c r="AB102">
        <v>97</v>
      </c>
      <c r="AC102" s="7">
        <v>0.63244099016549804</v>
      </c>
      <c r="AD102">
        <v>1.3214052860121535</v>
      </c>
      <c r="AE102">
        <v>0.95907017086258051</v>
      </c>
      <c r="AF102" s="7">
        <v>4.1791035907380515E-2</v>
      </c>
      <c r="AG102" s="10">
        <v>127.11564222838635</v>
      </c>
      <c r="AH102" s="1">
        <v>0.87664069663286892</v>
      </c>
      <c r="AI102" s="10">
        <v>90.286592954295102</v>
      </c>
      <c r="AJ102" s="32">
        <v>1785.503206904732</v>
      </c>
      <c r="AK102">
        <v>320</v>
      </c>
      <c r="AL102" s="7">
        <v>0.53117379734148429</v>
      </c>
      <c r="AN102">
        <v>0.96599999999999997</v>
      </c>
      <c r="AP102" s="60">
        <v>0.96499999999999997</v>
      </c>
      <c r="AQ102" s="61">
        <v>5</v>
      </c>
    </row>
    <row r="103" spans="1:43" x14ac:dyDescent="0.3">
      <c r="A103">
        <v>79076</v>
      </c>
      <c r="B103">
        <v>6</v>
      </c>
      <c r="C103">
        <v>8</v>
      </c>
      <c r="D103">
        <v>1982</v>
      </c>
      <c r="E103">
        <v>2</v>
      </c>
      <c r="F103">
        <v>8</v>
      </c>
      <c r="G103">
        <v>1986</v>
      </c>
      <c r="H103">
        <v>88</v>
      </c>
      <c r="I103" s="32">
        <f t="shared" si="15"/>
        <v>16.761663039293719</v>
      </c>
      <c r="J103" s="1">
        <v>3.9917808219178101</v>
      </c>
      <c r="K103" s="32">
        <f t="shared" si="16"/>
        <v>17.36124206978749</v>
      </c>
      <c r="L103" s="32">
        <f t="shared" si="17"/>
        <v>93.71442362122724</v>
      </c>
      <c r="M103" s="1">
        <f t="shared" si="18"/>
        <v>0.31017226308336499</v>
      </c>
      <c r="N103">
        <v>0.20956122170900926</v>
      </c>
      <c r="O103" s="32">
        <f t="shared" si="25"/>
        <v>17.47795323394503</v>
      </c>
      <c r="P103" s="32">
        <f t="shared" si="19"/>
        <v>94.847665545937417</v>
      </c>
      <c r="Q103">
        <v>3</v>
      </c>
      <c r="R103">
        <v>91</v>
      </c>
      <c r="S103" s="32">
        <f t="shared" si="20"/>
        <v>9.6084967093666851</v>
      </c>
      <c r="T103" s="1">
        <f t="shared" si="21"/>
        <v>9.907590644192684</v>
      </c>
      <c r="U103" s="1">
        <f t="shared" si="22"/>
        <v>9.839465872677021</v>
      </c>
      <c r="V103" s="1">
        <f t="shared" si="23"/>
        <v>3.3731928432942238</v>
      </c>
      <c r="W103" s="1">
        <f t="shared" si="26"/>
        <v>4.6409844940612866E-3</v>
      </c>
      <c r="X103" s="1">
        <f t="shared" si="27"/>
        <v>6.8124771515662985E-2</v>
      </c>
      <c r="Y103" s="39">
        <f t="shared" si="24"/>
        <v>93.256597521154987</v>
      </c>
      <c r="AB103">
        <v>98</v>
      </c>
      <c r="AC103" s="7">
        <v>0.49238517433006779</v>
      </c>
      <c r="AD103">
        <v>0.86522727379071596</v>
      </c>
      <c r="AE103">
        <v>0.95798823487864404</v>
      </c>
      <c r="AF103" s="7">
        <v>4.2919782006683407E-2</v>
      </c>
      <c r="AG103" s="10">
        <v>133.72096744235569</v>
      </c>
      <c r="AH103" s="1">
        <v>0.46803684716192695</v>
      </c>
      <c r="AI103" s="10">
        <v>30.371777781740889</v>
      </c>
      <c r="AJ103" s="32">
        <v>1832.4852024868819</v>
      </c>
      <c r="AK103">
        <v>320</v>
      </c>
      <c r="AL103" s="7">
        <v>0.30807759666671686</v>
      </c>
      <c r="AN103">
        <v>0.96699999999999997</v>
      </c>
      <c r="AP103" s="60">
        <v>0.96599999999999997</v>
      </c>
      <c r="AQ103" s="61">
        <v>8</v>
      </c>
    </row>
    <row r="104" spans="1:43" x14ac:dyDescent="0.3">
      <c r="A104">
        <v>78748</v>
      </c>
      <c r="B104">
        <v>24</v>
      </c>
      <c r="C104">
        <v>7</v>
      </c>
      <c r="D104">
        <v>1982</v>
      </c>
      <c r="E104">
        <v>30</v>
      </c>
      <c r="F104">
        <v>4</v>
      </c>
      <c r="G104">
        <v>1984</v>
      </c>
      <c r="H104">
        <v>81</v>
      </c>
      <c r="I104" s="32">
        <f t="shared" si="15"/>
        <v>16</v>
      </c>
      <c r="J104" s="1">
        <v>1.76986301369863</v>
      </c>
      <c r="K104" s="32">
        <f t="shared" si="16"/>
        <v>16.347133300215635</v>
      </c>
      <c r="L104" s="32">
        <f t="shared" si="17"/>
        <v>84.154325083970363</v>
      </c>
      <c r="M104" s="1">
        <f t="shared" si="18"/>
        <v>0.15326335809268193</v>
      </c>
      <c r="N104">
        <v>0.46978584578027949</v>
      </c>
      <c r="O104" s="32">
        <f t="shared" si="25"/>
        <v>16.531049123777585</v>
      </c>
      <c r="P104" s="32">
        <f t="shared" si="19"/>
        <v>85.849945406964494</v>
      </c>
      <c r="Q104">
        <v>7</v>
      </c>
      <c r="R104">
        <v>88</v>
      </c>
      <c r="S104" s="32">
        <f t="shared" si="20"/>
        <v>9.2855678299812343</v>
      </c>
      <c r="T104" s="1">
        <f t="shared" si="21"/>
        <v>9.5112657289029734</v>
      </c>
      <c r="U104" s="1">
        <f t="shared" si="22"/>
        <v>9.4268476164454498</v>
      </c>
      <c r="V104" s="1">
        <f t="shared" si="23"/>
        <v>1.6931305604372775</v>
      </c>
      <c r="W104" s="1">
        <f t="shared" si="26"/>
        <v>7.1264177108911041E-3</v>
      </c>
      <c r="X104" s="1">
        <f t="shared" si="27"/>
        <v>8.441811245752362E-2</v>
      </c>
      <c r="Y104" s="39">
        <f t="shared" si="24"/>
        <v>84.012998530587893</v>
      </c>
      <c r="AB104">
        <v>99</v>
      </c>
      <c r="AC104" s="7">
        <v>0.16076468606249966</v>
      </c>
      <c r="AD104">
        <v>0.42595055956497346</v>
      </c>
      <c r="AE104">
        <v>0.94040182081035473</v>
      </c>
      <c r="AF104" s="7">
        <v>6.1448026109723247E-2</v>
      </c>
      <c r="AG104" s="10">
        <v>116.57090628490219</v>
      </c>
      <c r="AH104" s="1">
        <v>0.12807598717625429</v>
      </c>
      <c r="AI104" s="10">
        <v>1.3079974462752011</v>
      </c>
      <c r="AJ104" s="32">
        <v>1748.1910339176002</v>
      </c>
      <c r="AK104">
        <v>320</v>
      </c>
      <c r="AL104" s="7">
        <v>6.3933496851103055E-2</v>
      </c>
      <c r="AN104">
        <v>0.96799999999999997</v>
      </c>
      <c r="AP104" s="60">
        <v>0.96699999999999997</v>
      </c>
      <c r="AQ104" s="61">
        <v>3</v>
      </c>
    </row>
    <row r="105" spans="1:43" x14ac:dyDescent="0.3">
      <c r="A105">
        <v>79542</v>
      </c>
      <c r="B105">
        <v>5</v>
      </c>
      <c r="C105">
        <v>9</v>
      </c>
      <c r="D105">
        <v>1982</v>
      </c>
      <c r="E105">
        <v>18</v>
      </c>
      <c r="F105">
        <v>2</v>
      </c>
      <c r="G105">
        <v>1983</v>
      </c>
      <c r="H105">
        <v>92</v>
      </c>
      <c r="I105" s="32">
        <f t="shared" si="15"/>
        <v>17.183326093250876</v>
      </c>
      <c r="J105" s="1">
        <v>0.454794520547945</v>
      </c>
      <c r="K105" s="32">
        <f t="shared" si="16"/>
        <v>17.248272726632873</v>
      </c>
      <c r="L105" s="32">
        <f t="shared" si="17"/>
        <v>92.624000739709729</v>
      </c>
      <c r="M105" s="1">
        <f t="shared" si="18"/>
        <v>4.2077692263767619E-2</v>
      </c>
      <c r="N105">
        <v>-0.26060547497763764</v>
      </c>
      <c r="O105" s="32">
        <f t="shared" si="25"/>
        <v>17.19481512233379</v>
      </c>
      <c r="P105" s="32">
        <f t="shared" si="19"/>
        <v>92.110231895143485</v>
      </c>
      <c r="Q105">
        <v>0</v>
      </c>
      <c r="R105">
        <v>92</v>
      </c>
      <c r="S105" s="32">
        <f t="shared" si="20"/>
        <v>9.7850902466069272</v>
      </c>
      <c r="T105" s="1">
        <f t="shared" si="21"/>
        <v>9.7898807459041794</v>
      </c>
      <c r="U105" s="1">
        <f t="shared" si="22"/>
        <v>9.8095518004222164</v>
      </c>
      <c r="V105" s="1">
        <f t="shared" si="23"/>
        <v>0.46949273785411616</v>
      </c>
      <c r="W105" s="1">
        <f t="shared" si="26"/>
        <v>3.8695038585158262E-4</v>
      </c>
      <c r="X105" s="1">
        <f t="shared" si="27"/>
        <v>-1.9671054518036968E-2</v>
      </c>
      <c r="Y105" s="39">
        <f t="shared" si="24"/>
        <v>92.56383342969302</v>
      </c>
      <c r="AB105">
        <v>100</v>
      </c>
      <c r="AC105" s="7">
        <v>0.4645862271813927</v>
      </c>
      <c r="AD105">
        <v>0.982362473268523</v>
      </c>
      <c r="AE105">
        <v>0.94384623648004773</v>
      </c>
      <c r="AF105" s="7">
        <v>5.7792011188547682E-2</v>
      </c>
      <c r="AG105" s="10">
        <v>116.71225835135321</v>
      </c>
      <c r="AH105" s="1">
        <v>0.51254583870035708</v>
      </c>
      <c r="AI105" s="10">
        <v>23.13573892510253</v>
      </c>
      <c r="AJ105" s="32">
        <v>1813.8448806994047</v>
      </c>
      <c r="AK105">
        <v>320</v>
      </c>
      <c r="AL105" s="7">
        <v>0.26888507608445922</v>
      </c>
      <c r="AN105">
        <v>0.96899999999999997</v>
      </c>
      <c r="AP105" s="60">
        <v>0.96799999999999997</v>
      </c>
      <c r="AQ105" s="61">
        <v>4</v>
      </c>
    </row>
    <row r="106" spans="1:43" x14ac:dyDescent="0.3">
      <c r="A106">
        <v>79149</v>
      </c>
      <c r="B106">
        <v>10</v>
      </c>
      <c r="C106">
        <v>8</v>
      </c>
      <c r="D106">
        <v>1982</v>
      </c>
      <c r="E106">
        <v>10</v>
      </c>
      <c r="F106">
        <v>5</v>
      </c>
      <c r="G106">
        <v>1986</v>
      </c>
      <c r="H106">
        <v>67</v>
      </c>
      <c r="I106" s="32">
        <f t="shared" si="15"/>
        <v>14.370705543744901</v>
      </c>
      <c r="J106" s="1">
        <v>3.75068493150685</v>
      </c>
      <c r="K106" s="32">
        <f t="shared" si="16"/>
        <v>15.355892882529641</v>
      </c>
      <c r="L106" s="32">
        <f t="shared" si="17"/>
        <v>75.306754437460768</v>
      </c>
      <c r="M106" s="1">
        <f t="shared" si="18"/>
        <v>0.29482414482900948</v>
      </c>
      <c r="N106">
        <v>0.26607040126691572</v>
      </c>
      <c r="O106" s="32">
        <f t="shared" si="25"/>
        <v>15.50036302076316</v>
      </c>
      <c r="P106" s="32">
        <f t="shared" si="19"/>
        <v>76.565676464623664</v>
      </c>
      <c r="Q106">
        <v>24</v>
      </c>
      <c r="R106">
        <v>91</v>
      </c>
      <c r="S106" s="32">
        <f t="shared" si="20"/>
        <v>8.5764587365829126</v>
      </c>
      <c r="T106" s="1">
        <f t="shared" si="21"/>
        <v>9.0708563542225775</v>
      </c>
      <c r="U106" s="1">
        <f t="shared" si="22"/>
        <v>9.0004346402681037</v>
      </c>
      <c r="V106" s="1">
        <f t="shared" si="23"/>
        <v>3.2115215845074223</v>
      </c>
      <c r="W106" s="1">
        <f t="shared" si="26"/>
        <v>4.9592177962857345E-3</v>
      </c>
      <c r="X106" s="1">
        <f t="shared" si="27"/>
        <v>7.042171395447383E-2</v>
      </c>
      <c r="Y106" s="39">
        <f t="shared" si="24"/>
        <v>75.148766173215265</v>
      </c>
      <c r="AB106">
        <v>101</v>
      </c>
      <c r="AC106" s="7">
        <v>1.1914787485967586</v>
      </c>
      <c r="AD106">
        <v>10.063541093060982</v>
      </c>
      <c r="AE106">
        <v>0.96285598850681053</v>
      </c>
      <c r="AF106" s="7">
        <v>3.7851423011983396E-2</v>
      </c>
      <c r="AG106" s="10">
        <v>127.90002787436346</v>
      </c>
      <c r="AH106" s="1">
        <v>12.027639359505546</v>
      </c>
      <c r="AI106" s="10">
        <v>14760.446736819398</v>
      </c>
      <c r="AJ106" s="32">
        <v>1845.0674609415778</v>
      </c>
      <c r="AK106">
        <v>320</v>
      </c>
      <c r="AL106" s="7">
        <v>6.7916416316352137</v>
      </c>
      <c r="AN106">
        <v>0.97</v>
      </c>
      <c r="AP106" s="60">
        <v>0.96899999999999997</v>
      </c>
      <c r="AQ106" s="61">
        <v>3</v>
      </c>
    </row>
    <row r="107" spans="1:43" x14ac:dyDescent="0.3">
      <c r="A107">
        <v>79175</v>
      </c>
      <c r="B107">
        <v>12</v>
      </c>
      <c r="C107">
        <v>8</v>
      </c>
      <c r="D107">
        <v>1982</v>
      </c>
      <c r="E107">
        <v>10</v>
      </c>
      <c r="F107">
        <v>6</v>
      </c>
      <c r="G107">
        <v>1987</v>
      </c>
      <c r="H107">
        <v>86</v>
      </c>
      <c r="I107" s="32">
        <f t="shared" si="15"/>
        <v>16.547236990991408</v>
      </c>
      <c r="J107" s="1">
        <v>4.8301369863013699</v>
      </c>
      <c r="K107" s="32">
        <f t="shared" si="16"/>
        <v>17.304938176095554</v>
      </c>
      <c r="L107" s="32">
        <f t="shared" si="17"/>
        <v>93.170159495717883</v>
      </c>
      <c r="M107" s="1">
        <f t="shared" si="18"/>
        <v>0.3606814480891658</v>
      </c>
      <c r="N107">
        <v>-0.66928805608768016</v>
      </c>
      <c r="O107" s="32">
        <f t="shared" si="25"/>
        <v>16.902985451243943</v>
      </c>
      <c r="P107" s="32">
        <f t="shared" si="19"/>
        <v>89.330714742485043</v>
      </c>
      <c r="Q107">
        <v>5</v>
      </c>
      <c r="R107">
        <v>91</v>
      </c>
      <c r="S107" s="32">
        <f t="shared" si="20"/>
        <v>9.5181060442442096</v>
      </c>
      <c r="T107" s="1">
        <f t="shared" si="21"/>
        <v>9.6678523402301373</v>
      </c>
      <c r="U107" s="1">
        <f t="shared" si="22"/>
        <v>9.8135050467102616</v>
      </c>
      <c r="V107" s="1">
        <f t="shared" si="23"/>
        <v>3.9007715216793715</v>
      </c>
      <c r="W107" s="1">
        <f t="shared" si="26"/>
        <v>2.1214710904985241E-2</v>
      </c>
      <c r="X107" s="1">
        <f t="shared" si="27"/>
        <v>-0.14565270648012429</v>
      </c>
      <c r="Y107" s="39">
        <f t="shared" si="24"/>
        <v>92.655179230224917</v>
      </c>
      <c r="AB107">
        <v>102</v>
      </c>
      <c r="AC107" s="7">
        <v>0.1882306950833311</v>
      </c>
      <c r="AD107">
        <v>0.47763652063729467</v>
      </c>
      <c r="AE107">
        <v>0.9379517464022753</v>
      </c>
      <c r="AF107" s="7">
        <v>6.4056774367089162E-2</v>
      </c>
      <c r="AG107" s="10">
        <v>116.55262376190781</v>
      </c>
      <c r="AH107" s="1">
        <v>0.1519541078744665</v>
      </c>
      <c r="AI107" s="10">
        <v>1.8260353096802289</v>
      </c>
      <c r="AJ107" s="32">
        <v>1777.5988394306532</v>
      </c>
      <c r="AK107">
        <v>320</v>
      </c>
      <c r="AL107" s="7">
        <v>7.5540455007570048E-2</v>
      </c>
      <c r="AP107" s="60">
        <v>0.97</v>
      </c>
      <c r="AQ107" s="61">
        <v>0</v>
      </c>
    </row>
    <row r="108" spans="1:43" ht="15" thickBot="1" x14ac:dyDescent="0.35">
      <c r="A108">
        <v>79389</v>
      </c>
      <c r="B108">
        <v>31</v>
      </c>
      <c r="C108">
        <v>8</v>
      </c>
      <c r="D108">
        <v>1982</v>
      </c>
      <c r="E108">
        <v>28</v>
      </c>
      <c r="F108">
        <v>5</v>
      </c>
      <c r="G108">
        <v>1984</v>
      </c>
      <c r="H108">
        <v>86</v>
      </c>
      <c r="I108" s="32">
        <f t="shared" si="15"/>
        <v>16.547236990991408</v>
      </c>
      <c r="J108" s="1">
        <v>1.7424657534246599</v>
      </c>
      <c r="K108" s="32">
        <f t="shared" si="16"/>
        <v>16.842445063444082</v>
      </c>
      <c r="L108" s="32">
        <f t="shared" si="17"/>
        <v>88.759433992227059</v>
      </c>
      <c r="M108" s="1">
        <f t="shared" si="18"/>
        <v>0.15109668325829681</v>
      </c>
      <c r="N108">
        <v>2.0122752175666392</v>
      </c>
      <c r="O108" s="32">
        <f t="shared" si="25"/>
        <v>17.624639718929402</v>
      </c>
      <c r="P108" s="32">
        <f t="shared" si="19"/>
        <v>96.281621024445371</v>
      </c>
      <c r="Q108">
        <v>2</v>
      </c>
      <c r="R108">
        <v>88</v>
      </c>
      <c r="S108" s="32">
        <f t="shared" si="20"/>
        <v>9.5181060442442096</v>
      </c>
      <c r="T108" s="1">
        <f t="shared" si="21"/>
        <v>9.968312661801102</v>
      </c>
      <c r="U108" s="1">
        <f t="shared" si="22"/>
        <v>9.6345222066839984</v>
      </c>
      <c r="V108" s="1">
        <f t="shared" si="23"/>
        <v>1.6695326683279548</v>
      </c>
      <c r="W108" s="1">
        <f t="shared" si="26"/>
        <v>0.11141606792728315</v>
      </c>
      <c r="X108" s="1">
        <f t="shared" si="27"/>
        <v>0.33379045511710359</v>
      </c>
      <c r="Y108" s="39">
        <f t="shared" si="24"/>
        <v>88.581770042780747</v>
      </c>
      <c r="AB108">
        <v>103</v>
      </c>
      <c r="AC108" s="7">
        <v>0.53204849675592358</v>
      </c>
      <c r="AD108">
        <v>1.0758639551759632</v>
      </c>
      <c r="AE108">
        <v>0.95299096857173526</v>
      </c>
      <c r="AF108" s="7">
        <v>4.8149852212572619E-2</v>
      </c>
      <c r="AG108" s="10">
        <v>127.26348750335352</v>
      </c>
      <c r="AH108" s="1">
        <v>0.61942083149351834</v>
      </c>
      <c r="AI108" s="10">
        <v>36.332256198848491</v>
      </c>
      <c r="AJ108" s="32">
        <v>1775.3644455034726</v>
      </c>
      <c r="AK108">
        <v>320</v>
      </c>
      <c r="AL108" s="7">
        <v>0.33695444888204329</v>
      </c>
      <c r="AP108" s="62" t="s">
        <v>78</v>
      </c>
      <c r="AQ108" s="62">
        <v>7</v>
      </c>
    </row>
    <row r="109" spans="1:43" x14ac:dyDescent="0.3">
      <c r="A109">
        <v>79489</v>
      </c>
      <c r="B109">
        <v>4</v>
      </c>
      <c r="C109">
        <v>9</v>
      </c>
      <c r="D109">
        <v>1982</v>
      </c>
      <c r="E109">
        <v>26</v>
      </c>
      <c r="F109">
        <v>4</v>
      </c>
      <c r="G109">
        <v>1985</v>
      </c>
      <c r="H109">
        <v>73</v>
      </c>
      <c r="I109" s="32">
        <f t="shared" si="15"/>
        <v>15.088007490635061</v>
      </c>
      <c r="J109" s="1">
        <v>2.6438356164383601</v>
      </c>
      <c r="K109" s="32">
        <f t="shared" si="16"/>
        <v>15.710935571203525</v>
      </c>
      <c r="L109" s="32">
        <f t="shared" si="17"/>
        <v>78.419309701830585</v>
      </c>
      <c r="M109" s="1">
        <f t="shared" si="18"/>
        <v>0.21927954877486908</v>
      </c>
      <c r="N109">
        <v>1.1331553650961723</v>
      </c>
      <c r="O109" s="32">
        <f t="shared" si="25"/>
        <v>16.24156156844445</v>
      </c>
      <c r="P109" s="32">
        <f t="shared" si="19"/>
        <v>83.188642113837389</v>
      </c>
      <c r="Q109">
        <v>20</v>
      </c>
      <c r="R109">
        <v>93</v>
      </c>
      <c r="S109" s="32">
        <f t="shared" si="20"/>
        <v>8.8918605482504951</v>
      </c>
      <c r="T109" s="1">
        <f t="shared" si="21"/>
        <v>9.3885473497542886</v>
      </c>
      <c r="U109" s="1">
        <f t="shared" si="22"/>
        <v>9.1546636524130811</v>
      </c>
      <c r="V109" s="1">
        <f t="shared" si="23"/>
        <v>2.4071125425277224</v>
      </c>
      <c r="W109" s="1">
        <f t="shared" si="26"/>
        <v>5.4701583881993553E-2</v>
      </c>
      <c r="X109" s="1">
        <f t="shared" si="27"/>
        <v>0.23388369734120751</v>
      </c>
      <c r="Y109" s="39">
        <f t="shared" si="24"/>
        <v>78.275923814079604</v>
      </c>
      <c r="AB109">
        <v>104</v>
      </c>
      <c r="AC109" s="7">
        <v>0.37087849551925933</v>
      </c>
      <c r="AD109">
        <v>0.75145536423474579</v>
      </c>
      <c r="AE109">
        <v>0.94219976032857844</v>
      </c>
      <c r="AF109" s="7">
        <v>5.9537967090482077E-2</v>
      </c>
      <c r="AG109" s="10">
        <v>115.56216844565131</v>
      </c>
      <c r="AH109" s="1">
        <v>0.33649887460868111</v>
      </c>
      <c r="AI109" s="10">
        <v>10.192256998318499</v>
      </c>
      <c r="AJ109" s="32">
        <v>1814.1962872688932</v>
      </c>
      <c r="AK109">
        <v>320</v>
      </c>
      <c r="AL109" s="7">
        <v>0.17846793302928488</v>
      </c>
    </row>
    <row r="110" spans="1:43" x14ac:dyDescent="0.3">
      <c r="A110">
        <v>79581</v>
      </c>
      <c r="B110">
        <v>5</v>
      </c>
      <c r="C110">
        <v>9</v>
      </c>
      <c r="D110">
        <v>1982</v>
      </c>
      <c r="E110">
        <v>22</v>
      </c>
      <c r="F110">
        <v>4</v>
      </c>
      <c r="G110">
        <v>1985</v>
      </c>
      <c r="H110">
        <v>78</v>
      </c>
      <c r="I110" s="32">
        <f t="shared" si="15"/>
        <v>15.663521732655695</v>
      </c>
      <c r="J110" s="1">
        <v>2.6301369863013702</v>
      </c>
      <c r="K110" s="32">
        <f t="shared" si="16"/>
        <v>16.21080282739884</v>
      </c>
      <c r="L110" s="32">
        <f t="shared" si="17"/>
        <v>82.9083349045994</v>
      </c>
      <c r="M110" s="1">
        <f t="shared" si="18"/>
        <v>0.21828981005037768</v>
      </c>
      <c r="N110">
        <v>-0.64686901168897748</v>
      </c>
      <c r="O110" s="32">
        <f t="shared" si="25"/>
        <v>15.908575954067445</v>
      </c>
      <c r="P110" s="32">
        <f t="shared" si="19"/>
        <v>80.179273175650664</v>
      </c>
      <c r="Q110">
        <v>4</v>
      </c>
      <c r="R110">
        <v>82</v>
      </c>
      <c r="S110" s="32">
        <f t="shared" si="20"/>
        <v>9.1412290377968759</v>
      </c>
      <c r="T110" s="1">
        <f t="shared" si="21"/>
        <v>9.2464537801313451</v>
      </c>
      <c r="U110" s="1">
        <f t="shared" si="22"/>
        <v>9.3668240431574272</v>
      </c>
      <c r="V110" s="1">
        <f t="shared" si="23"/>
        <v>2.3964819074716579</v>
      </c>
      <c r="W110" s="1">
        <f t="shared" si="26"/>
        <v>1.448900022096819E-2</v>
      </c>
      <c r="X110" s="1">
        <f t="shared" si="27"/>
        <v>-0.12037026302608211</v>
      </c>
      <c r="Y110" s="39">
        <f t="shared" si="24"/>
        <v>82.723581944904268</v>
      </c>
      <c r="AB110">
        <v>105</v>
      </c>
      <c r="AC110" s="7">
        <v>0.27620543980197881</v>
      </c>
      <c r="AD110">
        <v>0.57957679865340095</v>
      </c>
      <c r="AE110">
        <v>0.94066585114431012</v>
      </c>
      <c r="AF110" s="7">
        <v>6.1167302199971553E-2</v>
      </c>
      <c r="AG110" s="10">
        <v>113.84432892282267</v>
      </c>
      <c r="AH110" s="1">
        <v>0.21941641342677543</v>
      </c>
      <c r="AI110" s="10">
        <v>3.9569425274197676</v>
      </c>
      <c r="AJ110" s="32">
        <v>1775.9039191142056</v>
      </c>
      <c r="AK110">
        <v>320</v>
      </c>
      <c r="AL110" s="7">
        <v>0.1112000242724199</v>
      </c>
    </row>
    <row r="111" spans="1:43" x14ac:dyDescent="0.3">
      <c r="A111">
        <v>76813</v>
      </c>
      <c r="B111">
        <v>30</v>
      </c>
      <c r="C111">
        <v>7</v>
      </c>
      <c r="D111">
        <v>1982</v>
      </c>
      <c r="E111">
        <v>24</v>
      </c>
      <c r="F111">
        <v>6</v>
      </c>
      <c r="G111">
        <v>1985</v>
      </c>
      <c r="H111">
        <v>68</v>
      </c>
      <c r="I111" s="32">
        <f t="shared" si="15"/>
        <v>14.492422502470642</v>
      </c>
      <c r="J111" s="1">
        <v>2.9041095890410999</v>
      </c>
      <c r="K111" s="32">
        <f t="shared" si="16"/>
        <v>15.254657917199156</v>
      </c>
      <c r="L111" s="32">
        <f t="shared" si="17"/>
        <v>74.430804959890864</v>
      </c>
      <c r="M111" s="1">
        <f t="shared" si="18"/>
        <v>0.23782271565852819</v>
      </c>
      <c r="N111">
        <v>9.6499661594862118E-2</v>
      </c>
      <c r="O111" s="32">
        <f t="shared" si="25"/>
        <v>15.301717975116626</v>
      </c>
      <c r="P111" s="32">
        <f t="shared" si="19"/>
        <v>74.837361222618426</v>
      </c>
      <c r="Q111">
        <v>10</v>
      </c>
      <c r="R111">
        <v>78</v>
      </c>
      <c r="S111" s="32">
        <f t="shared" si="20"/>
        <v>8.6303494035856811</v>
      </c>
      <c r="T111" s="1">
        <f t="shared" si="21"/>
        <v>8.9848343353992686</v>
      </c>
      <c r="U111" s="1">
        <f t="shared" si="22"/>
        <v>8.9581699327165314</v>
      </c>
      <c r="V111" s="1">
        <f t="shared" si="23"/>
        <v>2.6058534869132197</v>
      </c>
      <c r="W111" s="1">
        <f t="shared" si="26"/>
        <v>7.1099037042716149E-4</v>
      </c>
      <c r="X111" s="1">
        <f t="shared" si="27"/>
        <v>2.6664402682737176E-2</v>
      </c>
      <c r="Y111" s="39">
        <f t="shared" si="24"/>
        <v>74.307174294589501</v>
      </c>
      <c r="AB111">
        <v>106</v>
      </c>
      <c r="AC111" s="7">
        <v>0.69144755218183918</v>
      </c>
      <c r="AD111">
        <v>2.0084524859573385</v>
      </c>
      <c r="AE111">
        <v>0.94678431469548519</v>
      </c>
      <c r="AF111" s="7">
        <v>5.4683968129848028E-2</v>
      </c>
      <c r="AG111" s="10">
        <v>118.12359986208013</v>
      </c>
      <c r="AH111" s="1">
        <v>1.4419552403932463</v>
      </c>
      <c r="AI111" s="10">
        <v>162.6300068271153</v>
      </c>
      <c r="AJ111" s="32">
        <v>1801.131466074683</v>
      </c>
      <c r="AK111">
        <v>320</v>
      </c>
      <c r="AL111" s="7">
        <v>0.71289464252071311</v>
      </c>
    </row>
    <row r="112" spans="1:43" x14ac:dyDescent="0.3">
      <c r="A112">
        <v>22700</v>
      </c>
      <c r="B112">
        <v>27</v>
      </c>
      <c r="C112">
        <v>7</v>
      </c>
      <c r="D112">
        <v>1982</v>
      </c>
      <c r="E112">
        <v>28</v>
      </c>
      <c r="F112">
        <v>5</v>
      </c>
      <c r="G112">
        <v>1984</v>
      </c>
      <c r="H112">
        <v>80</v>
      </c>
      <c r="I112" s="32">
        <f t="shared" si="15"/>
        <v>15.888543819998318</v>
      </c>
      <c r="J112" s="1">
        <v>1.83835616438356</v>
      </c>
      <c r="K112" s="32">
        <f t="shared" si="16"/>
        <v>16.258517498975088</v>
      </c>
      <c r="L112" s="32">
        <f t="shared" si="17"/>
        <v>83.343365315094871</v>
      </c>
      <c r="M112" s="1">
        <f t="shared" si="18"/>
        <v>0.15865347774023775</v>
      </c>
      <c r="N112">
        <v>1.5218120097415522</v>
      </c>
      <c r="O112" s="32">
        <f t="shared" si="25"/>
        <v>16.864675448768761</v>
      </c>
      <c r="P112" s="32">
        <f t="shared" si="19"/>
        <v>88.968994946844717</v>
      </c>
      <c r="Q112">
        <v>6</v>
      </c>
      <c r="R112">
        <v>86</v>
      </c>
      <c r="S112" s="32">
        <f t="shared" si="20"/>
        <v>9.237873101814575</v>
      </c>
      <c r="T112" s="1">
        <f t="shared" si="21"/>
        <v>9.6517790909583816</v>
      </c>
      <c r="U112" s="1">
        <f t="shared" si="22"/>
        <v>9.3892458041817548</v>
      </c>
      <c r="V112" s="1">
        <f t="shared" si="23"/>
        <v>1.7517915401680622</v>
      </c>
      <c r="W112" s="1">
        <f t="shared" si="26"/>
        <v>6.8923726665738566E-2</v>
      </c>
      <c r="X112" s="1">
        <f t="shared" si="27"/>
        <v>0.2625332867766268</v>
      </c>
      <c r="Y112" s="39">
        <f t="shared" si="24"/>
        <v>83.203624881219994</v>
      </c>
      <c r="AB112">
        <v>107</v>
      </c>
      <c r="AC112" s="7">
        <v>0.54542256089096419</v>
      </c>
      <c r="AD112">
        <v>1.0633391353303885</v>
      </c>
      <c r="AE112">
        <v>0.95558260101312797</v>
      </c>
      <c r="AF112" s="7">
        <v>4.5434071091459E-2</v>
      </c>
      <c r="AG112" s="10">
        <v>127.23526855495413</v>
      </c>
      <c r="AH112" s="1">
        <v>0.6243865532743561</v>
      </c>
      <c r="AI112" s="10">
        <v>44.146174275009116</v>
      </c>
      <c r="AJ112" s="32">
        <v>1800.5095904909597</v>
      </c>
      <c r="AK112">
        <v>320</v>
      </c>
      <c r="AL112" s="7">
        <v>0.37142535536686705</v>
      </c>
    </row>
    <row r="113" spans="1:38" x14ac:dyDescent="0.3">
      <c r="A113">
        <v>79337</v>
      </c>
      <c r="B113">
        <v>27</v>
      </c>
      <c r="C113">
        <v>8</v>
      </c>
      <c r="D113">
        <v>1982</v>
      </c>
      <c r="E113">
        <v>27</v>
      </c>
      <c r="F113">
        <v>5</v>
      </c>
      <c r="G113">
        <v>1984</v>
      </c>
      <c r="H113">
        <v>88</v>
      </c>
      <c r="I113" s="32">
        <f t="shared" si="15"/>
        <v>16.761663039293719</v>
      </c>
      <c r="J113" s="1">
        <v>1.75068493150685</v>
      </c>
      <c r="K113" s="32">
        <f t="shared" si="16"/>
        <v>17.039786137043553</v>
      </c>
      <c r="L113" s="32">
        <f t="shared" si="17"/>
        <v>90.628364036088968</v>
      </c>
      <c r="M113" s="1">
        <f t="shared" si="18"/>
        <v>0.15174732524030279</v>
      </c>
      <c r="N113">
        <v>1.0310873221897054</v>
      </c>
      <c r="O113" s="32">
        <f t="shared" si="25"/>
        <v>17.441443718965818</v>
      </c>
      <c r="P113" s="32">
        <f t="shared" si="19"/>
        <v>94.49243346942886</v>
      </c>
      <c r="Q113">
        <v>6</v>
      </c>
      <c r="R113">
        <v>94</v>
      </c>
      <c r="S113" s="32">
        <f t="shared" si="20"/>
        <v>9.6084967093666851</v>
      </c>
      <c r="T113" s="1">
        <f t="shared" si="21"/>
        <v>9.8924497815515888</v>
      </c>
      <c r="U113" s="1">
        <f t="shared" si="22"/>
        <v>9.7165365915586488</v>
      </c>
      <c r="V113" s="1">
        <f t="shared" si="23"/>
        <v>1.6766200737109518</v>
      </c>
      <c r="W113" s="1">
        <f t="shared" si="26"/>
        <v>3.0945450413492219E-2</v>
      </c>
      <c r="X113" s="1">
        <f t="shared" si="27"/>
        <v>0.17591318999294003</v>
      </c>
      <c r="Y113" s="39">
        <f t="shared" si="24"/>
        <v>90.432548649795393</v>
      </c>
      <c r="AB113">
        <v>108</v>
      </c>
      <c r="AC113" s="7">
        <v>0.48053514096208205</v>
      </c>
      <c r="AD113">
        <v>0.97904233686916309</v>
      </c>
      <c r="AE113">
        <v>0.94691926865794451</v>
      </c>
      <c r="AF113" s="7">
        <v>5.4541438999234242E-2</v>
      </c>
      <c r="AG113" s="10">
        <v>117.10158322163069</v>
      </c>
      <c r="AH113" s="1">
        <v>0.52354497869732497</v>
      </c>
      <c r="AI113" s="10">
        <v>23.637429587129194</v>
      </c>
      <c r="AJ113" s="32">
        <v>1776.9283915685573</v>
      </c>
      <c r="AK113">
        <v>320</v>
      </c>
      <c r="AL113" s="7">
        <v>0.27178478150878638</v>
      </c>
    </row>
    <row r="114" spans="1:38" x14ac:dyDescent="0.3">
      <c r="A114">
        <v>77144</v>
      </c>
      <c r="B114">
        <v>2</v>
      </c>
      <c r="C114">
        <v>8</v>
      </c>
      <c r="D114">
        <v>1982</v>
      </c>
      <c r="E114">
        <v>24</v>
      </c>
      <c r="F114">
        <v>4</v>
      </c>
      <c r="G114">
        <v>1985</v>
      </c>
      <c r="H114">
        <v>60</v>
      </c>
      <c r="I114" s="32">
        <f t="shared" si="15"/>
        <v>13.491933384829668</v>
      </c>
      <c r="J114" s="1">
        <v>2.7287671232876698</v>
      </c>
      <c r="K114" s="32">
        <f t="shared" si="16"/>
        <v>14.341974556228596</v>
      </c>
      <c r="L114" s="32">
        <f t="shared" si="17"/>
        <v>66.765033099105707</v>
      </c>
      <c r="M114" s="1">
        <f t="shared" si="18"/>
        <v>0.22538498172793989</v>
      </c>
      <c r="N114">
        <v>1.0473650036146864</v>
      </c>
      <c r="O114" s="32">
        <f t="shared" si="25"/>
        <v>14.839208244914177</v>
      </c>
      <c r="P114" s="32">
        <f t="shared" si="19"/>
        <v>70.889733578896383</v>
      </c>
      <c r="Q114">
        <v>38</v>
      </c>
      <c r="R114">
        <v>98</v>
      </c>
      <c r="S114" s="32">
        <f t="shared" si="20"/>
        <v>8.1826710278683468</v>
      </c>
      <c r="T114" s="1">
        <f t="shared" si="21"/>
        <v>8.7830529441761254</v>
      </c>
      <c r="U114" s="1">
        <f t="shared" si="22"/>
        <v>8.559025352278006</v>
      </c>
      <c r="V114" s="1">
        <f t="shared" si="23"/>
        <v>2.4726390992673903</v>
      </c>
      <c r="W114" s="1">
        <f t="shared" si="26"/>
        <v>5.0188361931670325E-2</v>
      </c>
      <c r="X114" s="1">
        <f t="shared" si="27"/>
        <v>0.22402759189811938</v>
      </c>
      <c r="Y114" s="39">
        <f t="shared" si="24"/>
        <v>66.678700313931131</v>
      </c>
      <c r="AB114">
        <v>109</v>
      </c>
      <c r="AC114" s="7">
        <v>0.37186871382508713</v>
      </c>
      <c r="AD114">
        <v>0.64943869472309224</v>
      </c>
      <c r="AE114">
        <v>0.95080783744337649</v>
      </c>
      <c r="AF114" s="7">
        <v>5.0443300531147997E-2</v>
      </c>
      <c r="AG114" s="10">
        <v>118.79039997716013</v>
      </c>
      <c r="AH114" s="1">
        <v>0.29069809467154323</v>
      </c>
      <c r="AI114" s="10">
        <v>10.874819915788311</v>
      </c>
      <c r="AJ114" s="32">
        <v>1835.1395949653356</v>
      </c>
      <c r="AK114">
        <v>320</v>
      </c>
      <c r="AL114" s="7">
        <v>0.18434698868394481</v>
      </c>
    </row>
    <row r="115" spans="1:38" x14ac:dyDescent="0.3">
      <c r="A115">
        <v>79505</v>
      </c>
      <c r="B115">
        <v>5</v>
      </c>
      <c r="C115">
        <v>9</v>
      </c>
      <c r="D115">
        <v>1982</v>
      </c>
      <c r="E115">
        <v>23</v>
      </c>
      <c r="F115">
        <v>8</v>
      </c>
      <c r="G115">
        <v>1987</v>
      </c>
      <c r="H115">
        <v>77</v>
      </c>
      <c r="I115" s="32">
        <f t="shared" si="15"/>
        <v>15.549928774784245</v>
      </c>
      <c r="J115" s="1">
        <v>4.9671232876712299</v>
      </c>
      <c r="K115" s="32">
        <f t="shared" si="16"/>
        <v>16.550808055367092</v>
      </c>
      <c r="L115" s="32">
        <f t="shared" si="17"/>
        <v>86.033119876768154</v>
      </c>
      <c r="M115" s="1">
        <f t="shared" si="18"/>
        <v>0.36852949443596639</v>
      </c>
      <c r="N115">
        <v>1.5588921087328345</v>
      </c>
      <c r="O115" s="32">
        <f t="shared" si="25"/>
        <v>17.497158922277563</v>
      </c>
      <c r="P115" s="32">
        <f t="shared" si="19"/>
        <v>95.034801510136901</v>
      </c>
      <c r="Q115">
        <v>16</v>
      </c>
      <c r="R115">
        <v>93</v>
      </c>
      <c r="S115" s="32">
        <f t="shared" si="20"/>
        <v>9.0922615112669138</v>
      </c>
      <c r="T115" s="1">
        <f t="shared" si="21"/>
        <v>9.9155510290566085</v>
      </c>
      <c r="U115" s="1">
        <f t="shared" si="22"/>
        <v>9.5033407405087118</v>
      </c>
      <c r="V115" s="1">
        <f t="shared" si="23"/>
        <v>3.9821090056715538</v>
      </c>
      <c r="W115" s="1">
        <f t="shared" si="26"/>
        <v>0.16991732198474022</v>
      </c>
      <c r="X115" s="1">
        <f t="shared" si="27"/>
        <v>0.41221028854789665</v>
      </c>
      <c r="Y115" s="39">
        <f t="shared" si="24"/>
        <v>85.676323695416983</v>
      </c>
      <c r="AB115">
        <v>110</v>
      </c>
      <c r="AC115" s="7">
        <v>0.33069113150983737</v>
      </c>
      <c r="AD115">
        <v>0.74966643782305997</v>
      </c>
      <c r="AE115">
        <v>0.93366252746177802</v>
      </c>
      <c r="AF115" s="7">
        <v>6.8640225679031969E-2</v>
      </c>
      <c r="AG115" s="10">
        <v>110.33730097482712</v>
      </c>
      <c r="AH115" s="1">
        <v>0.31424551511687882</v>
      </c>
      <c r="AI115" s="10">
        <v>6.3928165009027218</v>
      </c>
      <c r="AJ115" s="32">
        <v>1772.7806062224849</v>
      </c>
      <c r="AK115">
        <v>320</v>
      </c>
      <c r="AL115" s="7">
        <v>0.14134196675199126</v>
      </c>
    </row>
    <row r="116" spans="1:38" x14ac:dyDescent="0.3">
      <c r="A116">
        <v>79528</v>
      </c>
      <c r="B116">
        <v>5</v>
      </c>
      <c r="C116">
        <v>9</v>
      </c>
      <c r="D116">
        <v>1982</v>
      </c>
      <c r="E116">
        <v>12</v>
      </c>
      <c r="F116">
        <v>6</v>
      </c>
      <c r="G116">
        <v>1985</v>
      </c>
      <c r="H116">
        <v>76</v>
      </c>
      <c r="I116" s="32">
        <f t="shared" si="15"/>
        <v>15.435595774162696</v>
      </c>
      <c r="J116" s="1">
        <v>2.7698630136986302</v>
      </c>
      <c r="K116" s="32">
        <f t="shared" si="16"/>
        <v>16.04012445228242</v>
      </c>
      <c r="L116" s="32">
        <f t="shared" si="17"/>
        <v>81.361522563459516</v>
      </c>
      <c r="M116" s="1">
        <f t="shared" si="18"/>
        <v>0.22832018067864554</v>
      </c>
      <c r="N116">
        <v>1.2920031622343231</v>
      </c>
      <c r="O116" s="32">
        <f t="shared" si="25"/>
        <v>16.657480527603287</v>
      </c>
      <c r="P116" s="32">
        <f t="shared" si="19"/>
        <v>87.02539490947396</v>
      </c>
      <c r="Q116">
        <v>16</v>
      </c>
      <c r="R116">
        <v>92</v>
      </c>
      <c r="S116" s="32">
        <f t="shared" si="20"/>
        <v>9.0428509961318699</v>
      </c>
      <c r="T116" s="1">
        <f t="shared" si="21"/>
        <v>9.5646290801235754</v>
      </c>
      <c r="U116" s="1">
        <f t="shared" si="22"/>
        <v>9.2943523004544151</v>
      </c>
      <c r="V116" s="1">
        <f t="shared" si="23"/>
        <v>2.5041097642436214</v>
      </c>
      <c r="W116" s="1">
        <f t="shared" si="26"/>
        <v>7.3049537628331829E-2</v>
      </c>
      <c r="X116" s="1">
        <f t="shared" si="27"/>
        <v>0.27027677966916031</v>
      </c>
      <c r="Y116" s="39">
        <f t="shared" si="24"/>
        <v>81.185121576709633</v>
      </c>
      <c r="AB116">
        <v>111</v>
      </c>
      <c r="AC116" s="7">
        <v>0.6253725863688947</v>
      </c>
      <c r="AD116">
        <v>1.3891964790225793</v>
      </c>
      <c r="AE116">
        <v>0.95586895397972749</v>
      </c>
      <c r="AF116" s="7">
        <v>4.5134452753768227E-2</v>
      </c>
      <c r="AG116" s="10">
        <v>127.00753725824408</v>
      </c>
      <c r="AH116" s="1">
        <v>0.91289644108118484</v>
      </c>
      <c r="AI116" s="10">
        <v>91.335210664285555</v>
      </c>
      <c r="AJ116" s="32">
        <v>1808.2641711275105</v>
      </c>
      <c r="AK116">
        <v>320</v>
      </c>
      <c r="AL116" s="7">
        <v>0.53424950475025468</v>
      </c>
    </row>
    <row r="117" spans="1:38" x14ac:dyDescent="0.3">
      <c r="A117">
        <v>20551</v>
      </c>
      <c r="B117">
        <v>18</v>
      </c>
      <c r="C117">
        <v>1</v>
      </c>
      <c r="D117">
        <v>1982</v>
      </c>
      <c r="E117">
        <v>14</v>
      </c>
      <c r="F117">
        <v>5</v>
      </c>
      <c r="G117">
        <v>1982</v>
      </c>
      <c r="H117">
        <v>91</v>
      </c>
      <c r="I117" s="32">
        <f t="shared" si="15"/>
        <v>17.078784028338912</v>
      </c>
      <c r="J117" s="1">
        <v>0.317808219178082</v>
      </c>
      <c r="K117" s="32">
        <f t="shared" si="16"/>
        <v>17.126017991048656</v>
      </c>
      <c r="L117" s="32">
        <f t="shared" si="17"/>
        <v>91.451141048479215</v>
      </c>
      <c r="M117" s="1">
        <f t="shared" si="18"/>
        <v>2.9609646362153682E-2</v>
      </c>
      <c r="N117">
        <v>-0.60297452364466153</v>
      </c>
      <c r="O117" s="32">
        <f t="shared" si="25"/>
        <v>17.02226142893236</v>
      </c>
      <c r="P117" s="32">
        <f t="shared" si="19"/>
        <v>90.461607467661949</v>
      </c>
      <c r="Q117">
        <v>2</v>
      </c>
      <c r="R117">
        <v>93</v>
      </c>
      <c r="S117" s="32">
        <f t="shared" si="20"/>
        <v>9.7414489609310717</v>
      </c>
      <c r="T117" s="1">
        <f t="shared" si="21"/>
        <v>9.7178149672319556</v>
      </c>
      <c r="U117" s="1">
        <f t="shared" si="22"/>
        <v>9.7594250031007963</v>
      </c>
      <c r="V117" s="1">
        <f t="shared" si="23"/>
        <v>0.33072973201146616</v>
      </c>
      <c r="W117" s="1">
        <f t="shared" si="26"/>
        <v>1.7313950850062106E-3</v>
      </c>
      <c r="X117" s="1">
        <f t="shared" si="27"/>
        <v>-4.1610035868840711E-2</v>
      </c>
      <c r="Y117" s="39">
        <f t="shared" si="24"/>
        <v>91.410986712733802</v>
      </c>
      <c r="AB117">
        <v>112</v>
      </c>
      <c r="AC117" s="7">
        <v>0.53959353148104916</v>
      </c>
      <c r="AD117">
        <v>1.4007504102797743</v>
      </c>
      <c r="AE117">
        <v>0.93593721596994295</v>
      </c>
      <c r="AF117" s="7">
        <v>6.6206881709493723E-2</v>
      </c>
      <c r="AG117" s="10">
        <v>112.67571041383547</v>
      </c>
      <c r="AH117" s="1">
        <v>0.81989864463644901</v>
      </c>
      <c r="AI117" s="10">
        <v>45.137856394458773</v>
      </c>
      <c r="AJ117" s="32">
        <v>1812.6941350764316</v>
      </c>
      <c r="AK117">
        <v>320</v>
      </c>
      <c r="AL117" s="7">
        <v>0.37557396239979635</v>
      </c>
    </row>
    <row r="118" spans="1:38" x14ac:dyDescent="0.3">
      <c r="A118">
        <v>78696</v>
      </c>
      <c r="B118">
        <v>24</v>
      </c>
      <c r="C118">
        <v>7</v>
      </c>
      <c r="D118">
        <v>1982</v>
      </c>
      <c r="E118">
        <v>2</v>
      </c>
      <c r="F118">
        <v>5</v>
      </c>
      <c r="G118">
        <v>1990</v>
      </c>
      <c r="H118">
        <v>77</v>
      </c>
      <c r="I118" s="32">
        <f t="shared" si="15"/>
        <v>15.549928774784245</v>
      </c>
      <c r="J118" s="1">
        <v>7.7780821917808201</v>
      </c>
      <c r="K118" s="32">
        <f t="shared" si="16"/>
        <v>17.013934477584808</v>
      </c>
      <c r="L118" s="32">
        <f t="shared" si="17"/>
        <v>90.382426079472069</v>
      </c>
      <c r="M118" s="1">
        <f t="shared" si="18"/>
        <v>0.50745099181348496</v>
      </c>
      <c r="N118">
        <v>-1.2872578736278228</v>
      </c>
      <c r="O118" s="32">
        <f t="shared" si="25"/>
        <v>16.096948679066976</v>
      </c>
      <c r="P118" s="32">
        <f t="shared" si="19"/>
        <v>81.874887873195988</v>
      </c>
      <c r="Q118">
        <v>15</v>
      </c>
      <c r="R118">
        <v>92</v>
      </c>
      <c r="S118" s="32">
        <f t="shared" si="20"/>
        <v>9.0922615112669138</v>
      </c>
      <c r="T118" s="1">
        <f t="shared" si="21"/>
        <v>9.3269616221079943</v>
      </c>
      <c r="U118" s="1">
        <f t="shared" si="22"/>
        <v>9.6876908188321114</v>
      </c>
      <c r="V118" s="1">
        <f t="shared" si="23"/>
        <v>5.390382036942909</v>
      </c>
      <c r="W118" s="1">
        <f t="shared" si="26"/>
        <v>0.13012555336922677</v>
      </c>
      <c r="X118" s="1">
        <f t="shared" si="27"/>
        <v>-0.36072919672411707</v>
      </c>
      <c r="Y118" s="39">
        <f t="shared" si="24"/>
        <v>89.77857350881348</v>
      </c>
      <c r="AB118">
        <v>113</v>
      </c>
      <c r="AC118" s="7">
        <v>9.2566760246897223E-2</v>
      </c>
      <c r="AD118">
        <v>0.30054718679753323</v>
      </c>
      <c r="AE118">
        <v>0.95103340683530102</v>
      </c>
      <c r="AF118" s="7">
        <v>5.0206088940894782E-2</v>
      </c>
      <c r="AG118" s="10">
        <v>129.06066499823112</v>
      </c>
      <c r="AH118" s="1">
        <v>7.6787272547865673E-2</v>
      </c>
      <c r="AI118" s="10">
        <v>0.78135178464406907</v>
      </c>
      <c r="AJ118" s="32">
        <v>1782.5614838624601</v>
      </c>
      <c r="AK118">
        <v>320</v>
      </c>
      <c r="AL118" s="7">
        <v>4.9413807048361652E-2</v>
      </c>
    </row>
    <row r="119" spans="1:38" x14ac:dyDescent="0.3">
      <c r="A119">
        <v>22638</v>
      </c>
      <c r="B119">
        <v>26</v>
      </c>
      <c r="C119">
        <v>7</v>
      </c>
      <c r="D119">
        <v>1982</v>
      </c>
      <c r="E119">
        <v>25</v>
      </c>
      <c r="F119">
        <v>5</v>
      </c>
      <c r="G119">
        <v>1984</v>
      </c>
      <c r="H119">
        <v>52</v>
      </c>
      <c r="I119" s="32">
        <f t="shared" si="15"/>
        <v>12.422205101855956</v>
      </c>
      <c r="J119" s="1">
        <v>1.8328767123287699</v>
      </c>
      <c r="K119" s="32">
        <f t="shared" si="16"/>
        <v>13.102162463229707</v>
      </c>
      <c r="L119" s="32">
        <f t="shared" si="17"/>
        <v>57.018827766446094</v>
      </c>
      <c r="M119" s="1">
        <f t="shared" si="18"/>
        <v>0.15822366054401177</v>
      </c>
      <c r="N119">
        <v>-0.90830098997685127</v>
      </c>
      <c r="O119" s="32">
        <f t="shared" si="25"/>
        <v>12.740864509865085</v>
      </c>
      <c r="P119" s="32">
        <f t="shared" si="19"/>
        <v>54.32327162455001</v>
      </c>
      <c r="Q119">
        <v>16</v>
      </c>
      <c r="R119">
        <v>68</v>
      </c>
      <c r="S119" s="32">
        <f t="shared" si="20"/>
        <v>7.6914449855283769</v>
      </c>
      <c r="T119" s="1">
        <f t="shared" si="21"/>
        <v>7.8392066465468666</v>
      </c>
      <c r="U119" s="1">
        <f t="shared" si="22"/>
        <v>8.0013767700715803</v>
      </c>
      <c r="V119" s="1">
        <f t="shared" si="23"/>
        <v>1.7471161450283001</v>
      </c>
      <c r="W119" s="1">
        <f t="shared" si="26"/>
        <v>2.6299148964020906E-2</v>
      </c>
      <c r="X119" s="1">
        <f t="shared" si="27"/>
        <v>-0.16217012352471372</v>
      </c>
      <c r="Y119" s="39">
        <f t="shared" si="24"/>
        <v>56.954867422740598</v>
      </c>
      <c r="AB119">
        <v>114</v>
      </c>
      <c r="AC119" s="7">
        <v>0.44698013220542915</v>
      </c>
      <c r="AD119">
        <v>0.77581835670278987</v>
      </c>
      <c r="AE119">
        <v>0.95569269267317558</v>
      </c>
      <c r="AF119" s="7">
        <v>4.5318868785927148E-2</v>
      </c>
      <c r="AG119" s="10">
        <v>130.60584329030829</v>
      </c>
      <c r="AH119" s="1">
        <v>0.39108269897323622</v>
      </c>
      <c r="AI119" s="10">
        <v>18.660039865663926</v>
      </c>
      <c r="AJ119" s="32">
        <v>1802.9287641365136</v>
      </c>
      <c r="AK119">
        <v>320</v>
      </c>
      <c r="AL119" s="7">
        <v>0.24148007077230985</v>
      </c>
    </row>
    <row r="120" spans="1:38" x14ac:dyDescent="0.3">
      <c r="A120">
        <v>78827</v>
      </c>
      <c r="B120">
        <v>26</v>
      </c>
      <c r="C120">
        <v>7</v>
      </c>
      <c r="D120">
        <v>1982</v>
      </c>
      <c r="E120">
        <v>29</v>
      </c>
      <c r="F120">
        <v>4</v>
      </c>
      <c r="G120">
        <v>1984</v>
      </c>
      <c r="H120">
        <v>100</v>
      </c>
      <c r="I120" s="32">
        <f t="shared" si="15"/>
        <v>18</v>
      </c>
      <c r="J120" s="1">
        <v>1.7616438356164399</v>
      </c>
      <c r="K120" s="32">
        <f t="shared" si="16"/>
        <v>18.172796484072606</v>
      </c>
      <c r="L120" s="32">
        <f t="shared" si="17"/>
        <v>101.73542949695302</v>
      </c>
      <c r="M120" s="1">
        <f t="shared" si="18"/>
        <v>0.15261399493444028</v>
      </c>
      <c r="N120">
        <v>0.2838669388438575</v>
      </c>
      <c r="O120" s="32">
        <f t="shared" si="25"/>
        <v>18.283691491645381</v>
      </c>
      <c r="P120" s="32">
        <f t="shared" si="19"/>
        <v>102.85703513206181</v>
      </c>
      <c r="Q120">
        <v>8</v>
      </c>
      <c r="R120">
        <v>108</v>
      </c>
      <c r="S120" s="32">
        <f t="shared" si="20"/>
        <v>10.12290185843711</v>
      </c>
      <c r="T120" s="1">
        <f t="shared" si="21"/>
        <v>10.238994357534377</v>
      </c>
      <c r="U120" s="1">
        <f t="shared" si="22"/>
        <v>10.180648058001522</v>
      </c>
      <c r="V120" s="1">
        <f t="shared" si="23"/>
        <v>1.6860592270796613</v>
      </c>
      <c r="W120" s="1">
        <f t="shared" si="26"/>
        <v>3.4042906691777101E-3</v>
      </c>
      <c r="X120" s="1">
        <f t="shared" si="27"/>
        <v>5.8346299532855639E-2</v>
      </c>
      <c r="Y120" s="39">
        <f t="shared" si="24"/>
        <v>101.41415761341777</v>
      </c>
      <c r="AB120">
        <v>115</v>
      </c>
      <c r="AC120" s="7">
        <v>0.35343466632231202</v>
      </c>
      <c r="AD120">
        <v>0.57164306966849787</v>
      </c>
      <c r="AE120">
        <v>0.95630148692757233</v>
      </c>
      <c r="AF120" s="7">
        <v>4.4682052752211182E-2</v>
      </c>
      <c r="AG120" s="10">
        <v>132.44753963131637</v>
      </c>
      <c r="AH120" s="1">
        <v>0.24573699065617538</v>
      </c>
      <c r="AI120" s="10">
        <v>7.7089969251643815</v>
      </c>
      <c r="AJ120" s="32">
        <v>1783.7576405816026</v>
      </c>
      <c r="AK120">
        <v>320</v>
      </c>
      <c r="AL120" s="7">
        <v>0.155211518229604</v>
      </c>
    </row>
    <row r="121" spans="1:38" x14ac:dyDescent="0.3">
      <c r="A121">
        <v>79288</v>
      </c>
      <c r="B121">
        <v>18</v>
      </c>
      <c r="C121">
        <v>8</v>
      </c>
      <c r="D121">
        <v>1982</v>
      </c>
      <c r="E121">
        <v>3</v>
      </c>
      <c r="F121">
        <v>8</v>
      </c>
      <c r="G121">
        <v>1986</v>
      </c>
      <c r="H121">
        <v>98</v>
      </c>
      <c r="I121" s="32">
        <f t="shared" si="15"/>
        <v>17.798989873223331</v>
      </c>
      <c r="J121" s="1">
        <v>3.9616438356164401</v>
      </c>
      <c r="K121" s="32">
        <f t="shared" si="16"/>
        <v>18.203732968608389</v>
      </c>
      <c r="L121" s="32">
        <f t="shared" si="17"/>
        <v>102.04770646670838</v>
      </c>
      <c r="M121" s="1">
        <f t="shared" si="18"/>
        <v>0.30827444382553287</v>
      </c>
      <c r="N121">
        <v>0.55377995522576384</v>
      </c>
      <c r="O121" s="32">
        <f t="shared" si="25"/>
        <v>18.511205266313137</v>
      </c>
      <c r="P121" s="32">
        <f t="shared" si="19"/>
        <v>105.17738536920794</v>
      </c>
      <c r="Q121">
        <v>19</v>
      </c>
      <c r="R121">
        <v>117</v>
      </c>
      <c r="S121" s="32">
        <f t="shared" si="20"/>
        <v>10.040258370296028</v>
      </c>
      <c r="T121" s="1">
        <f t="shared" si="21"/>
        <v>10.331644518162571</v>
      </c>
      <c r="U121" s="1">
        <f t="shared" si="22"/>
        <v>10.179432382649798</v>
      </c>
      <c r="V121" s="1">
        <f t="shared" si="23"/>
        <v>3.3532353713313663</v>
      </c>
      <c r="W121" s="1">
        <f t="shared" si="26"/>
        <v>2.3168534197358776E-2</v>
      </c>
      <c r="X121" s="1">
        <f t="shared" si="27"/>
        <v>0.15221213551277302</v>
      </c>
      <c r="Y121" s="39">
        <f t="shared" si="24"/>
        <v>101.38424469166137</v>
      </c>
      <c r="AB121">
        <v>116</v>
      </c>
      <c r="AC121" s="7">
        <v>0.49257906601295232</v>
      </c>
      <c r="AD121">
        <v>0.93862479767916174</v>
      </c>
      <c r="AE121">
        <v>0.9530719367713667</v>
      </c>
      <c r="AF121" s="7">
        <v>4.8064893631769044E-2</v>
      </c>
      <c r="AG121" s="10">
        <v>126.5437245564584</v>
      </c>
      <c r="AH121" s="1">
        <v>0.50927498940603111</v>
      </c>
      <c r="AI121" s="10">
        <v>24.87590247342505</v>
      </c>
      <c r="AJ121" s="32">
        <v>1764.8843191581614</v>
      </c>
      <c r="AK121">
        <v>320</v>
      </c>
      <c r="AL121" s="7">
        <v>0.27881390788383081</v>
      </c>
    </row>
    <row r="122" spans="1:38" x14ac:dyDescent="0.3">
      <c r="A122">
        <v>79115</v>
      </c>
      <c r="B122">
        <v>9</v>
      </c>
      <c r="C122">
        <v>8</v>
      </c>
      <c r="D122">
        <v>1982</v>
      </c>
      <c r="E122">
        <v>28</v>
      </c>
      <c r="F122">
        <v>4</v>
      </c>
      <c r="G122">
        <v>1984</v>
      </c>
      <c r="H122">
        <v>64</v>
      </c>
      <c r="I122" s="32">
        <f t="shared" si="15"/>
        <v>14</v>
      </c>
      <c r="J122" s="1">
        <v>1.7205479452054799</v>
      </c>
      <c r="K122" s="32">
        <f t="shared" si="16"/>
        <v>14.506822339190865</v>
      </c>
      <c r="L122" s="32">
        <f t="shared" si="17"/>
        <v>68.118795934402641</v>
      </c>
      <c r="M122" s="1">
        <f t="shared" si="18"/>
        <v>0.14935895350737208</v>
      </c>
      <c r="N122">
        <v>-4.7332378017017618E-2</v>
      </c>
      <c r="O122" s="32">
        <f t="shared" si="25"/>
        <v>14.488529801635011</v>
      </c>
      <c r="P122" s="32">
        <f t="shared" si="19"/>
        <v>67.967903754851477</v>
      </c>
      <c r="Q122">
        <v>17</v>
      </c>
      <c r="R122">
        <v>81</v>
      </c>
      <c r="S122" s="32">
        <f t="shared" si="20"/>
        <v>8.411364229409374</v>
      </c>
      <c r="T122" s="1">
        <f t="shared" si="21"/>
        <v>8.6286282815133681</v>
      </c>
      <c r="U122" s="1">
        <f t="shared" si="22"/>
        <v>8.6335482056121329</v>
      </c>
      <c r="V122" s="1">
        <f t="shared" si="23"/>
        <v>1.6505991730303726</v>
      </c>
      <c r="W122" s="1">
        <f t="shared" si="26"/>
        <v>2.4205653137606024E-5</v>
      </c>
      <c r="X122" s="1">
        <f t="shared" si="27"/>
        <v>-4.9199240987647386E-3</v>
      </c>
      <c r="Y122" s="39">
        <f t="shared" si="24"/>
        <v>68.05968059041183</v>
      </c>
      <c r="AB122">
        <v>117</v>
      </c>
      <c r="AC122" s="7">
        <v>0.87314114474166216</v>
      </c>
      <c r="AD122">
        <v>3.265348831718053</v>
      </c>
      <c r="AE122">
        <v>0.95602444512241302</v>
      </c>
      <c r="AF122" s="7">
        <v>4.4971796045918951E-2</v>
      </c>
      <c r="AG122" s="10">
        <v>120.9631614134679</v>
      </c>
      <c r="AH122" s="1">
        <v>2.895085971784737</v>
      </c>
      <c r="AI122" s="10">
        <v>720.89928964896023</v>
      </c>
      <c r="AJ122" s="32">
        <v>1771.0104468502207</v>
      </c>
      <c r="AK122">
        <v>320</v>
      </c>
      <c r="AL122" s="7">
        <v>1.5009364677270656</v>
      </c>
    </row>
    <row r="123" spans="1:38" x14ac:dyDescent="0.3">
      <c r="A123">
        <v>77040</v>
      </c>
      <c r="B123">
        <v>1</v>
      </c>
      <c r="C123">
        <v>8</v>
      </c>
      <c r="D123">
        <v>1982</v>
      </c>
      <c r="E123">
        <v>9</v>
      </c>
      <c r="F123">
        <v>6</v>
      </c>
      <c r="G123">
        <v>1985</v>
      </c>
      <c r="H123">
        <v>77</v>
      </c>
      <c r="I123" s="32">
        <f t="shared" si="15"/>
        <v>15.549928774784245</v>
      </c>
      <c r="J123" s="1">
        <v>2.8575342465753399</v>
      </c>
      <c r="K123" s="32">
        <f t="shared" si="16"/>
        <v>16.156637031487023</v>
      </c>
      <c r="L123" s="32">
        <f t="shared" si="17"/>
        <v>82.415867073291466</v>
      </c>
      <c r="M123" s="1">
        <f t="shared" si="18"/>
        <v>0.23454073286128943</v>
      </c>
      <c r="N123">
        <v>0.77175400292617269</v>
      </c>
      <c r="O123" s="32">
        <f t="shared" si="25"/>
        <v>16.530392907945267</v>
      </c>
      <c r="P123" s="32">
        <f t="shared" si="19"/>
        <v>85.843865330707061</v>
      </c>
      <c r="Q123">
        <v>3</v>
      </c>
      <c r="R123">
        <v>80</v>
      </c>
      <c r="S123" s="32">
        <f t="shared" si="20"/>
        <v>9.0922615112669138</v>
      </c>
      <c r="T123" s="1">
        <f t="shared" si="21"/>
        <v>9.5109883908077659</v>
      </c>
      <c r="U123" s="1">
        <f t="shared" si="22"/>
        <v>9.3433810860040367</v>
      </c>
      <c r="V123" s="1">
        <f t="shared" si="23"/>
        <v>2.5707376667724779</v>
      </c>
      <c r="W123" s="1">
        <f t="shared" si="26"/>
        <v>2.8092208623570189E-2</v>
      </c>
      <c r="X123" s="1">
        <f t="shared" si="27"/>
        <v>0.16760730480372921</v>
      </c>
      <c r="Y123" s="39">
        <f t="shared" si="24"/>
        <v>82.223732807960161</v>
      </c>
      <c r="AB123">
        <v>118</v>
      </c>
      <c r="AC123" s="7">
        <v>0.16101066787069362</v>
      </c>
      <c r="AD123">
        <v>0.4528285224199427</v>
      </c>
      <c r="AE123">
        <v>0.9361334203431374</v>
      </c>
      <c r="AF123" s="7">
        <v>6.599726956120508E-2</v>
      </c>
      <c r="AG123" s="10">
        <v>113.27708930601338</v>
      </c>
      <c r="AH123" s="1">
        <v>0.13677680248259694</v>
      </c>
      <c r="AI123" s="10">
        <v>1.5358176379782569</v>
      </c>
      <c r="AJ123" s="32">
        <v>1795.9631389939127</v>
      </c>
      <c r="AK123">
        <v>320</v>
      </c>
      <c r="AL123" s="7">
        <v>6.9277919416521547E-2</v>
      </c>
    </row>
    <row r="124" spans="1:38" x14ac:dyDescent="0.3">
      <c r="A124">
        <v>78855</v>
      </c>
      <c r="B124">
        <v>27</v>
      </c>
      <c r="C124">
        <v>7</v>
      </c>
      <c r="D124">
        <v>1982</v>
      </c>
      <c r="E124">
        <v>2</v>
      </c>
      <c r="F124">
        <v>5</v>
      </c>
      <c r="G124">
        <v>1984</v>
      </c>
      <c r="H124">
        <v>87</v>
      </c>
      <c r="I124" s="32">
        <f t="shared" si="15"/>
        <v>16.654758106177631</v>
      </c>
      <c r="J124" s="1">
        <v>1.7671232876712299</v>
      </c>
      <c r="K124" s="32">
        <f t="shared" si="16"/>
        <v>16.944639982560599</v>
      </c>
      <c r="L124" s="32">
        <f t="shared" si="17"/>
        <v>89.724846017208407</v>
      </c>
      <c r="M124" s="1">
        <f t="shared" si="18"/>
        <v>0.15304696454023575</v>
      </c>
      <c r="N124">
        <v>-1.1841962077596691</v>
      </c>
      <c r="O124" s="32">
        <f t="shared" si="25"/>
        <v>16.481368010506102</v>
      </c>
      <c r="P124" s="32">
        <f t="shared" si="19"/>
        <v>85.390240884939573</v>
      </c>
      <c r="Q124">
        <v>18</v>
      </c>
      <c r="R124">
        <v>105</v>
      </c>
      <c r="S124" s="32">
        <f t="shared" si="20"/>
        <v>9.5634814945558748</v>
      </c>
      <c r="T124" s="1">
        <f t="shared" si="21"/>
        <v>9.4902581209612933</v>
      </c>
      <c r="U124" s="1">
        <f t="shared" si="22"/>
        <v>9.6769541815068525</v>
      </c>
      <c r="V124" s="1">
        <f t="shared" si="23"/>
        <v>1.690774213742849</v>
      </c>
      <c r="W124" s="1">
        <f t="shared" si="26"/>
        <v>3.485541902323111E-2</v>
      </c>
      <c r="X124" s="1">
        <f t="shared" si="27"/>
        <v>-0.18669606054555921</v>
      </c>
      <c r="Y124" s="39">
        <f t="shared" si="24"/>
        <v>89.535998341932029</v>
      </c>
      <c r="AB124">
        <v>119</v>
      </c>
      <c r="AC124" s="7">
        <v>0.75647262893162981</v>
      </c>
      <c r="AD124">
        <v>1.9189449487785253</v>
      </c>
      <c r="AE124">
        <v>0.96191704023103186</v>
      </c>
      <c r="AF124" s="7">
        <v>3.8827068801113411E-2</v>
      </c>
      <c r="AG124" s="10">
        <v>127.34907651772899</v>
      </c>
      <c r="AH124" s="1">
        <v>1.4897122899465307</v>
      </c>
      <c r="AI124" s="10">
        <v>285.69476540961631</v>
      </c>
      <c r="AJ124" s="32">
        <v>1806.5027018403339</v>
      </c>
      <c r="AK124">
        <v>320</v>
      </c>
      <c r="AL124" s="7">
        <v>0.94487890330192625</v>
      </c>
    </row>
    <row r="125" spans="1:38" x14ac:dyDescent="0.3">
      <c r="A125">
        <v>79005</v>
      </c>
      <c r="B125">
        <v>31</v>
      </c>
      <c r="C125">
        <v>7</v>
      </c>
      <c r="D125">
        <v>1982</v>
      </c>
      <c r="E125">
        <v>4</v>
      </c>
      <c r="F125">
        <v>5</v>
      </c>
      <c r="G125">
        <v>1983</v>
      </c>
      <c r="H125">
        <v>87</v>
      </c>
      <c r="I125" s="32">
        <f t="shared" si="15"/>
        <v>16.654758106177631</v>
      </c>
      <c r="J125" s="1">
        <v>0.75890410958904098</v>
      </c>
      <c r="K125" s="32">
        <f t="shared" si="16"/>
        <v>16.78247537439492</v>
      </c>
      <c r="L125" s="32">
        <f t="shared" si="17"/>
        <v>88.195345297437896</v>
      </c>
      <c r="M125" s="1">
        <f t="shared" si="18"/>
        <v>6.9138414234779177E-2</v>
      </c>
      <c r="N125">
        <v>0.49574396143725608</v>
      </c>
      <c r="O125" s="32">
        <f t="shared" si="25"/>
        <v>16.912827206623678</v>
      </c>
      <c r="P125" s="32">
        <f t="shared" si="19"/>
        <v>89.423758236901207</v>
      </c>
      <c r="Q125">
        <v>1</v>
      </c>
      <c r="R125">
        <v>88</v>
      </c>
      <c r="S125" s="32">
        <f t="shared" si="20"/>
        <v>9.5634814945558748</v>
      </c>
      <c r="T125" s="1">
        <f t="shared" si="21"/>
        <v>9.6719794874593035</v>
      </c>
      <c r="U125" s="1">
        <f t="shared" si="22"/>
        <v>9.6136704694388708</v>
      </c>
      <c r="V125" s="1">
        <f t="shared" si="23"/>
        <v>0.76962093120164321</v>
      </c>
      <c r="W125" s="1">
        <f t="shared" si="26"/>
        <v>3.399941582507139E-3</v>
      </c>
      <c r="X125" s="1">
        <f t="shared" si="27"/>
        <v>5.8309018020432646E-2</v>
      </c>
      <c r="Y125" s="39">
        <f t="shared" si="24"/>
        <v>88.115441811941793</v>
      </c>
      <c r="AB125">
        <v>120</v>
      </c>
      <c r="AC125" s="7">
        <v>0.19647422724049043</v>
      </c>
      <c r="AD125">
        <v>0.40260321119659559</v>
      </c>
      <c r="AE125">
        <v>0.95000376481430271</v>
      </c>
      <c r="AF125" s="7">
        <v>5.1289331432979146E-2</v>
      </c>
      <c r="AG125" s="10">
        <v>124.98738064022055</v>
      </c>
      <c r="AH125" s="1">
        <v>0.12909738999008838</v>
      </c>
      <c r="AI125" s="10">
        <v>2.0488960053584724</v>
      </c>
      <c r="AJ125" s="32">
        <v>1797.166942178897</v>
      </c>
      <c r="AK125">
        <v>320</v>
      </c>
      <c r="AL125" s="7">
        <v>8.0017498190990868E-2</v>
      </c>
    </row>
    <row r="126" spans="1:38" x14ac:dyDescent="0.3">
      <c r="A126">
        <v>20654</v>
      </c>
      <c r="B126">
        <v>23</v>
      </c>
      <c r="C126">
        <v>1</v>
      </c>
      <c r="D126">
        <v>1982</v>
      </c>
      <c r="E126">
        <v>16</v>
      </c>
      <c r="F126">
        <v>6</v>
      </c>
      <c r="G126">
        <v>1982</v>
      </c>
      <c r="H126">
        <v>106</v>
      </c>
      <c r="I126" s="32">
        <f t="shared" si="15"/>
        <v>18.591260281974002</v>
      </c>
      <c r="J126" s="1">
        <v>0.39452054794520502</v>
      </c>
      <c r="K126" s="32">
        <f t="shared" si="16"/>
        <v>18.619481395291842</v>
      </c>
      <c r="L126" s="32">
        <f t="shared" si="17"/>
        <v>106.2907532526966</v>
      </c>
      <c r="M126" s="1">
        <f t="shared" si="18"/>
        <v>3.6613332143987619E-2</v>
      </c>
      <c r="N126">
        <v>1.0066628419735935</v>
      </c>
      <c r="O126" s="32">
        <f t="shared" si="25"/>
        <v>18.812102409797021</v>
      </c>
      <c r="P126" s="32">
        <f t="shared" si="19"/>
        <v>108.28590167896974</v>
      </c>
      <c r="Q126">
        <v>-1</v>
      </c>
      <c r="R126">
        <v>105</v>
      </c>
      <c r="S126" s="32">
        <f t="shared" si="20"/>
        <v>10.364150555258137</v>
      </c>
      <c r="T126" s="1">
        <f t="shared" si="21"/>
        <v>10.453570191418766</v>
      </c>
      <c r="U126" s="1">
        <f t="shared" si="22"/>
        <v>10.372042797380697</v>
      </c>
      <c r="V126" s="1">
        <f t="shared" si="23"/>
        <v>0.4087141490058156</v>
      </c>
      <c r="W126" s="1">
        <f t="shared" si="26"/>
        <v>6.6467159786385999E-3</v>
      </c>
      <c r="X126" s="1">
        <f t="shared" si="27"/>
        <v>8.152739403806919E-2</v>
      </c>
      <c r="Y126" s="39">
        <f t="shared" si="24"/>
        <v>106.20039614921718</v>
      </c>
      <c r="AB126">
        <v>121</v>
      </c>
      <c r="AC126" s="7">
        <v>0.77534381629519622</v>
      </c>
      <c r="AD126">
        <v>2.5530611950166082</v>
      </c>
      <c r="AE126">
        <v>0.94962596226738805</v>
      </c>
      <c r="AF126" s="7">
        <v>5.1687095846232753E-2</v>
      </c>
      <c r="AG126" s="10">
        <v>117.59471139597554</v>
      </c>
      <c r="AH126" s="1">
        <v>2.0298742479119634</v>
      </c>
      <c r="AI126" s="10">
        <v>356.59698585836531</v>
      </c>
      <c r="AJ126" s="32">
        <v>1817.2329286620682</v>
      </c>
      <c r="AK126">
        <v>320</v>
      </c>
      <c r="AL126" s="7">
        <v>1.0556351551589174</v>
      </c>
    </row>
    <row r="127" spans="1:38" x14ac:dyDescent="0.3">
      <c r="A127">
        <v>79192</v>
      </c>
      <c r="B127">
        <v>13</v>
      </c>
      <c r="C127">
        <v>8</v>
      </c>
      <c r="D127">
        <v>1982</v>
      </c>
      <c r="E127">
        <v>11</v>
      </c>
      <c r="F127">
        <v>6</v>
      </c>
      <c r="G127">
        <v>1986</v>
      </c>
      <c r="H127">
        <v>103</v>
      </c>
      <c r="I127" s="32">
        <f t="shared" si="15"/>
        <v>18.297783130184438</v>
      </c>
      <c r="J127" s="1">
        <v>3.8301369863013699</v>
      </c>
      <c r="K127" s="32">
        <f t="shared" si="16"/>
        <v>18.60140089183599</v>
      </c>
      <c r="L127" s="32">
        <f t="shared" si="17"/>
        <v>106.10442967653518</v>
      </c>
      <c r="M127" s="1">
        <f t="shared" si="18"/>
        <v>0.29992404220406188</v>
      </c>
      <c r="N127">
        <v>-0.26916268325294368</v>
      </c>
      <c r="O127" s="32">
        <f t="shared" si="25"/>
        <v>18.453993083411213</v>
      </c>
      <c r="P127" s="32">
        <f t="shared" si="19"/>
        <v>104.59145826405843</v>
      </c>
      <c r="Q127">
        <v>11</v>
      </c>
      <c r="R127">
        <v>114</v>
      </c>
      <c r="S127" s="32">
        <f t="shared" si="20"/>
        <v>10.244744518965586</v>
      </c>
      <c r="T127" s="1">
        <f t="shared" si="21"/>
        <v>10.308383648025966</v>
      </c>
      <c r="U127" s="1">
        <f t="shared" si="22"/>
        <v>10.338324832402003</v>
      </c>
      <c r="V127" s="1">
        <f t="shared" si="23"/>
        <v>3.2653101714762824</v>
      </c>
      <c r="W127" s="1">
        <f t="shared" si="26"/>
        <v>8.964745218398481E-4</v>
      </c>
      <c r="X127" s="1">
        <f t="shared" si="27"/>
        <v>-2.99411843760371E-2</v>
      </c>
      <c r="Y127" s="39">
        <f t="shared" si="24"/>
        <v>105.34607817042591</v>
      </c>
      <c r="AB127">
        <v>122</v>
      </c>
      <c r="AC127" s="7">
        <v>0.80949797634809728</v>
      </c>
      <c r="AD127">
        <v>2.8576078891850516</v>
      </c>
      <c r="AE127">
        <v>0.94936626146536129</v>
      </c>
      <c r="AF127" s="7">
        <v>5.1960610187576702E-2</v>
      </c>
      <c r="AG127" s="10">
        <v>115.34441146421923</v>
      </c>
      <c r="AH127" s="1">
        <v>2.3638615420262958</v>
      </c>
      <c r="AI127" s="10">
        <v>417.4467707203828</v>
      </c>
      <c r="AJ127" s="32">
        <v>1771.0584624714506</v>
      </c>
      <c r="AK127">
        <v>320</v>
      </c>
      <c r="AL127" s="7">
        <v>1.1421563634201739</v>
      </c>
    </row>
    <row r="128" spans="1:38" x14ac:dyDescent="0.3">
      <c r="A128">
        <v>78854</v>
      </c>
      <c r="B128">
        <v>27</v>
      </c>
      <c r="C128">
        <v>7</v>
      </c>
      <c r="D128">
        <v>1982</v>
      </c>
      <c r="E128">
        <v>4</v>
      </c>
      <c r="F128">
        <v>5</v>
      </c>
      <c r="G128">
        <v>1984</v>
      </c>
      <c r="H128">
        <v>76</v>
      </c>
      <c r="I128" s="32">
        <f t="shared" si="15"/>
        <v>15.435595774162696</v>
      </c>
      <c r="J128" s="1">
        <v>1.77260273972603</v>
      </c>
      <c r="K128" s="32">
        <f t="shared" si="16"/>
        <v>15.832295676637701</v>
      </c>
      <c r="L128" s="32">
        <f t="shared" si="17"/>
        <v>79.497692274757895</v>
      </c>
      <c r="M128" s="1">
        <f t="shared" si="18"/>
        <v>0.15347969083428695</v>
      </c>
      <c r="N128">
        <v>-0.33960645851038862</v>
      </c>
      <c r="O128" s="32">
        <f t="shared" si="25"/>
        <v>15.699249806334223</v>
      </c>
      <c r="P128" s="32">
        <f t="shared" si="19"/>
        <v>78.315860926755505</v>
      </c>
      <c r="Q128">
        <v>4</v>
      </c>
      <c r="R128">
        <v>80</v>
      </c>
      <c r="S128" s="32">
        <f t="shared" si="20"/>
        <v>9.0428509961318699</v>
      </c>
      <c r="T128" s="1">
        <f t="shared" si="21"/>
        <v>9.1566054518268967</v>
      </c>
      <c r="U128" s="1">
        <f t="shared" si="22"/>
        <v>9.2085133367721319</v>
      </c>
      <c r="V128" s="1">
        <f t="shared" si="23"/>
        <v>1.6954861430374257</v>
      </c>
      <c r="W128" s="1">
        <f t="shared" si="26"/>
        <v>2.6944285194877792E-3</v>
      </c>
      <c r="X128" s="1">
        <f t="shared" si="27"/>
        <v>-5.1907884945235239E-2</v>
      </c>
      <c r="Y128" s="39">
        <f t="shared" si="24"/>
        <v>79.388699024561632</v>
      </c>
      <c r="AB128">
        <v>123</v>
      </c>
      <c r="AC128" s="7">
        <v>0.64931257273040133</v>
      </c>
      <c r="AD128">
        <v>1.5254096100907761</v>
      </c>
      <c r="AE128">
        <v>0.95464883161185765</v>
      </c>
      <c r="AF128" s="7">
        <v>4.6411721715040197E-2</v>
      </c>
      <c r="AG128" s="10">
        <v>123.74095992906298</v>
      </c>
      <c r="AH128" s="1">
        <v>1.0358188067838625</v>
      </c>
      <c r="AI128" s="10">
        <v>107.45891067614308</v>
      </c>
      <c r="AJ128" s="32">
        <v>1791.6005462800913</v>
      </c>
      <c r="AK128">
        <v>320</v>
      </c>
      <c r="AL128" s="7">
        <v>0.57949037598820152</v>
      </c>
    </row>
    <row r="129" spans="1:38" x14ac:dyDescent="0.3">
      <c r="A129">
        <v>22658</v>
      </c>
      <c r="B129">
        <v>26</v>
      </c>
      <c r="C129">
        <v>7</v>
      </c>
      <c r="D129">
        <v>1982</v>
      </c>
      <c r="E129">
        <v>11</v>
      </c>
      <c r="F129">
        <v>9</v>
      </c>
      <c r="G129">
        <v>1982</v>
      </c>
      <c r="H129">
        <v>83</v>
      </c>
      <c r="I129" s="32">
        <f t="shared" si="15"/>
        <v>16.220867158288598</v>
      </c>
      <c r="J129" s="1">
        <v>0.12876712328767101</v>
      </c>
      <c r="K129" s="32">
        <f t="shared" si="16"/>
        <v>16.245745664519941</v>
      </c>
      <c r="L129" s="32">
        <f t="shared" si="17"/>
        <v>83.226808713587047</v>
      </c>
      <c r="M129" s="1">
        <f t="shared" si="18"/>
        <v>1.2113458797144191E-2</v>
      </c>
      <c r="N129">
        <v>-1.2699365470325574</v>
      </c>
      <c r="O129" s="32">
        <f t="shared" si="25"/>
        <v>16.105974975854458</v>
      </c>
      <c r="P129" s="32">
        <f t="shared" si="19"/>
        <v>81.956582456566963</v>
      </c>
      <c r="Q129">
        <v>1</v>
      </c>
      <c r="R129">
        <v>84</v>
      </c>
      <c r="S129" s="32">
        <f t="shared" si="20"/>
        <v>9.3797459131381409</v>
      </c>
      <c r="T129" s="1">
        <f t="shared" si="21"/>
        <v>9.3308111735017469</v>
      </c>
      <c r="U129" s="1">
        <f t="shared" si="22"/>
        <v>9.3898163574696909</v>
      </c>
      <c r="V129" s="1">
        <f t="shared" si="23"/>
        <v>0.13550367959281198</v>
      </c>
      <c r="W129" s="1">
        <f t="shared" si="26"/>
        <v>3.4816117350909112E-3</v>
      </c>
      <c r="X129" s="1">
        <f t="shared" si="27"/>
        <v>-5.9005183967943964E-2</v>
      </c>
      <c r="Y129" s="39">
        <f t="shared" si="24"/>
        <v>83.215865389218592</v>
      </c>
      <c r="AB129">
        <v>124</v>
      </c>
      <c r="AC129" s="7">
        <v>0.76655065524171684</v>
      </c>
      <c r="AD129">
        <v>2.3183066285200544</v>
      </c>
      <c r="AE129">
        <v>0.95425673728351534</v>
      </c>
      <c r="AF129" s="7">
        <v>4.6822527089853357E-2</v>
      </c>
      <c r="AG129" s="10">
        <v>122.41171006101629</v>
      </c>
      <c r="AH129" s="1">
        <v>1.8228427278597479</v>
      </c>
      <c r="AI129" s="10">
        <v>284.16445355007721</v>
      </c>
      <c r="AJ129" s="32">
        <v>1772.4433206210642</v>
      </c>
      <c r="AK129">
        <v>320</v>
      </c>
      <c r="AL129" s="7">
        <v>0.9423449036016438</v>
      </c>
    </row>
    <row r="130" spans="1:38" x14ac:dyDescent="0.3">
      <c r="A130">
        <v>79445</v>
      </c>
      <c r="B130">
        <v>4</v>
      </c>
      <c r="C130">
        <v>9</v>
      </c>
      <c r="D130">
        <v>1982</v>
      </c>
      <c r="E130">
        <v>7</v>
      </c>
      <c r="F130">
        <v>5</v>
      </c>
      <c r="G130">
        <v>1986</v>
      </c>
      <c r="H130">
        <v>75</v>
      </c>
      <c r="I130" s="32">
        <f t="shared" si="15"/>
        <v>15.320508075688775</v>
      </c>
      <c r="J130" s="1">
        <v>3.6739726027397301</v>
      </c>
      <c r="K130" s="32">
        <f t="shared" si="16"/>
        <v>16.124249263195335</v>
      </c>
      <c r="L130" s="32">
        <f t="shared" si="17"/>
        <v>82.122102838609152</v>
      </c>
      <c r="M130" s="1">
        <f t="shared" si="18"/>
        <v>0.28986050605645514</v>
      </c>
      <c r="N130">
        <v>0.97615156846586615</v>
      </c>
      <c r="O130" s="32">
        <f t="shared" si="25"/>
        <v>16.649796527180648</v>
      </c>
      <c r="P130" s="32">
        <f t="shared" si="19"/>
        <v>86.953727626309842</v>
      </c>
      <c r="Q130">
        <v>16</v>
      </c>
      <c r="R130">
        <v>91</v>
      </c>
      <c r="S130" s="32">
        <f t="shared" si="20"/>
        <v>8.9929875760017879</v>
      </c>
      <c r="T130" s="1">
        <f t="shared" si="21"/>
        <v>9.5613898675629621</v>
      </c>
      <c r="U130" s="1">
        <f t="shared" si="22"/>
        <v>9.3277952131589039</v>
      </c>
      <c r="V130" s="1">
        <f t="shared" si="23"/>
        <v>3.1591055287661876</v>
      </c>
      <c r="W130" s="1">
        <f t="shared" si="26"/>
        <v>5.4566462566151358E-2</v>
      </c>
      <c r="X130" s="1">
        <f t="shared" si="27"/>
        <v>0.23359465440405813</v>
      </c>
      <c r="Y130" s="39">
        <f t="shared" si="24"/>
        <v>81.892573421169274</v>
      </c>
      <c r="AB130">
        <v>125</v>
      </c>
      <c r="AC130" s="7">
        <v>0.10695532322581061</v>
      </c>
      <c r="AD130">
        <v>0.37421766505205245</v>
      </c>
      <c r="AE130">
        <v>0.93967814529011984</v>
      </c>
      <c r="AF130" s="7">
        <v>6.2217860977413643E-2</v>
      </c>
      <c r="AG130" s="10">
        <v>116.55686079454834</v>
      </c>
      <c r="AH130" s="1">
        <v>0.10034642603233057</v>
      </c>
      <c r="AI130" s="10">
        <v>0.86791485690242509</v>
      </c>
      <c r="AJ130" s="32">
        <v>1768.0277693371791</v>
      </c>
      <c r="AK130">
        <v>320</v>
      </c>
      <c r="AL130" s="7">
        <v>5.2079112202687156E-2</v>
      </c>
    </row>
    <row r="131" spans="1:38" x14ac:dyDescent="0.3">
      <c r="A131">
        <v>78791</v>
      </c>
      <c r="B131">
        <v>25</v>
      </c>
      <c r="C131">
        <v>7</v>
      </c>
      <c r="D131">
        <v>1982</v>
      </c>
      <c r="E131">
        <v>4</v>
      </c>
      <c r="F131">
        <v>5</v>
      </c>
      <c r="G131">
        <v>1984</v>
      </c>
      <c r="H131">
        <v>68</v>
      </c>
      <c r="I131" s="32">
        <f t="shared" si="15"/>
        <v>14.492422502470642</v>
      </c>
      <c r="J131" s="1">
        <v>1.7780821917808201</v>
      </c>
      <c r="K131" s="32">
        <f t="shared" si="16"/>
        <v>14.972508371312427</v>
      </c>
      <c r="L131" s="32">
        <f t="shared" si="17"/>
        <v>72.016510103567626</v>
      </c>
      <c r="M131" s="1">
        <f t="shared" si="18"/>
        <v>0.15391217395332385</v>
      </c>
      <c r="N131">
        <v>0.29088141673128121</v>
      </c>
      <c r="O131" s="32">
        <f t="shared" si="25"/>
        <v>15.086625927573502</v>
      </c>
      <c r="P131" s="32">
        <f t="shared" si="19"/>
        <v>72.98819639720675</v>
      </c>
      <c r="Q131">
        <v>0</v>
      </c>
      <c r="R131">
        <v>68</v>
      </c>
      <c r="S131" s="32">
        <f t="shared" si="20"/>
        <v>8.6303494035856811</v>
      </c>
      <c r="T131" s="1">
        <f t="shared" si="21"/>
        <v>8.8912580468920073</v>
      </c>
      <c r="U131" s="1">
        <f t="shared" si="22"/>
        <v>8.8377038635788985</v>
      </c>
      <c r="V131" s="1">
        <f t="shared" si="23"/>
        <v>1.7001950169458828</v>
      </c>
      <c r="W131" s="1">
        <f t="shared" si="26"/>
        <v>2.8680505503340605E-3</v>
      </c>
      <c r="X131" s="1">
        <f t="shared" si="27"/>
        <v>5.3554183313108794E-2</v>
      </c>
      <c r="Y131" s="39">
        <f t="shared" si="24"/>
        <v>71.944294060187971</v>
      </c>
      <c r="AB131">
        <v>126</v>
      </c>
      <c r="AC131" s="7">
        <v>0.45744433143408897</v>
      </c>
      <c r="AD131">
        <v>0.92827434429815447</v>
      </c>
      <c r="AE131">
        <v>0.94597734527345445</v>
      </c>
      <c r="AF131" s="7">
        <v>5.553665813091057E-2</v>
      </c>
      <c r="AG131" s="10">
        <v>117.80851425043919</v>
      </c>
      <c r="AH131" s="1">
        <v>0.47865649154143214</v>
      </c>
      <c r="AI131" s="10">
        <v>18.864607130754134</v>
      </c>
      <c r="AJ131" s="32">
        <v>1769.8388504259422</v>
      </c>
      <c r="AK131">
        <v>320</v>
      </c>
      <c r="AL131" s="7">
        <v>0.24280011796456497</v>
      </c>
    </row>
    <row r="132" spans="1:38" x14ac:dyDescent="0.3">
      <c r="A132">
        <v>78818</v>
      </c>
      <c r="B132">
        <v>26</v>
      </c>
      <c r="C132">
        <v>7</v>
      </c>
      <c r="D132">
        <v>1982</v>
      </c>
      <c r="E132">
        <v>10</v>
      </c>
      <c r="F132">
        <v>9</v>
      </c>
      <c r="G132">
        <v>1982</v>
      </c>
      <c r="H132">
        <v>75</v>
      </c>
      <c r="I132" s="32">
        <f t="shared" si="15"/>
        <v>15.320508075688775</v>
      </c>
      <c r="J132" s="1">
        <v>0.12602739726027401</v>
      </c>
      <c r="K132" s="32">
        <f t="shared" si="16"/>
        <v>15.350660435063753</v>
      </c>
      <c r="L132" s="32">
        <f t="shared" si="17"/>
        <v>75.261354383221658</v>
      </c>
      <c r="M132" s="1">
        <f t="shared" si="18"/>
        <v>1.1857388198819452E-2</v>
      </c>
      <c r="N132">
        <v>-0.10880398804147262</v>
      </c>
      <c r="O132" s="32">
        <f t="shared" si="25"/>
        <v>15.338812590898485</v>
      </c>
      <c r="P132" s="32">
        <f t="shared" si="19"/>
        <v>75.158605515574962</v>
      </c>
      <c r="Q132">
        <v>0</v>
      </c>
      <c r="R132">
        <v>75</v>
      </c>
      <c r="S132" s="32">
        <f t="shared" si="20"/>
        <v>8.9929875760017879</v>
      </c>
      <c r="T132" s="1">
        <f t="shared" si="21"/>
        <v>9.000926825924795</v>
      </c>
      <c r="U132" s="1">
        <f t="shared" si="22"/>
        <v>9.0057188194522055</v>
      </c>
      <c r="V132" s="1">
        <f t="shared" si="23"/>
        <v>0.13264207624068822</v>
      </c>
      <c r="W132" s="1">
        <f t="shared" si="26"/>
        <v>2.2963201966744646E-5</v>
      </c>
      <c r="X132" s="1">
        <f t="shared" si="27"/>
        <v>-4.7919935274105541E-3</v>
      </c>
      <c r="Y132" s="39">
        <f t="shared" si="24"/>
        <v>75.254449525962059</v>
      </c>
      <c r="AB132">
        <v>127</v>
      </c>
      <c r="AC132" s="7">
        <v>0.53055464574911204</v>
      </c>
      <c r="AD132">
        <v>1.0799937703025662</v>
      </c>
      <c r="AE132">
        <v>0.95061297783211596</v>
      </c>
      <c r="AF132" s="7">
        <v>5.064826264198348E-2</v>
      </c>
      <c r="AG132" s="10">
        <v>118.6151481593643</v>
      </c>
      <c r="AH132" s="1">
        <v>0.62238273438200986</v>
      </c>
      <c r="AI132" s="10">
        <v>35.492452135885095</v>
      </c>
      <c r="AJ132" s="32">
        <v>1767.8898169628201</v>
      </c>
      <c r="AK132">
        <v>320</v>
      </c>
      <c r="AL132" s="7">
        <v>0.33303740469298776</v>
      </c>
    </row>
    <row r="133" spans="1:38" x14ac:dyDescent="0.3">
      <c r="A133">
        <v>22949</v>
      </c>
      <c r="B133">
        <v>29</v>
      </c>
      <c r="C133">
        <v>7</v>
      </c>
      <c r="D133">
        <v>1982</v>
      </c>
      <c r="E133">
        <v>25</v>
      </c>
      <c r="F133">
        <v>6</v>
      </c>
      <c r="G133">
        <v>1984</v>
      </c>
      <c r="H133">
        <v>68</v>
      </c>
      <c r="I133" s="32">
        <f t="shared" si="15"/>
        <v>14.492422502470642</v>
      </c>
      <c r="J133" s="1">
        <v>1.90958904109589</v>
      </c>
      <c r="K133" s="32">
        <f t="shared" si="16"/>
        <v>15.006306791146248</v>
      </c>
      <c r="L133" s="32">
        <f t="shared" si="17"/>
        <v>72.303617668646751</v>
      </c>
      <c r="M133" s="1">
        <f t="shared" si="18"/>
        <v>0.16421917046317475</v>
      </c>
      <c r="N133">
        <v>0.10703388397814706</v>
      </c>
      <c r="O133" s="32">
        <f t="shared" si="25"/>
        <v>15.049681164369575</v>
      </c>
      <c r="P133" s="32">
        <f t="shared" si="19"/>
        <v>72.672906951664658</v>
      </c>
      <c r="Q133">
        <v>20</v>
      </c>
      <c r="R133">
        <v>88</v>
      </c>
      <c r="S133" s="32">
        <f t="shared" si="20"/>
        <v>8.6303494035856811</v>
      </c>
      <c r="T133" s="1">
        <f t="shared" si="21"/>
        <v>8.8751393927710183</v>
      </c>
      <c r="U133" s="1">
        <f t="shared" si="22"/>
        <v>8.8521904872011969</v>
      </c>
      <c r="V133" s="1">
        <f t="shared" si="23"/>
        <v>1.8122965069449701</v>
      </c>
      <c r="W133" s="1">
        <f t="shared" si="26"/>
        <v>5.2665226685257602E-4</v>
      </c>
      <c r="X133" s="1">
        <f t="shared" si="27"/>
        <v>2.2948905569821321E-2</v>
      </c>
      <c r="Y133" s="39">
        <f t="shared" si="24"/>
        <v>72.225645447218128</v>
      </c>
      <c r="AB133">
        <v>128</v>
      </c>
      <c r="AC133" s="7">
        <v>0.40318403801827196</v>
      </c>
      <c r="AD133">
        <v>0.74383522356342635</v>
      </c>
      <c r="AE133">
        <v>0.94917744488562528</v>
      </c>
      <c r="AF133" s="7">
        <v>5.2159516938816528E-2</v>
      </c>
      <c r="AG133" s="10">
        <v>120.42399599836045</v>
      </c>
      <c r="AH133" s="1">
        <v>0.35072504417090106</v>
      </c>
      <c r="AI133" s="10">
        <v>12.199109328151071</v>
      </c>
      <c r="AJ133" s="32">
        <v>1784.6742275844588</v>
      </c>
      <c r="AK133">
        <v>320</v>
      </c>
      <c r="AL133" s="7">
        <v>0.19524911433978925</v>
      </c>
    </row>
    <row r="134" spans="1:38" x14ac:dyDescent="0.3">
      <c r="A134">
        <v>79338</v>
      </c>
      <c r="B134">
        <v>27</v>
      </c>
      <c r="C134">
        <v>8</v>
      </c>
      <c r="D134">
        <v>1982</v>
      </c>
      <c r="E134">
        <v>13</v>
      </c>
      <c r="F134">
        <v>6</v>
      </c>
      <c r="G134">
        <v>1985</v>
      </c>
      <c r="H134">
        <v>65</v>
      </c>
      <c r="I134" s="32">
        <f t="shared" si="15"/>
        <v>14.124515496597098</v>
      </c>
      <c r="J134" s="1">
        <v>2.7972602739725998</v>
      </c>
      <c r="K134" s="32">
        <f t="shared" si="16"/>
        <v>14.909847297606223</v>
      </c>
      <c r="L134" s="32">
        <f t="shared" si="17"/>
        <v>71.485733907090122</v>
      </c>
      <c r="M134" s="1">
        <f t="shared" si="18"/>
        <v>0.23027011653468163</v>
      </c>
      <c r="N134">
        <v>-7.9171513789333403E-3</v>
      </c>
      <c r="O134" s="32">
        <f t="shared" si="25"/>
        <v>14.906048136248522</v>
      </c>
      <c r="P134" s="32">
        <f t="shared" si="19"/>
        <v>71.453615896288028</v>
      </c>
      <c r="Q134">
        <v>14</v>
      </c>
      <c r="R134">
        <v>79</v>
      </c>
      <c r="S134" s="32">
        <f t="shared" si="20"/>
        <v>8.4669809135353606</v>
      </c>
      <c r="T134" s="1">
        <f t="shared" si="21"/>
        <v>8.8123448403652347</v>
      </c>
      <c r="U134" s="1">
        <f t="shared" si="22"/>
        <v>8.8086399292207602</v>
      </c>
      <c r="V134" s="1">
        <f t="shared" si="23"/>
        <v>2.5250053127011802</v>
      </c>
      <c r="W134" s="1">
        <f t="shared" si="26"/>
        <v>1.3726366588451093E-5</v>
      </c>
      <c r="X134" s="1">
        <f t="shared" si="27"/>
        <v>3.7049111444744653E-3</v>
      </c>
      <c r="Y134" s="39">
        <f t="shared" si="24"/>
        <v>71.382123469777497</v>
      </c>
      <c r="AB134">
        <v>129</v>
      </c>
      <c r="AC134" s="7">
        <v>0.62449801091375501</v>
      </c>
      <c r="AD134">
        <v>1.4989458962528595</v>
      </c>
      <c r="AE134">
        <v>0.95032043554710033</v>
      </c>
      <c r="AF134" s="7">
        <v>5.0956050684706183E-2</v>
      </c>
      <c r="AG134" s="10">
        <v>119.62561354461664</v>
      </c>
      <c r="AH134" s="1">
        <v>0.98576829513014619</v>
      </c>
      <c r="AI134" s="10">
        <v>97.25787160328818</v>
      </c>
      <c r="AJ134" s="32">
        <v>1826.750922581791</v>
      </c>
      <c r="AK134">
        <v>320</v>
      </c>
      <c r="AL134" s="7">
        <v>0.55129923703944628</v>
      </c>
    </row>
    <row r="135" spans="1:38" x14ac:dyDescent="0.3">
      <c r="A135">
        <v>22962</v>
      </c>
      <c r="B135">
        <v>29</v>
      </c>
      <c r="C135">
        <v>7</v>
      </c>
      <c r="D135">
        <v>1982</v>
      </c>
      <c r="E135">
        <v>4</v>
      </c>
      <c r="F135">
        <v>6</v>
      </c>
      <c r="G135">
        <v>1991</v>
      </c>
      <c r="H135">
        <v>58</v>
      </c>
      <c r="I135" s="32">
        <f t="shared" si="15"/>
        <v>13.231546211727817</v>
      </c>
      <c r="J135" s="1">
        <v>8.8547945205479408</v>
      </c>
      <c r="K135" s="32">
        <f t="shared" si="16"/>
        <v>15.702295310390912</v>
      </c>
      <c r="L135" s="32">
        <f t="shared" si="17"/>
        <v>78.342814814072028</v>
      </c>
      <c r="M135" s="1">
        <f t="shared" si="18"/>
        <v>0.55091486211953755</v>
      </c>
      <c r="N135">
        <v>-0.3928664682462113</v>
      </c>
      <c r="O135" s="32">
        <f t="shared" si="25"/>
        <v>15.410695520326994</v>
      </c>
      <c r="P135" s="32">
        <f t="shared" si="19"/>
        <v>75.783079625383635</v>
      </c>
      <c r="Q135">
        <v>42</v>
      </c>
      <c r="R135">
        <v>100</v>
      </c>
      <c r="S135" s="32">
        <f t="shared" si="20"/>
        <v>8.0643408766899647</v>
      </c>
      <c r="T135" s="1">
        <f t="shared" si="21"/>
        <v>9.0320734192756706</v>
      </c>
      <c r="U135" s="1">
        <f t="shared" si="22"/>
        <v>9.1419526137622675</v>
      </c>
      <c r="V135" s="1">
        <f t="shared" si="23"/>
        <v>5.8172463040989655</v>
      </c>
      <c r="W135" s="1">
        <f t="shared" si="26"/>
        <v>1.2073437381023384E-2</v>
      </c>
      <c r="X135" s="1">
        <f t="shared" si="27"/>
        <v>-0.10987919448659689</v>
      </c>
      <c r="Y135" s="39">
        <f t="shared" si="24"/>
        <v>78.014843791064152</v>
      </c>
      <c r="AB135">
        <v>130</v>
      </c>
      <c r="AC135" s="7">
        <v>0.43089405468973591</v>
      </c>
      <c r="AD135">
        <v>0.83221106215650087</v>
      </c>
      <c r="AE135">
        <v>0.94782617514613976</v>
      </c>
      <c r="AF135" s="7">
        <v>5.3584153090018287E-2</v>
      </c>
      <c r="AG135" s="10">
        <v>120.15255341420294</v>
      </c>
      <c r="AH135" s="1">
        <v>0.41076862378412671</v>
      </c>
      <c r="AI135" s="10">
        <v>16.223932394202514</v>
      </c>
      <c r="AJ135" s="32">
        <v>1797.7405131722087</v>
      </c>
      <c r="AK135">
        <v>320</v>
      </c>
      <c r="AL135" s="7">
        <v>0.22516613584614106</v>
      </c>
    </row>
    <row r="136" spans="1:38" x14ac:dyDescent="0.3">
      <c r="A136">
        <v>79491</v>
      </c>
      <c r="B136">
        <v>5</v>
      </c>
      <c r="C136">
        <v>9</v>
      </c>
      <c r="D136">
        <v>1982</v>
      </c>
      <c r="E136">
        <v>29</v>
      </c>
      <c r="F136">
        <v>5</v>
      </c>
      <c r="G136">
        <v>1984</v>
      </c>
      <c r="H136">
        <v>91</v>
      </c>
      <c r="I136" s="32">
        <f t="shared" ref="I136:I199" si="28">(H136^gamma_T-1)/gamma_T</f>
        <v>17.078784028338912</v>
      </c>
      <c r="J136" s="1">
        <v>1.73150684931507</v>
      </c>
      <c r="K136" s="32">
        <f t="shared" ref="K136:K199" si="29">alpha_T*(1-rho_T^J136)/(1-rho_T)+I136*rho_T^J136</f>
        <v>17.327043220627466</v>
      </c>
      <c r="L136" s="32">
        <f t="shared" ref="L136:L199" si="30">(gamma_T*K136+1)^(1/gamma_T)</f>
        <v>93.383649913000525</v>
      </c>
      <c r="M136" s="1">
        <f t="shared" ref="M136:M199" si="31">sigma_eps_T^2*(1-rho_T^(2*J136))/(1-rho_T^2)</f>
        <v>0.15022830678762508</v>
      </c>
      <c r="N136">
        <v>-1.2290274753468111</v>
      </c>
      <c r="O136" s="32">
        <f t="shared" si="25"/>
        <v>16.850680816963045</v>
      </c>
      <c r="P136" s="32">
        <f t="shared" ref="P136:P199" si="32">(gamma_T*O136+1)^(1/gamma_T)</f>
        <v>88.837041815754631</v>
      </c>
      <c r="Q136">
        <v>3</v>
      </c>
      <c r="R136">
        <v>94</v>
      </c>
      <c r="S136" s="32">
        <f t="shared" ref="S136:S199" si="33">(H136^gamma-1)/gamma</f>
        <v>9.7414489609310717</v>
      </c>
      <c r="T136" s="1">
        <f t="shared" ref="T136:T199" si="34">(P136^gamma-1)/gamma</f>
        <v>9.6459043897766445</v>
      </c>
      <c r="U136" s="1">
        <f t="shared" ref="U136:U199" si="35">alpha*(1-rho^J136)/(1-rho)+(rho^J136)*S136</f>
        <v>9.8354141359807272</v>
      </c>
      <c r="V136" s="1">
        <f t="shared" ref="V136:V199" si="36">(1-rho^(2*J136))/(1-rho^2)</f>
        <v>1.6600720612524484</v>
      </c>
      <c r="W136" s="1">
        <f t="shared" si="26"/>
        <v>3.591394390633583E-2</v>
      </c>
      <c r="X136" s="1">
        <f t="shared" si="27"/>
        <v>-0.18950974620408267</v>
      </c>
      <c r="Y136" s="39">
        <f t="shared" ref="Y136:Y199" si="37">(U136*gamma+1)^(1/gamma)</f>
        <v>93.162555712886203</v>
      </c>
      <c r="AB136">
        <v>131</v>
      </c>
      <c r="AC136" s="7">
        <v>0.53414488936002891</v>
      </c>
      <c r="AD136">
        <v>1.0739883053175032</v>
      </c>
      <c r="AE136">
        <v>0.95325552716717366</v>
      </c>
      <c r="AF136" s="7">
        <v>4.7872282026630401E-2</v>
      </c>
      <c r="AG136" s="10">
        <v>126.56954561009012</v>
      </c>
      <c r="AH136" s="1">
        <v>0.62040983735060906</v>
      </c>
      <c r="AI136" s="10">
        <v>37.259347961010533</v>
      </c>
      <c r="AJ136" s="32">
        <v>1777.2368814855095</v>
      </c>
      <c r="AK136">
        <v>320</v>
      </c>
      <c r="AL136" s="7">
        <v>0.34122640926246889</v>
      </c>
    </row>
    <row r="137" spans="1:38" x14ac:dyDescent="0.3">
      <c r="A137">
        <v>79043</v>
      </c>
      <c r="B137">
        <v>2</v>
      </c>
      <c r="C137">
        <v>8</v>
      </c>
      <c r="D137">
        <v>1982</v>
      </c>
      <c r="E137">
        <v>10</v>
      </c>
      <c r="F137">
        <v>5</v>
      </c>
      <c r="G137">
        <v>1988</v>
      </c>
      <c r="H137">
        <v>75</v>
      </c>
      <c r="I137" s="32">
        <f t="shared" si="28"/>
        <v>15.320508075688775</v>
      </c>
      <c r="J137" s="1">
        <v>5.77534246575342</v>
      </c>
      <c r="K137" s="32">
        <f t="shared" si="29"/>
        <v>16.520275236988134</v>
      </c>
      <c r="L137" s="32">
        <f t="shared" si="30"/>
        <v>85.750148713448965</v>
      </c>
      <c r="M137" s="1">
        <f t="shared" si="31"/>
        <v>0.41265387457256436</v>
      </c>
      <c r="N137">
        <v>-1.9716753740794957</v>
      </c>
      <c r="O137" s="32">
        <f t="shared" ref="O137:O200" si="38">K137+N137*SQRT(M137)</f>
        <v>15.253707632182687</v>
      </c>
      <c r="P137" s="32">
        <f t="shared" si="32"/>
        <v>74.422606764209789</v>
      </c>
      <c r="Q137">
        <v>16</v>
      </c>
      <c r="R137">
        <v>91</v>
      </c>
      <c r="S137" s="32">
        <f t="shared" si="33"/>
        <v>8.9929875760017879</v>
      </c>
      <c r="T137" s="1">
        <f t="shared" si="34"/>
        <v>8.963986522621731</v>
      </c>
      <c r="U137" s="1">
        <f t="shared" si="35"/>
        <v>9.4889924356687452</v>
      </c>
      <c r="V137" s="1">
        <f t="shared" si="36"/>
        <v>4.4360576016551967</v>
      </c>
      <c r="W137" s="1">
        <f t="shared" ref="W137:W200" si="39">(T137-U137)^2</f>
        <v>0.275631208734329</v>
      </c>
      <c r="X137" s="1">
        <f t="shared" ref="X137:X200" si="40">T137-U137</f>
        <v>-0.52500591304701416</v>
      </c>
      <c r="Y137" s="39">
        <f t="shared" si="37"/>
        <v>85.362598836704962</v>
      </c>
      <c r="AB137">
        <v>132</v>
      </c>
      <c r="AC137" s="7">
        <v>0.44415644245103947</v>
      </c>
      <c r="AD137">
        <v>0.87057659594716807</v>
      </c>
      <c r="AE137">
        <v>0.94757610668076653</v>
      </c>
      <c r="AF137" s="7">
        <v>5.3848021577696956E-2</v>
      </c>
      <c r="AG137" s="10">
        <v>119.71948719695618</v>
      </c>
      <c r="AH137" s="1">
        <v>0.43909609705626368</v>
      </c>
      <c r="AI137" s="10">
        <v>17.607387769890902</v>
      </c>
      <c r="AJ137" s="32">
        <v>1786.3652242840903</v>
      </c>
      <c r="AK137">
        <v>320</v>
      </c>
      <c r="AL137" s="7">
        <v>0.23457000400927028</v>
      </c>
    </row>
    <row r="138" spans="1:38" x14ac:dyDescent="0.3">
      <c r="A138">
        <v>22608</v>
      </c>
      <c r="B138">
        <v>25</v>
      </c>
      <c r="C138">
        <v>7</v>
      </c>
      <c r="D138">
        <v>1982</v>
      </c>
      <c r="E138">
        <v>11</v>
      </c>
      <c r="F138">
        <v>5</v>
      </c>
      <c r="G138">
        <v>1988</v>
      </c>
      <c r="H138">
        <v>74</v>
      </c>
      <c r="I138" s="32">
        <f t="shared" si="28"/>
        <v>15.204650534085253</v>
      </c>
      <c r="J138" s="1">
        <v>5.8</v>
      </c>
      <c r="K138" s="32">
        <f t="shared" si="29"/>
        <v>16.438629368736922</v>
      </c>
      <c r="L138" s="32">
        <f t="shared" si="30"/>
        <v>84.995763249411937</v>
      </c>
      <c r="M138" s="1">
        <f t="shared" si="31"/>
        <v>0.41394337457013236</v>
      </c>
      <c r="N138">
        <v>0.66938355303136632</v>
      </c>
      <c r="O138" s="32">
        <f t="shared" si="38"/>
        <v>16.869300246322517</v>
      </c>
      <c r="P138" s="32">
        <f t="shared" si="32"/>
        <v>89.012622946466749</v>
      </c>
      <c r="Q138">
        <v>16</v>
      </c>
      <c r="R138">
        <v>90</v>
      </c>
      <c r="S138" s="32">
        <f t="shared" si="33"/>
        <v>8.9426609766862715</v>
      </c>
      <c r="T138" s="1">
        <f t="shared" si="34"/>
        <v>9.6537201292501607</v>
      </c>
      <c r="U138" s="1">
        <f t="shared" si="35"/>
        <v>9.4550643409738893</v>
      </c>
      <c r="V138" s="1">
        <f t="shared" si="36"/>
        <v>4.4492356839745675</v>
      </c>
      <c r="W138" s="1">
        <f t="shared" si="39"/>
        <v>3.9464122215666766E-2</v>
      </c>
      <c r="X138" s="1">
        <f t="shared" si="40"/>
        <v>0.19865578827627139</v>
      </c>
      <c r="Y138" s="39">
        <f t="shared" si="37"/>
        <v>84.623933365683897</v>
      </c>
      <c r="AB138">
        <v>133</v>
      </c>
      <c r="AC138" s="7">
        <v>0.63095119562637392</v>
      </c>
      <c r="AD138">
        <v>1.6990915880354442</v>
      </c>
      <c r="AE138">
        <v>0.94298074267483178</v>
      </c>
      <c r="AF138" s="7">
        <v>5.8709417898839794E-2</v>
      </c>
      <c r="AG138" s="10">
        <v>113.53917898507602</v>
      </c>
      <c r="AH138" s="1">
        <v>1.1290631262748461</v>
      </c>
      <c r="AI138" s="10">
        <v>78.635213755230168</v>
      </c>
      <c r="AJ138" s="32">
        <v>1735.9284444608422</v>
      </c>
      <c r="AK138">
        <v>320</v>
      </c>
      <c r="AL138" s="7">
        <v>0.49571669629446036</v>
      </c>
    </row>
    <row r="139" spans="1:38" x14ac:dyDescent="0.3">
      <c r="A139">
        <v>22926</v>
      </c>
      <c r="B139">
        <v>28</v>
      </c>
      <c r="C139">
        <v>7</v>
      </c>
      <c r="D139">
        <v>1982</v>
      </c>
      <c r="E139">
        <v>8</v>
      </c>
      <c r="F139">
        <v>6</v>
      </c>
      <c r="G139">
        <v>1985</v>
      </c>
      <c r="H139">
        <v>60</v>
      </c>
      <c r="I139" s="32">
        <f t="shared" si="28"/>
        <v>13.491933384829668</v>
      </c>
      <c r="J139" s="1">
        <v>2.8657534246575298</v>
      </c>
      <c r="K139" s="32">
        <f t="shared" si="29"/>
        <v>14.381591205633141</v>
      </c>
      <c r="L139" s="32">
        <f t="shared" si="30"/>
        <v>67.089132607119282</v>
      </c>
      <c r="M139" s="1">
        <f t="shared" si="31"/>
        <v>0.23512104635686548</v>
      </c>
      <c r="N139">
        <v>-0.12598093235283159</v>
      </c>
      <c r="O139" s="32">
        <f t="shared" si="38"/>
        <v>14.320503956147286</v>
      </c>
      <c r="P139" s="32">
        <f t="shared" si="32"/>
        <v>66.589712345654789</v>
      </c>
      <c r="Q139">
        <v>8</v>
      </c>
      <c r="R139">
        <v>68</v>
      </c>
      <c r="S139" s="32">
        <f t="shared" si="33"/>
        <v>8.1826710278683468</v>
      </c>
      <c r="T139" s="1">
        <f t="shared" si="34"/>
        <v>8.5541866604793384</v>
      </c>
      <c r="U139" s="1">
        <f t="shared" si="35"/>
        <v>8.5763635545366448</v>
      </c>
      <c r="V139" s="1">
        <f t="shared" si="36"/>
        <v>2.5769486531848953</v>
      </c>
      <c r="W139" s="1">
        <f t="shared" si="39"/>
        <v>4.9181463002899125E-4</v>
      </c>
      <c r="X139" s="1">
        <f t="shared" si="40"/>
        <v>-2.2176894057306384E-2</v>
      </c>
      <c r="Y139" s="39">
        <f t="shared" si="37"/>
        <v>66.998242873074517</v>
      </c>
      <c r="AB139">
        <v>134</v>
      </c>
      <c r="AC139" s="7">
        <v>0.33162419102515378</v>
      </c>
      <c r="AD139">
        <v>0.69642348735132231</v>
      </c>
      <c r="AE139">
        <v>0.94061529360553386</v>
      </c>
      <c r="AF139" s="7">
        <v>6.1221050188601023E-2</v>
      </c>
      <c r="AG139" s="10">
        <v>119.76597486822338</v>
      </c>
      <c r="AH139" s="1">
        <v>0.29033558199826481</v>
      </c>
      <c r="AI139" s="10">
        <v>7.5408338616274664</v>
      </c>
      <c r="AJ139" s="32">
        <v>1830.8429768093085</v>
      </c>
      <c r="AK139">
        <v>320</v>
      </c>
      <c r="AL139" s="7">
        <v>0.15350930205556221</v>
      </c>
    </row>
    <row r="140" spans="1:38" x14ac:dyDescent="0.3">
      <c r="A140">
        <v>78711</v>
      </c>
      <c r="B140">
        <v>24</v>
      </c>
      <c r="C140">
        <v>7</v>
      </c>
      <c r="D140">
        <v>1982</v>
      </c>
      <c r="E140">
        <v>9</v>
      </c>
      <c r="F140">
        <v>5</v>
      </c>
      <c r="G140">
        <v>1986</v>
      </c>
      <c r="H140">
        <v>62</v>
      </c>
      <c r="I140" s="32">
        <f t="shared" si="28"/>
        <v>13.748015748023622</v>
      </c>
      <c r="J140" s="1">
        <v>3.79452054794521</v>
      </c>
      <c r="K140" s="32">
        <f t="shared" si="29"/>
        <v>14.853764717991604</v>
      </c>
      <c r="L140" s="32">
        <f t="shared" si="30"/>
        <v>71.012346292354636</v>
      </c>
      <c r="M140" s="1">
        <f t="shared" si="31"/>
        <v>0.29764302095383433</v>
      </c>
      <c r="N140">
        <v>-0.2838669388438575</v>
      </c>
      <c r="O140" s="32">
        <f t="shared" si="38"/>
        <v>14.698896369758678</v>
      </c>
      <c r="P140" s="32">
        <f t="shared" si="32"/>
        <v>69.713284991984892</v>
      </c>
      <c r="Q140">
        <v>26</v>
      </c>
      <c r="R140">
        <v>88</v>
      </c>
      <c r="S140" s="32">
        <f t="shared" si="33"/>
        <v>8.2982967640550349</v>
      </c>
      <c r="T140" s="1">
        <f t="shared" si="34"/>
        <v>8.7214159791726882</v>
      </c>
      <c r="U140" s="1">
        <f t="shared" si="35"/>
        <v>8.7826473113929904</v>
      </c>
      <c r="V140" s="1">
        <f t="shared" si="36"/>
        <v>3.2412605970212103</v>
      </c>
      <c r="W140" s="1">
        <f t="shared" si="39"/>
        <v>3.7492760454730174E-3</v>
      </c>
      <c r="X140" s="1">
        <f t="shared" si="40"/>
        <v>-6.1231332220302193E-2</v>
      </c>
      <c r="Y140" s="39">
        <f t="shared" si="37"/>
        <v>70.881946699118018</v>
      </c>
      <c r="AB140">
        <v>135</v>
      </c>
      <c r="AC140" s="7">
        <v>0.39057045825216091</v>
      </c>
      <c r="AD140">
        <v>0.68439709318564723</v>
      </c>
      <c r="AE140">
        <v>0.95166486914340598</v>
      </c>
      <c r="AF140" s="7">
        <v>4.9542334377955716E-2</v>
      </c>
      <c r="AG140" s="10">
        <v>122.04258297142104</v>
      </c>
      <c r="AH140" s="1">
        <v>0.31564041716855912</v>
      </c>
      <c r="AI140" s="10">
        <v>11.4399235272783</v>
      </c>
      <c r="AJ140" s="32">
        <v>1800.5846834967383</v>
      </c>
      <c r="AK140">
        <v>320</v>
      </c>
      <c r="AL140" s="7">
        <v>0.18907607205234797</v>
      </c>
    </row>
    <row r="141" spans="1:38" x14ac:dyDescent="0.3">
      <c r="A141">
        <v>78752</v>
      </c>
      <c r="B141">
        <v>24</v>
      </c>
      <c r="C141">
        <v>7</v>
      </c>
      <c r="D141">
        <v>1982</v>
      </c>
      <c r="E141">
        <v>16</v>
      </c>
      <c r="F141">
        <v>8</v>
      </c>
      <c r="G141">
        <v>1985</v>
      </c>
      <c r="H141">
        <v>85</v>
      </c>
      <c r="I141" s="32">
        <f t="shared" si="28"/>
        <v>16.439088914585774</v>
      </c>
      <c r="J141" s="1">
        <v>3.06575342465753</v>
      </c>
      <c r="K141" s="32">
        <f t="shared" si="29"/>
        <v>16.9572435180614</v>
      </c>
      <c r="L141" s="32">
        <f t="shared" si="30"/>
        <v>89.844270450770239</v>
      </c>
      <c r="M141" s="1">
        <f t="shared" si="31"/>
        <v>0.24909223986622872</v>
      </c>
      <c r="N141">
        <v>1.6812464309623465</v>
      </c>
      <c r="O141" s="32">
        <f t="shared" si="38"/>
        <v>17.796339177141657</v>
      </c>
      <c r="P141" s="32">
        <f t="shared" si="32"/>
        <v>97.973761204108413</v>
      </c>
      <c r="Q141">
        <v>22</v>
      </c>
      <c r="R141">
        <v>107</v>
      </c>
      <c r="S141" s="32">
        <f t="shared" si="33"/>
        <v>9.4723632360293841</v>
      </c>
      <c r="T141" s="1">
        <f t="shared" si="34"/>
        <v>10.039166398050504</v>
      </c>
      <c r="U141" s="1">
        <f t="shared" si="35"/>
        <v>9.6770972507083108</v>
      </c>
      <c r="V141" s="1">
        <f t="shared" si="36"/>
        <v>2.726234948602154</v>
      </c>
      <c r="W141" s="1">
        <f t="shared" si="39"/>
        <v>0.13109406745710306</v>
      </c>
      <c r="X141" s="1">
        <f t="shared" si="40"/>
        <v>0.36206914734219353</v>
      </c>
      <c r="Y141" s="39">
        <f t="shared" si="37"/>
        <v>89.539227744032942</v>
      </c>
      <c r="AB141">
        <v>136</v>
      </c>
      <c r="AC141" s="7">
        <v>0.44230610152412375</v>
      </c>
      <c r="AD141">
        <v>0.77352759868228316</v>
      </c>
      <c r="AE141">
        <v>0.95438521019106903</v>
      </c>
      <c r="AF141" s="7">
        <v>4.6687904765411938E-2</v>
      </c>
      <c r="AG141" s="10">
        <v>126.28912749873682</v>
      </c>
      <c r="AH141" s="1">
        <v>0.38775076640340855</v>
      </c>
      <c r="AI141" s="10">
        <v>17.815331880745468</v>
      </c>
      <c r="AJ141" s="32">
        <v>1799.3290590274717</v>
      </c>
      <c r="AK141">
        <v>320</v>
      </c>
      <c r="AL141" s="7">
        <v>0.23595107994524964</v>
      </c>
    </row>
    <row r="142" spans="1:38" x14ac:dyDescent="0.3">
      <c r="A142">
        <v>76845</v>
      </c>
      <c r="B142">
        <v>30</v>
      </c>
      <c r="C142">
        <v>7</v>
      </c>
      <c r="D142">
        <v>1982</v>
      </c>
      <c r="E142">
        <v>4</v>
      </c>
      <c r="F142">
        <v>7</v>
      </c>
      <c r="G142">
        <v>1984</v>
      </c>
      <c r="H142">
        <v>70</v>
      </c>
      <c r="I142" s="32">
        <f t="shared" si="28"/>
        <v>14.733200530681511</v>
      </c>
      <c r="J142" s="1">
        <v>1.93150684931507</v>
      </c>
      <c r="K142" s="32">
        <f t="shared" si="29"/>
        <v>15.229984676796157</v>
      </c>
      <c r="L142" s="32">
        <f t="shared" si="30"/>
        <v>74.218092990657595</v>
      </c>
      <c r="M142" s="1">
        <f t="shared" si="31"/>
        <v>0.1659235249505992</v>
      </c>
      <c r="N142">
        <v>-1.3525050235330127</v>
      </c>
      <c r="O142" s="32">
        <f t="shared" si="38"/>
        <v>14.6790591829951</v>
      </c>
      <c r="P142" s="32">
        <f t="shared" si="32"/>
        <v>69.547753807463295</v>
      </c>
      <c r="Q142">
        <v>2</v>
      </c>
      <c r="R142">
        <v>72</v>
      </c>
      <c r="S142" s="32">
        <f t="shared" si="33"/>
        <v>8.736503742677316</v>
      </c>
      <c r="T142" s="1">
        <f t="shared" si="34"/>
        <v>8.7126856539047228</v>
      </c>
      <c r="U142" s="1">
        <f t="shared" si="35"/>
        <v>8.9492803535089021</v>
      </c>
      <c r="V142" s="1">
        <f t="shared" si="36"/>
        <v>1.8308110083000044</v>
      </c>
      <c r="W142" s="1">
        <f t="shared" si="39"/>
        <v>5.5977051880791807E-2</v>
      </c>
      <c r="X142" s="1">
        <f t="shared" si="40"/>
        <v>-0.23659469960417923</v>
      </c>
      <c r="Y142" s="39">
        <f t="shared" si="37"/>
        <v>74.130997120851831</v>
      </c>
      <c r="AB142">
        <v>137</v>
      </c>
      <c r="AC142" s="7">
        <v>0.53209953596229842</v>
      </c>
      <c r="AD142">
        <v>1.0774203976625949</v>
      </c>
      <c r="AE142">
        <v>0.95120428237467203</v>
      </c>
      <c r="AF142" s="7">
        <v>5.0026431539719446E-2</v>
      </c>
      <c r="AG142" s="10">
        <v>119.55453700701155</v>
      </c>
      <c r="AH142" s="1">
        <v>0.62209061125790976</v>
      </c>
      <c r="AI142" s="10">
        <v>36.543512798532959</v>
      </c>
      <c r="AJ142" s="32">
        <v>1773.4050769078724</v>
      </c>
      <c r="AK142">
        <v>320</v>
      </c>
      <c r="AL142" s="7">
        <v>0.33793265230725411</v>
      </c>
    </row>
    <row r="143" spans="1:38" x14ac:dyDescent="0.3">
      <c r="A143">
        <v>20584</v>
      </c>
      <c r="B143">
        <v>18</v>
      </c>
      <c r="C143">
        <v>1</v>
      </c>
      <c r="D143">
        <v>1982</v>
      </c>
      <c r="E143">
        <v>11</v>
      </c>
      <c r="F143">
        <v>6</v>
      </c>
      <c r="G143">
        <v>1985</v>
      </c>
      <c r="H143">
        <v>92</v>
      </c>
      <c r="I143" s="32">
        <f t="shared" si="28"/>
        <v>17.183326093250876</v>
      </c>
      <c r="J143" s="1">
        <v>3.3972602739725999</v>
      </c>
      <c r="K143" s="32">
        <f t="shared" si="29"/>
        <v>17.633765077091812</v>
      </c>
      <c r="L143" s="32">
        <f t="shared" si="30"/>
        <v>96.371182775607522</v>
      </c>
      <c r="M143" s="1">
        <f t="shared" si="31"/>
        <v>0.27162784750228869</v>
      </c>
      <c r="N143">
        <v>0.75944853961118497</v>
      </c>
      <c r="O143" s="32">
        <f t="shared" si="38"/>
        <v>18.029573924244215</v>
      </c>
      <c r="P143" s="32">
        <f t="shared" si="32"/>
        <v>100.29595789669095</v>
      </c>
      <c r="Q143">
        <v>19</v>
      </c>
      <c r="R143">
        <v>111</v>
      </c>
      <c r="S143" s="32">
        <f t="shared" si="33"/>
        <v>9.7850902466069272</v>
      </c>
      <c r="T143" s="1">
        <f t="shared" si="34"/>
        <v>10.135033738176647</v>
      </c>
      <c r="U143" s="1">
        <f t="shared" si="35"/>
        <v>9.9528536500130524</v>
      </c>
      <c r="V143" s="1">
        <f t="shared" si="36"/>
        <v>2.9660285265405175</v>
      </c>
      <c r="W143" s="1">
        <f t="shared" si="39"/>
        <v>3.318958452329504E-2</v>
      </c>
      <c r="X143" s="1">
        <f t="shared" si="40"/>
        <v>0.18218008816359443</v>
      </c>
      <c r="Y143" s="39">
        <f t="shared" si="37"/>
        <v>95.915138763316904</v>
      </c>
      <c r="AB143">
        <v>138</v>
      </c>
      <c r="AC143" s="7">
        <v>0.54118350743259658</v>
      </c>
      <c r="AD143">
        <v>1.29147496217689</v>
      </c>
      <c r="AE143">
        <v>0.94096089921743309</v>
      </c>
      <c r="AF143" s="7">
        <v>6.085369263262836E-2</v>
      </c>
      <c r="AG143" s="10">
        <v>111.76478341052864</v>
      </c>
      <c r="AH143" s="1">
        <v>0.75796405057483618</v>
      </c>
      <c r="AI143" s="10">
        <v>35.800263749713238</v>
      </c>
      <c r="AJ143" s="32">
        <v>1735.0533072670078</v>
      </c>
      <c r="AK143">
        <v>320</v>
      </c>
      <c r="AL143" s="7">
        <v>0.33447843610291811</v>
      </c>
    </row>
    <row r="144" spans="1:38" x14ac:dyDescent="0.3">
      <c r="A144">
        <v>79201</v>
      </c>
      <c r="B144">
        <v>13</v>
      </c>
      <c r="C144">
        <v>8</v>
      </c>
      <c r="D144">
        <v>1982</v>
      </c>
      <c r="E144">
        <v>15</v>
      </c>
      <c r="F144">
        <v>8</v>
      </c>
      <c r="G144">
        <v>1986</v>
      </c>
      <c r="H144">
        <v>126</v>
      </c>
      <c r="I144" s="32">
        <f t="shared" si="28"/>
        <v>20.449944320643649</v>
      </c>
      <c r="J144" s="1">
        <v>4.0082191780821903</v>
      </c>
      <c r="K144" s="32">
        <f t="shared" si="29"/>
        <v>20.366327989008298</v>
      </c>
      <c r="L144" s="32">
        <f t="shared" si="30"/>
        <v>125.06315692797399</v>
      </c>
      <c r="M144" s="1">
        <f t="shared" si="31"/>
        <v>0.31120496685289978</v>
      </c>
      <c r="N144">
        <v>-0.88950855570146814</v>
      </c>
      <c r="O144" s="32">
        <f t="shared" si="38"/>
        <v>19.87010898859435</v>
      </c>
      <c r="P144" s="32">
        <f t="shared" si="32"/>
        <v>119.57541679324883</v>
      </c>
      <c r="Q144">
        <v>8</v>
      </c>
      <c r="R144">
        <v>134</v>
      </c>
      <c r="S144" s="32">
        <f t="shared" si="33"/>
        <v>11.105648302939423</v>
      </c>
      <c r="T144" s="1">
        <f t="shared" si="34"/>
        <v>10.87697055492618</v>
      </c>
      <c r="U144" s="1">
        <f t="shared" si="35"/>
        <v>11.021261796855644</v>
      </c>
      <c r="V144" s="1">
        <f t="shared" si="36"/>
        <v>3.3840487647057289</v>
      </c>
      <c r="W144" s="1">
        <f t="shared" si="39"/>
        <v>2.0819962497547098E-2</v>
      </c>
      <c r="X144" s="1">
        <f t="shared" si="40"/>
        <v>-0.14429124192946396</v>
      </c>
      <c r="Y144" s="39">
        <f t="shared" si="37"/>
        <v>123.60203825585823</v>
      </c>
      <c r="AB144">
        <v>139</v>
      </c>
      <c r="AC144" s="7">
        <v>0.61337873697283818</v>
      </c>
      <c r="AD144">
        <v>1.4145884198715726</v>
      </c>
      <c r="AE144">
        <v>0.9522615511906205</v>
      </c>
      <c r="AF144" s="7">
        <v>4.8915543278912538E-2</v>
      </c>
      <c r="AG144" s="10">
        <v>123.39183568378463</v>
      </c>
      <c r="AH144" s="1">
        <v>0.91541690712660762</v>
      </c>
      <c r="AI144" s="10">
        <v>75.206267681055678</v>
      </c>
      <c r="AJ144" s="32">
        <v>1777.6066675781049</v>
      </c>
      <c r="AK144">
        <v>320</v>
      </c>
      <c r="AL144" s="7">
        <v>0.48478818725635114</v>
      </c>
    </row>
    <row r="145" spans="1:38" x14ac:dyDescent="0.3">
      <c r="A145">
        <v>76780</v>
      </c>
      <c r="B145">
        <v>30</v>
      </c>
      <c r="C145">
        <v>7</v>
      </c>
      <c r="D145">
        <v>1982</v>
      </c>
      <c r="E145">
        <v>20</v>
      </c>
      <c r="F145">
        <v>4</v>
      </c>
      <c r="G145">
        <v>1985</v>
      </c>
      <c r="H145">
        <v>53</v>
      </c>
      <c r="I145" s="32">
        <f t="shared" si="28"/>
        <v>12.560219778561036</v>
      </c>
      <c r="J145" s="1">
        <v>2.7260273972602702</v>
      </c>
      <c r="K145" s="32">
        <f t="shared" si="29"/>
        <v>13.531046282802986</v>
      </c>
      <c r="L145" s="32">
        <f t="shared" si="30"/>
        <v>60.303349659642116</v>
      </c>
      <c r="M145" s="1">
        <f t="shared" si="31"/>
        <v>0.22518886146640016</v>
      </c>
      <c r="N145">
        <v>0.77753611549269408</v>
      </c>
      <c r="O145" s="32">
        <f t="shared" si="38"/>
        <v>13.900018803453145</v>
      </c>
      <c r="P145" s="32">
        <f t="shared" si="32"/>
        <v>63.202649487540896</v>
      </c>
      <c r="Q145">
        <v>14</v>
      </c>
      <c r="R145">
        <v>67</v>
      </c>
      <c r="S145" s="32">
        <f t="shared" si="33"/>
        <v>7.7555955488817379</v>
      </c>
      <c r="T145" s="1">
        <f t="shared" si="34"/>
        <v>8.3665848526551478</v>
      </c>
      <c r="U145" s="1">
        <f t="shared" si="35"/>
        <v>8.195238719520443</v>
      </c>
      <c r="V145" s="1">
        <f t="shared" si="36"/>
        <v>2.4705356063749973</v>
      </c>
      <c r="W145" s="1">
        <f t="shared" si="39"/>
        <v>2.9359497340215986E-2</v>
      </c>
      <c r="X145" s="1">
        <f t="shared" si="40"/>
        <v>0.17134613313470481</v>
      </c>
      <c r="Y145" s="39">
        <f t="shared" si="37"/>
        <v>60.215186632310242</v>
      </c>
      <c r="AB145">
        <v>140</v>
      </c>
      <c r="AC145" s="7">
        <v>0.43218790328493528</v>
      </c>
      <c r="AD145">
        <v>0.90131767527358697</v>
      </c>
      <c r="AE145">
        <v>0.94296441120320518</v>
      </c>
      <c r="AF145" s="7">
        <v>5.8726737036242524E-2</v>
      </c>
      <c r="AG145" s="10">
        <v>116.93941023574899</v>
      </c>
      <c r="AH145" s="1">
        <v>0.44657418506693852</v>
      </c>
      <c r="AI145" s="10">
        <v>16.163074263586317</v>
      </c>
      <c r="AJ145" s="32">
        <v>1790.3241805391617</v>
      </c>
      <c r="AK145">
        <v>320</v>
      </c>
      <c r="AL145" s="7">
        <v>0.22474342498437466</v>
      </c>
    </row>
    <row r="146" spans="1:38" x14ac:dyDescent="0.3">
      <c r="A146">
        <v>78739</v>
      </c>
      <c r="B146">
        <v>24</v>
      </c>
      <c r="C146">
        <v>7</v>
      </c>
      <c r="D146">
        <v>1982</v>
      </c>
      <c r="E146">
        <v>30</v>
      </c>
      <c r="F146">
        <v>4</v>
      </c>
      <c r="G146">
        <v>1984</v>
      </c>
      <c r="H146">
        <v>83</v>
      </c>
      <c r="I146" s="32">
        <f t="shared" si="28"/>
        <v>16.220867158288598</v>
      </c>
      <c r="J146" s="1">
        <v>1.76986301369863</v>
      </c>
      <c r="K146" s="32">
        <f t="shared" si="29"/>
        <v>16.54883287211274</v>
      </c>
      <c r="L146" s="32">
        <f t="shared" si="30"/>
        <v>86.014800229392549</v>
      </c>
      <c r="M146" s="1">
        <f t="shared" si="31"/>
        <v>0.15326335809268193</v>
      </c>
      <c r="N146">
        <v>-0.63419065554626286</v>
      </c>
      <c r="O146" s="32">
        <f t="shared" si="38"/>
        <v>16.300554432568958</v>
      </c>
      <c r="P146" s="32">
        <f t="shared" si="32"/>
        <v>83.727573134854836</v>
      </c>
      <c r="Q146">
        <v>4</v>
      </c>
      <c r="R146">
        <v>87</v>
      </c>
      <c r="S146" s="32">
        <f t="shared" si="33"/>
        <v>9.3797459131381409</v>
      </c>
      <c r="T146" s="1">
        <f t="shared" si="34"/>
        <v>9.4136161359003587</v>
      </c>
      <c r="U146" s="1">
        <f t="shared" si="35"/>
        <v>9.5116591088885727</v>
      </c>
      <c r="V146" s="1">
        <f t="shared" si="36"/>
        <v>1.6931305604372775</v>
      </c>
      <c r="W146" s="1">
        <f t="shared" si="39"/>
        <v>9.612424552367653E-3</v>
      </c>
      <c r="X146" s="1">
        <f t="shared" si="40"/>
        <v>-9.8042972988213961E-2</v>
      </c>
      <c r="Y146" s="39">
        <f t="shared" si="37"/>
        <v>85.858569978898487</v>
      </c>
      <c r="AB146">
        <v>141</v>
      </c>
      <c r="AC146" s="7">
        <v>0.58911629182207381</v>
      </c>
      <c r="AD146">
        <v>1.3842698970516727</v>
      </c>
      <c r="AE146">
        <v>0.94705376303612543</v>
      </c>
      <c r="AF146" s="7">
        <v>5.4399415458078866E-2</v>
      </c>
      <c r="AG146" s="10">
        <v>115.41207673170612</v>
      </c>
      <c r="AH146" s="1">
        <v>0.86844218559587982</v>
      </c>
      <c r="AI146" s="10">
        <v>61.542157170630318</v>
      </c>
      <c r="AJ146" s="32">
        <v>1777.1816221383156</v>
      </c>
      <c r="AK146">
        <v>320</v>
      </c>
      <c r="AL146" s="7">
        <v>0.43854217717138649</v>
      </c>
    </row>
    <row r="147" spans="1:38" x14ac:dyDescent="0.3">
      <c r="A147">
        <v>20617</v>
      </c>
      <c r="B147">
        <v>19</v>
      </c>
      <c r="C147">
        <v>1</v>
      </c>
      <c r="D147">
        <v>1982</v>
      </c>
      <c r="E147">
        <v>11</v>
      </c>
      <c r="F147">
        <v>6</v>
      </c>
      <c r="G147">
        <v>1986</v>
      </c>
      <c r="H147">
        <v>70</v>
      </c>
      <c r="I147" s="32">
        <f t="shared" si="28"/>
        <v>14.733200530681511</v>
      </c>
      <c r="J147" s="1">
        <v>4.3945205479452101</v>
      </c>
      <c r="K147" s="32">
        <f t="shared" si="29"/>
        <v>15.796096785191322</v>
      </c>
      <c r="L147" s="32">
        <f t="shared" si="30"/>
        <v>79.175265196974237</v>
      </c>
      <c r="M147" s="1">
        <f t="shared" si="31"/>
        <v>0.33497886525814441</v>
      </c>
      <c r="N147">
        <v>-0.5671154212905094</v>
      </c>
      <c r="O147" s="32">
        <f t="shared" si="38"/>
        <v>15.467865358445859</v>
      </c>
      <c r="P147" s="32">
        <f t="shared" si="32"/>
        <v>76.281580045198226</v>
      </c>
      <c r="Q147">
        <v>34</v>
      </c>
      <c r="R147">
        <v>104</v>
      </c>
      <c r="S147" s="32">
        <f t="shared" si="33"/>
        <v>8.736503742677316</v>
      </c>
      <c r="T147" s="1">
        <f t="shared" si="34"/>
        <v>9.0568093859365586</v>
      </c>
      <c r="U147" s="1">
        <f t="shared" si="35"/>
        <v>9.1876005829757617</v>
      </c>
      <c r="V147" s="1">
        <f t="shared" si="36"/>
        <v>3.633175143719019</v>
      </c>
      <c r="W147" s="1">
        <f t="shared" si="39"/>
        <v>1.7106337222947639E-2</v>
      </c>
      <c r="X147" s="1">
        <f t="shared" si="40"/>
        <v>-0.13079119703920306</v>
      </c>
      <c r="Y147" s="39">
        <f t="shared" si="37"/>
        <v>78.955254131812012</v>
      </c>
      <c r="AB147">
        <v>142</v>
      </c>
      <c r="AC147" s="7">
        <v>0.41109283878351621</v>
      </c>
      <c r="AD147">
        <v>0.7939444967070628</v>
      </c>
      <c r="AE147">
        <v>0.9463176326158208</v>
      </c>
      <c r="AF147" s="7">
        <v>5.5177002421826576E-2</v>
      </c>
      <c r="AG147" s="10">
        <v>116.87712944335097</v>
      </c>
      <c r="AH147" s="1">
        <v>0.3800672643720357</v>
      </c>
      <c r="AI147" s="10">
        <v>13.364815506339333</v>
      </c>
      <c r="AJ147" s="32">
        <v>1789.3587680889032</v>
      </c>
      <c r="AK147">
        <v>320</v>
      </c>
      <c r="AL147" s="7">
        <v>0.20436498833535655</v>
      </c>
    </row>
    <row r="148" spans="1:38" x14ac:dyDescent="0.3">
      <c r="A148">
        <v>77137</v>
      </c>
      <c r="B148">
        <v>2</v>
      </c>
      <c r="C148">
        <v>8</v>
      </c>
      <c r="D148">
        <v>1982</v>
      </c>
      <c r="E148">
        <v>7</v>
      </c>
      <c r="F148">
        <v>5</v>
      </c>
      <c r="G148">
        <v>1986</v>
      </c>
      <c r="H148">
        <v>68</v>
      </c>
      <c r="I148" s="32">
        <f t="shared" si="28"/>
        <v>14.492422502470642</v>
      </c>
      <c r="J148" s="1">
        <v>3.7643835616438399</v>
      </c>
      <c r="K148" s="32">
        <f t="shared" si="29"/>
        <v>15.459499552740986</v>
      </c>
      <c r="L148" s="32">
        <f t="shared" si="30"/>
        <v>76.208531158040671</v>
      </c>
      <c r="M148" s="1">
        <f t="shared" si="31"/>
        <v>0.29570640571589063</v>
      </c>
      <c r="N148">
        <v>7.2545844886917621E-2</v>
      </c>
      <c r="O148" s="32">
        <f t="shared" si="38"/>
        <v>15.498949180463212</v>
      </c>
      <c r="P148" s="32">
        <f t="shared" si="32"/>
        <v>76.553305605108548</v>
      </c>
      <c r="Q148">
        <v>18</v>
      </c>
      <c r="R148">
        <v>86</v>
      </c>
      <c r="S148" s="32">
        <f t="shared" si="33"/>
        <v>8.6303494035856811</v>
      </c>
      <c r="T148" s="1">
        <f t="shared" si="34"/>
        <v>9.0702454381893141</v>
      </c>
      <c r="U148" s="1">
        <f t="shared" si="35"/>
        <v>9.0449439510336038</v>
      </c>
      <c r="V148" s="1">
        <f t="shared" si="36"/>
        <v>3.2208316087254336</v>
      </c>
      <c r="W148" s="1">
        <f t="shared" si="39"/>
        <v>6.4016525229056999E-4</v>
      </c>
      <c r="X148" s="1">
        <f t="shared" si="40"/>
        <v>2.5301487155710234E-2</v>
      </c>
      <c r="Y148" s="39">
        <f t="shared" si="37"/>
        <v>76.042174785840643</v>
      </c>
      <c r="AB148">
        <v>143</v>
      </c>
      <c r="AC148" s="7">
        <v>0.11935268972594942</v>
      </c>
      <c r="AD148">
        <v>0.32955558971860732</v>
      </c>
      <c r="AE148">
        <v>0.95001300931550681</v>
      </c>
      <c r="AF148" s="7">
        <v>5.1279600464989764E-2</v>
      </c>
      <c r="AG148" s="10">
        <v>129.47072570104518</v>
      </c>
      <c r="AH148" s="1">
        <v>8.9320336731630423E-2</v>
      </c>
      <c r="AI148" s="10">
        <v>0.96873630426238866</v>
      </c>
      <c r="AJ148" s="32">
        <v>1776.8401327107149</v>
      </c>
      <c r="AK148">
        <v>320</v>
      </c>
      <c r="AL148" s="7">
        <v>5.5020913758496999E-2</v>
      </c>
    </row>
    <row r="149" spans="1:38" x14ac:dyDescent="0.3">
      <c r="A149">
        <v>79496</v>
      </c>
      <c r="B149">
        <v>5</v>
      </c>
      <c r="C149">
        <v>9</v>
      </c>
      <c r="D149">
        <v>1982</v>
      </c>
      <c r="E149">
        <v>19</v>
      </c>
      <c r="F149">
        <v>6</v>
      </c>
      <c r="G149">
        <v>1987</v>
      </c>
      <c r="H149">
        <v>67</v>
      </c>
      <c r="I149" s="32">
        <f t="shared" si="28"/>
        <v>14.370705543744901</v>
      </c>
      <c r="J149" s="1">
        <v>4.7890410958904104</v>
      </c>
      <c r="K149" s="32">
        <f t="shared" si="29"/>
        <v>15.59676974281685</v>
      </c>
      <c r="L149" s="32">
        <f t="shared" si="30"/>
        <v>77.411576345428642</v>
      </c>
      <c r="M149" s="1">
        <f t="shared" si="31"/>
        <v>0.35830544724264307</v>
      </c>
      <c r="N149">
        <v>-0.72250259108841419</v>
      </c>
      <c r="O149" s="32">
        <f t="shared" si="38"/>
        <v>15.164289657250254</v>
      </c>
      <c r="P149" s="32">
        <f t="shared" si="32"/>
        <v>73.653209859497011</v>
      </c>
      <c r="Q149">
        <v>12</v>
      </c>
      <c r="R149">
        <v>79</v>
      </c>
      <c r="S149" s="32">
        <f t="shared" si="33"/>
        <v>8.5764587365829126</v>
      </c>
      <c r="T149" s="1">
        <f t="shared" si="34"/>
        <v>8.9250981095588653</v>
      </c>
      <c r="U149" s="1">
        <f t="shared" si="35"/>
        <v>9.1021066910457549</v>
      </c>
      <c r="V149" s="1">
        <f t="shared" si="36"/>
        <v>3.8761119605417718</v>
      </c>
      <c r="W149" s="1">
        <f t="shared" si="39"/>
        <v>3.1332037920000833E-2</v>
      </c>
      <c r="X149" s="1">
        <f t="shared" si="40"/>
        <v>-0.17700858148688958</v>
      </c>
      <c r="Y149" s="39">
        <f t="shared" si="37"/>
        <v>77.200337005445348</v>
      </c>
      <c r="AB149">
        <v>144</v>
      </c>
      <c r="AC149" s="7">
        <v>1.1283857083001363</v>
      </c>
      <c r="AD149">
        <v>8.6014220379928883</v>
      </c>
      <c r="AE149">
        <v>0.95516880060018572</v>
      </c>
      <c r="AF149" s="7">
        <v>4.5867199565484414E-2</v>
      </c>
      <c r="AG149" s="10">
        <v>117.89574470615514</v>
      </c>
      <c r="AH149" s="1">
        <v>9.7505528981288219</v>
      </c>
      <c r="AI149" s="10">
        <v>6750.1531726900075</v>
      </c>
      <c r="AJ149" s="32">
        <v>1767.6336958610323</v>
      </c>
      <c r="AK149">
        <v>320</v>
      </c>
      <c r="AL149" s="7">
        <v>4.592845377830205</v>
      </c>
    </row>
    <row r="150" spans="1:38" x14ac:dyDescent="0.3">
      <c r="A150">
        <v>79329</v>
      </c>
      <c r="B150">
        <v>25</v>
      </c>
      <c r="C150">
        <v>8</v>
      </c>
      <c r="D150">
        <v>1982</v>
      </c>
      <c r="E150">
        <v>8</v>
      </c>
      <c r="F150">
        <v>6</v>
      </c>
      <c r="G150">
        <v>1985</v>
      </c>
      <c r="H150">
        <v>89</v>
      </c>
      <c r="I150" s="32">
        <f t="shared" si="28"/>
        <v>16.867962264113206</v>
      </c>
      <c r="J150" s="1">
        <v>2.7890410958904099</v>
      </c>
      <c r="K150" s="32">
        <f t="shared" si="29"/>
        <v>17.285453999157749</v>
      </c>
      <c r="L150" s="32">
        <f t="shared" si="30"/>
        <v>92.9821839884074</v>
      </c>
      <c r="M150" s="1">
        <f t="shared" si="31"/>
        <v>0.22968571111964217</v>
      </c>
      <c r="N150">
        <v>-0.84035718828090467</v>
      </c>
      <c r="O150" s="32">
        <f t="shared" si="38"/>
        <v>16.882708302688439</v>
      </c>
      <c r="P150" s="32">
        <f t="shared" si="32"/>
        <v>89.139168211104732</v>
      </c>
      <c r="Q150">
        <v>3</v>
      </c>
      <c r="R150">
        <v>92</v>
      </c>
      <c r="S150" s="32">
        <f t="shared" si="33"/>
        <v>9.6531585939267348</v>
      </c>
      <c r="T150" s="1">
        <f t="shared" si="34"/>
        <v>9.659346481724663</v>
      </c>
      <c r="U150" s="1">
        <f t="shared" si="35"/>
        <v>9.8133881777252743</v>
      </c>
      <c r="V150" s="1">
        <f t="shared" si="36"/>
        <v>2.5187437623835045</v>
      </c>
      <c r="W150" s="1">
        <f t="shared" si="39"/>
        <v>2.372884410674473E-2</v>
      </c>
      <c r="X150" s="1">
        <f t="shared" si="40"/>
        <v>-0.15404169600061124</v>
      </c>
      <c r="Y150" s="39">
        <f t="shared" si="37"/>
        <v>92.652477897362431</v>
      </c>
      <c r="AB150">
        <v>145</v>
      </c>
      <c r="AC150" s="7">
        <v>0.43608033937123658</v>
      </c>
      <c r="AD150">
        <v>0.89629464164020367</v>
      </c>
      <c r="AE150">
        <v>0.94430132207780904</v>
      </c>
      <c r="AF150" s="7">
        <v>5.7309966652874703E-2</v>
      </c>
      <c r="AG150" s="10">
        <v>118.32644050153276</v>
      </c>
      <c r="AH150" s="1">
        <v>0.44655514942527186</v>
      </c>
      <c r="AI150" s="10">
        <v>15.440179354335523</v>
      </c>
      <c r="AJ150" s="32">
        <v>1765.8577295810219</v>
      </c>
      <c r="AK150">
        <v>320</v>
      </c>
      <c r="AL150" s="7">
        <v>0.21966010216308857</v>
      </c>
    </row>
    <row r="151" spans="1:38" x14ac:dyDescent="0.3">
      <c r="A151">
        <v>79451</v>
      </c>
      <c r="B151">
        <v>4</v>
      </c>
      <c r="C151">
        <v>9</v>
      </c>
      <c r="D151">
        <v>1982</v>
      </c>
      <c r="E151">
        <v>11</v>
      </c>
      <c r="F151">
        <v>9</v>
      </c>
      <c r="G151">
        <v>1982</v>
      </c>
      <c r="H151">
        <v>81</v>
      </c>
      <c r="I151" s="32">
        <f t="shared" si="28"/>
        <v>16</v>
      </c>
      <c r="J151" s="1">
        <v>1.9178082191780799E-2</v>
      </c>
      <c r="K151" s="32">
        <f t="shared" si="29"/>
        <v>16.003932893338074</v>
      </c>
      <c r="L151" s="32">
        <f t="shared" si="30"/>
        <v>81.035399906955178</v>
      </c>
      <c r="M151" s="1">
        <f t="shared" si="31"/>
        <v>1.8142891762259552E-3</v>
      </c>
      <c r="N151">
        <v>-0.3282013949501561</v>
      </c>
      <c r="O151" s="32">
        <f t="shared" si="38"/>
        <v>15.989953327704786</v>
      </c>
      <c r="P151" s="32">
        <f t="shared" si="32"/>
        <v>80.909605183249127</v>
      </c>
      <c r="Q151">
        <v>1</v>
      </c>
      <c r="R151">
        <v>82</v>
      </c>
      <c r="S151" s="32">
        <f t="shared" si="33"/>
        <v>9.2855678299812343</v>
      </c>
      <c r="T151" s="1">
        <f t="shared" si="34"/>
        <v>9.2812733160426912</v>
      </c>
      <c r="U151" s="1">
        <f t="shared" si="35"/>
        <v>9.2871793959715578</v>
      </c>
      <c r="V151" s="1">
        <f t="shared" si="36"/>
        <v>2.0312538242030623E-2</v>
      </c>
      <c r="W151" s="1">
        <f t="shared" si="39"/>
        <v>3.4881780126160943E-5</v>
      </c>
      <c r="X151" s="1">
        <f t="shared" si="40"/>
        <v>-5.9060799288666033E-3</v>
      </c>
      <c r="Y151" s="39">
        <f t="shared" si="37"/>
        <v>81.033939762758422</v>
      </c>
      <c r="AB151">
        <v>146</v>
      </c>
      <c r="AC151" s="7">
        <v>0.37324678992923277</v>
      </c>
      <c r="AD151">
        <v>0.63056943967706336</v>
      </c>
      <c r="AE151">
        <v>0.95262949233838579</v>
      </c>
      <c r="AF151" s="7">
        <v>4.8529231260079693E-2</v>
      </c>
      <c r="AG151" s="10">
        <v>119.86228591925456</v>
      </c>
      <c r="AH151" s="1">
        <v>0.2827285268485531</v>
      </c>
      <c r="AI151" s="10">
        <v>8.9315394235284788</v>
      </c>
      <c r="AJ151" s="32">
        <v>1768.9713283540602</v>
      </c>
      <c r="AK151">
        <v>320</v>
      </c>
      <c r="AL151" s="7">
        <v>0.16706603693906938</v>
      </c>
    </row>
    <row r="152" spans="1:38" x14ac:dyDescent="0.3">
      <c r="A152">
        <v>78928</v>
      </c>
      <c r="B152">
        <v>28</v>
      </c>
      <c r="C152">
        <v>7</v>
      </c>
      <c r="D152">
        <v>1982</v>
      </c>
      <c r="E152">
        <v>29</v>
      </c>
      <c r="F152">
        <v>4</v>
      </c>
      <c r="G152">
        <v>1989</v>
      </c>
      <c r="H152">
        <v>68</v>
      </c>
      <c r="I152" s="32">
        <f t="shared" si="28"/>
        <v>14.492422502470642</v>
      </c>
      <c r="J152" s="1">
        <v>6.7589041095890403</v>
      </c>
      <c r="K152" s="32">
        <f t="shared" si="29"/>
        <v>16.105994136851326</v>
      </c>
      <c r="L152" s="32">
        <f t="shared" si="30"/>
        <v>81.956755920923641</v>
      </c>
      <c r="M152" s="1">
        <f t="shared" si="31"/>
        <v>0.46164263558048085</v>
      </c>
      <c r="N152">
        <v>-0.83027316577499732</v>
      </c>
      <c r="O152" s="32">
        <f t="shared" si="38"/>
        <v>15.541870940779434</v>
      </c>
      <c r="P152" s="32">
        <f t="shared" si="32"/>
        <v>76.929309025740466</v>
      </c>
      <c r="Q152">
        <v>27</v>
      </c>
      <c r="R152">
        <v>95</v>
      </c>
      <c r="S152" s="32">
        <f t="shared" si="33"/>
        <v>8.6303494035856811</v>
      </c>
      <c r="T152" s="1">
        <f t="shared" si="34"/>
        <v>9.0887832988903181</v>
      </c>
      <c r="U152" s="1">
        <f t="shared" si="35"/>
        <v>9.3147533037444497</v>
      </c>
      <c r="V152" s="1">
        <f t="shared" si="36"/>
        <v>4.9329933212303265</v>
      </c>
      <c r="W152" s="1">
        <f t="shared" si="39"/>
        <v>5.1062443093776236E-2</v>
      </c>
      <c r="X152" s="1">
        <f t="shared" si="40"/>
        <v>-0.22597000485413155</v>
      </c>
      <c r="Y152" s="39">
        <f t="shared" si="37"/>
        <v>81.616178348038915</v>
      </c>
      <c r="AB152">
        <v>147</v>
      </c>
      <c r="AC152" s="7">
        <v>0.34738501320960208</v>
      </c>
      <c r="AD152">
        <v>0.63070821690084555</v>
      </c>
      <c r="AE152">
        <v>0.94992190275882027</v>
      </c>
      <c r="AF152" s="7">
        <v>5.1375505389076766E-2</v>
      </c>
      <c r="AG152" s="10">
        <v>126.62992058133652</v>
      </c>
      <c r="AH152" s="1">
        <v>0.26917667950068452</v>
      </c>
      <c r="AI152" s="10">
        <v>6.494594331467896</v>
      </c>
      <c r="AJ152" s="32">
        <v>1743.2074042126335</v>
      </c>
      <c r="AK152">
        <v>320</v>
      </c>
      <c r="AL152" s="7">
        <v>0.14246265224906202</v>
      </c>
    </row>
    <row r="153" spans="1:38" x14ac:dyDescent="0.3">
      <c r="A153">
        <v>22774</v>
      </c>
      <c r="B153">
        <v>28</v>
      </c>
      <c r="C153">
        <v>7</v>
      </c>
      <c r="D153">
        <v>1982</v>
      </c>
      <c r="E153">
        <v>9</v>
      </c>
      <c r="F153">
        <v>5</v>
      </c>
      <c r="G153">
        <v>1983</v>
      </c>
      <c r="H153">
        <v>73</v>
      </c>
      <c r="I153" s="32">
        <f t="shared" si="28"/>
        <v>15.088007490635061</v>
      </c>
      <c r="J153" s="1">
        <v>0.78082191780821897</v>
      </c>
      <c r="K153" s="32">
        <f t="shared" si="29"/>
        <v>15.280849817140615</v>
      </c>
      <c r="L153" s="32">
        <f t="shared" si="30"/>
        <v>74.656942600642182</v>
      </c>
      <c r="M153" s="1">
        <f t="shared" si="31"/>
        <v>7.1056315085784014E-2</v>
      </c>
      <c r="N153">
        <v>8.5053670773049816E-2</v>
      </c>
      <c r="O153" s="32">
        <f t="shared" si="38"/>
        <v>15.30352205569854</v>
      </c>
      <c r="P153" s="32">
        <f t="shared" si="32"/>
        <v>74.852968883011457</v>
      </c>
      <c r="Q153">
        <v>8</v>
      </c>
      <c r="R153">
        <v>81</v>
      </c>
      <c r="S153" s="32">
        <f t="shared" si="33"/>
        <v>8.8918605482504951</v>
      </c>
      <c r="T153" s="1">
        <f t="shared" si="34"/>
        <v>8.9856172953034825</v>
      </c>
      <c r="U153" s="1">
        <f t="shared" si="35"/>
        <v>8.973799134470303</v>
      </c>
      <c r="V153" s="1">
        <f t="shared" si="36"/>
        <v>0.79083723808247897</v>
      </c>
      <c r="W153" s="1">
        <f t="shared" si="39"/>
        <v>1.396689254788991E-4</v>
      </c>
      <c r="X153" s="1">
        <f t="shared" si="40"/>
        <v>1.1818160833179547E-2</v>
      </c>
      <c r="Y153" s="39">
        <f t="shared" si="37"/>
        <v>74.617623561005544</v>
      </c>
      <c r="AB153">
        <v>148</v>
      </c>
      <c r="AC153" s="7">
        <v>0.28377682445298941</v>
      </c>
      <c r="AD153">
        <v>0.61676282278708838</v>
      </c>
      <c r="AE153">
        <v>0.9377224194753</v>
      </c>
      <c r="AF153" s="7">
        <v>6.430130183597467E-2</v>
      </c>
      <c r="AG153" s="10">
        <v>111.49809961143238</v>
      </c>
      <c r="AH153" s="1">
        <v>0.23730057581588179</v>
      </c>
      <c r="AI153" s="10">
        <v>3.7740284900372068</v>
      </c>
      <c r="AJ153" s="32">
        <v>1737.3627884159519</v>
      </c>
      <c r="AK153">
        <v>320</v>
      </c>
      <c r="AL153" s="7">
        <v>0.10859944305274438</v>
      </c>
    </row>
    <row r="154" spans="1:38" x14ac:dyDescent="0.3">
      <c r="A154">
        <v>78939</v>
      </c>
      <c r="B154">
        <v>30</v>
      </c>
      <c r="C154">
        <v>7</v>
      </c>
      <c r="D154">
        <v>1982</v>
      </c>
      <c r="E154">
        <v>2</v>
      </c>
      <c r="F154">
        <v>6</v>
      </c>
      <c r="G154">
        <v>1984</v>
      </c>
      <c r="H154">
        <v>56</v>
      </c>
      <c r="I154" s="32">
        <f t="shared" si="28"/>
        <v>12.966629547095765</v>
      </c>
      <c r="J154" s="1">
        <v>1.84383561643836</v>
      </c>
      <c r="K154" s="32">
        <f t="shared" si="29"/>
        <v>13.601333390537537</v>
      </c>
      <c r="L154" s="32">
        <f t="shared" si="30"/>
        <v>60.850400890675367</v>
      </c>
      <c r="M154" s="1">
        <f t="shared" si="31"/>
        <v>0.15908305339624854</v>
      </c>
      <c r="N154">
        <v>2.073256837320514</v>
      </c>
      <c r="O154" s="32">
        <f t="shared" si="38"/>
        <v>14.428256378764878</v>
      </c>
      <c r="P154" s="32">
        <f t="shared" si="32"/>
        <v>67.471901911607233</v>
      </c>
      <c r="Q154">
        <v>4</v>
      </c>
      <c r="R154">
        <v>60</v>
      </c>
      <c r="S154" s="32">
        <f t="shared" si="33"/>
        <v>7.9431464222722967</v>
      </c>
      <c r="T154" s="1">
        <f t="shared" si="34"/>
        <v>8.6019588461674488</v>
      </c>
      <c r="U154" s="1">
        <f t="shared" si="35"/>
        <v>8.2288085163397326</v>
      </c>
      <c r="V154" s="1">
        <f t="shared" si="36"/>
        <v>1.7564639036117948</v>
      </c>
      <c r="W154" s="1">
        <f t="shared" si="39"/>
        <v>0.13924116865053332</v>
      </c>
      <c r="X154" s="1">
        <f t="shared" si="40"/>
        <v>0.37315032982771612</v>
      </c>
      <c r="Y154" s="39">
        <f t="shared" si="37"/>
        <v>60.7925986927929</v>
      </c>
      <c r="AB154">
        <v>149</v>
      </c>
      <c r="AC154" s="7">
        <v>0.12407238130890658</v>
      </c>
      <c r="AD154">
        <v>0.37252343243838948</v>
      </c>
      <c r="AE154">
        <v>0.9433249991412449</v>
      </c>
      <c r="AF154" s="7">
        <v>5.8344411884593377E-2</v>
      </c>
      <c r="AG154" s="10">
        <v>122.3231916527785</v>
      </c>
      <c r="AH154" s="1">
        <v>0.10289487021475366</v>
      </c>
      <c r="AI154" s="10">
        <v>0.99016002228089006</v>
      </c>
      <c r="AJ154" s="32">
        <v>1766.4896575212688</v>
      </c>
      <c r="AK154">
        <v>320</v>
      </c>
      <c r="AL154" s="7">
        <v>5.5625983763235881E-2</v>
      </c>
    </row>
    <row r="155" spans="1:38" x14ac:dyDescent="0.3">
      <c r="A155">
        <v>76774</v>
      </c>
      <c r="B155">
        <v>30</v>
      </c>
      <c r="C155">
        <v>7</v>
      </c>
      <c r="D155">
        <v>1982</v>
      </c>
      <c r="E155">
        <v>14</v>
      </c>
      <c r="F155">
        <v>7</v>
      </c>
      <c r="G155">
        <v>1987</v>
      </c>
      <c r="H155">
        <v>60</v>
      </c>
      <c r="I155" s="32">
        <f t="shared" si="28"/>
        <v>13.491933384829668</v>
      </c>
      <c r="J155" s="1">
        <v>4.9589041095890396</v>
      </c>
      <c r="K155" s="32">
        <f t="shared" si="29"/>
        <v>14.953555697082644</v>
      </c>
      <c r="L155" s="32">
        <f t="shared" si="30"/>
        <v>71.85576269352083</v>
      </c>
      <c r="M155" s="1">
        <f t="shared" si="31"/>
        <v>0.36806171537096066</v>
      </c>
      <c r="N155">
        <v>-1.4745864973519929</v>
      </c>
      <c r="O155" s="32">
        <f t="shared" si="38"/>
        <v>14.058952232591441</v>
      </c>
      <c r="P155" s="32">
        <f t="shared" si="32"/>
        <v>64.472486702163408</v>
      </c>
      <c r="Q155">
        <v>36</v>
      </c>
      <c r="R155">
        <v>96</v>
      </c>
      <c r="S155" s="32">
        <f t="shared" si="33"/>
        <v>8.1826710278683468</v>
      </c>
      <c r="T155" s="1">
        <f t="shared" si="34"/>
        <v>8.437716906211179</v>
      </c>
      <c r="U155" s="1">
        <f t="shared" si="35"/>
        <v>8.8245285929337527</v>
      </c>
      <c r="V155" s="1">
        <f t="shared" si="36"/>
        <v>3.9772658634192615</v>
      </c>
      <c r="W155" s="1">
        <f t="shared" si="39"/>
        <v>0.1496232809851625</v>
      </c>
      <c r="X155" s="1">
        <f t="shared" si="40"/>
        <v>-0.38681168672257371</v>
      </c>
      <c r="Y155" s="39">
        <f t="shared" si="37"/>
        <v>71.689071793606189</v>
      </c>
      <c r="AB155">
        <v>150</v>
      </c>
      <c r="AC155" s="7">
        <v>0.51634885876765335</v>
      </c>
      <c r="AD155">
        <v>0.91827979783999236</v>
      </c>
      <c r="AE155">
        <v>0.95852055573566608</v>
      </c>
      <c r="AF155" s="7">
        <v>4.2364270992783393E-2</v>
      </c>
      <c r="AG155" s="10">
        <v>131.73605310616787</v>
      </c>
      <c r="AH155" s="1">
        <v>0.51563216990840544</v>
      </c>
      <c r="AI155" s="10">
        <v>32.565300531038616</v>
      </c>
      <c r="AJ155" s="32">
        <v>1786.9002610083744</v>
      </c>
      <c r="AK155">
        <v>320</v>
      </c>
      <c r="AL155" s="7">
        <v>0.31900872113391454</v>
      </c>
    </row>
    <row r="156" spans="1:38" x14ac:dyDescent="0.3">
      <c r="A156">
        <v>79380</v>
      </c>
      <c r="B156">
        <v>30</v>
      </c>
      <c r="C156">
        <v>8</v>
      </c>
      <c r="D156">
        <v>1982</v>
      </c>
      <c r="E156">
        <v>20</v>
      </c>
      <c r="F156">
        <v>6</v>
      </c>
      <c r="G156">
        <v>1983</v>
      </c>
      <c r="H156">
        <v>83</v>
      </c>
      <c r="I156" s="32">
        <f t="shared" si="28"/>
        <v>16.220867158288598</v>
      </c>
      <c r="J156" s="1">
        <v>0.80547945205479499</v>
      </c>
      <c r="K156" s="32">
        <f t="shared" si="29"/>
        <v>16.373823157955762</v>
      </c>
      <c r="L156" s="32">
        <f t="shared" si="30"/>
        <v>84.399344359957865</v>
      </c>
      <c r="M156" s="1">
        <f t="shared" si="31"/>
        <v>7.3208805211673944E-2</v>
      </c>
      <c r="N156">
        <v>0.73497403718647547</v>
      </c>
      <c r="O156" s="32">
        <f t="shared" si="38"/>
        <v>16.572686007191571</v>
      </c>
      <c r="P156" s="32">
        <f t="shared" si="32"/>
        <v>86.236166380432394</v>
      </c>
      <c r="Q156">
        <v>3</v>
      </c>
      <c r="R156">
        <v>86</v>
      </c>
      <c r="S156" s="32">
        <f t="shared" si="33"/>
        <v>9.3797459131381409</v>
      </c>
      <c r="T156" s="1">
        <f t="shared" si="34"/>
        <v>9.5288550659332998</v>
      </c>
      <c r="U156" s="1">
        <f t="shared" si="35"/>
        <v>9.4414964280857312</v>
      </c>
      <c r="V156" s="1">
        <f t="shared" si="36"/>
        <v>0.8146398766900117</v>
      </c>
      <c r="W156" s="1">
        <f t="shared" si="39"/>
        <v>7.631531606582643E-3</v>
      </c>
      <c r="X156" s="1">
        <f t="shared" si="40"/>
        <v>8.7358637847568588E-2</v>
      </c>
      <c r="Y156" s="39">
        <f t="shared" si="37"/>
        <v>84.329784362375491</v>
      </c>
      <c r="AB156">
        <v>151</v>
      </c>
      <c r="AC156" s="7">
        <v>0.60629557049243554</v>
      </c>
      <c r="AD156">
        <v>1.3336504362901254</v>
      </c>
      <c r="AE156">
        <v>0.95373413502546012</v>
      </c>
      <c r="AF156" s="7">
        <v>4.737033083326616E-2</v>
      </c>
      <c r="AG156" s="10">
        <v>122.78071280881039</v>
      </c>
      <c r="AH156" s="1">
        <v>0.85485221708254699</v>
      </c>
      <c r="AI156" s="10">
        <v>77.914134721769386</v>
      </c>
      <c r="AJ156" s="32">
        <v>1809.1341448306744</v>
      </c>
      <c r="AK156">
        <v>320</v>
      </c>
      <c r="AL156" s="7">
        <v>0.49343861928869059</v>
      </c>
    </row>
    <row r="157" spans="1:38" x14ac:dyDescent="0.3">
      <c r="A157">
        <v>79395</v>
      </c>
      <c r="B157">
        <v>31</v>
      </c>
      <c r="C157">
        <v>8</v>
      </c>
      <c r="D157">
        <v>1982</v>
      </c>
      <c r="E157">
        <v>9</v>
      </c>
      <c r="F157">
        <v>2</v>
      </c>
      <c r="G157">
        <v>1983</v>
      </c>
      <c r="H157">
        <v>83</v>
      </c>
      <c r="I157" s="32">
        <f t="shared" si="28"/>
        <v>16.220867158288598</v>
      </c>
      <c r="J157" s="1">
        <v>0.44383561643835601</v>
      </c>
      <c r="K157" s="32">
        <f t="shared" si="29"/>
        <v>16.305930169263007</v>
      </c>
      <c r="L157" s="32">
        <f t="shared" si="30"/>
        <v>83.776769840483382</v>
      </c>
      <c r="M157" s="1">
        <f t="shared" si="31"/>
        <v>4.1086683733681781E-2</v>
      </c>
      <c r="N157">
        <v>3.7107383832335472E-3</v>
      </c>
      <c r="O157" s="32">
        <f t="shared" si="38"/>
        <v>16.306682330383946</v>
      </c>
      <c r="P157" s="32">
        <f t="shared" si="32"/>
        <v>83.78365448639795</v>
      </c>
      <c r="Q157">
        <v>1</v>
      </c>
      <c r="R157">
        <v>84</v>
      </c>
      <c r="S157" s="32">
        <f t="shared" si="33"/>
        <v>9.3797459131381409</v>
      </c>
      <c r="T157" s="1">
        <f t="shared" si="34"/>
        <v>9.4162183684141016</v>
      </c>
      <c r="U157" s="1">
        <f t="shared" si="35"/>
        <v>9.4141355616094948</v>
      </c>
      <c r="V157" s="1">
        <f t="shared" si="36"/>
        <v>0.45847431676544886</v>
      </c>
      <c r="W157" s="1">
        <f t="shared" si="39"/>
        <v>4.3380841853164648E-6</v>
      </c>
      <c r="X157" s="1">
        <f t="shared" si="40"/>
        <v>2.0828068046068182E-3</v>
      </c>
      <c r="Y157" s="39">
        <f t="shared" si="37"/>
        <v>83.738765325788506</v>
      </c>
      <c r="AB157">
        <v>152</v>
      </c>
      <c r="AC157" s="7">
        <v>0.31502499045060534</v>
      </c>
      <c r="AD157">
        <v>0.56986761836080713</v>
      </c>
      <c r="AE157">
        <v>0.94919144522226417</v>
      </c>
      <c r="AF157" s="7">
        <v>5.2144767079911752E-2</v>
      </c>
      <c r="AG157" s="10">
        <v>121.25346474792106</v>
      </c>
      <c r="AH157" s="1">
        <v>0.23033109580995831</v>
      </c>
      <c r="AI157" s="10">
        <v>5.6124907235484143</v>
      </c>
      <c r="AJ157" s="32">
        <v>1784.339641783695</v>
      </c>
      <c r="AK157">
        <v>320</v>
      </c>
      <c r="AL157" s="7">
        <v>0.13243501618185727</v>
      </c>
    </row>
    <row r="158" spans="1:38" x14ac:dyDescent="0.3">
      <c r="A158">
        <v>79277</v>
      </c>
      <c r="B158">
        <v>17</v>
      </c>
      <c r="C158">
        <v>8</v>
      </c>
      <c r="D158">
        <v>1982</v>
      </c>
      <c r="E158">
        <v>20</v>
      </c>
      <c r="F158">
        <v>8</v>
      </c>
      <c r="G158">
        <v>1985</v>
      </c>
      <c r="H158">
        <v>131</v>
      </c>
      <c r="I158" s="32">
        <f t="shared" si="28"/>
        <v>20.891046284519195</v>
      </c>
      <c r="J158" s="1">
        <v>3.0109589041095899</v>
      </c>
      <c r="K158" s="32">
        <f t="shared" si="29"/>
        <v>20.763531492517359</v>
      </c>
      <c r="L158" s="32">
        <f t="shared" si="30"/>
        <v>129.54459150270739</v>
      </c>
      <c r="M158" s="1">
        <f t="shared" si="31"/>
        <v>0.24529298049670178</v>
      </c>
      <c r="N158">
        <v>-1.1094880392192863</v>
      </c>
      <c r="O158" s="32">
        <f t="shared" si="38"/>
        <v>20.214034670774279</v>
      </c>
      <c r="P158" s="32">
        <f t="shared" si="32"/>
        <v>123.36583408859043</v>
      </c>
      <c r="Q158">
        <v>10</v>
      </c>
      <c r="R158">
        <v>141</v>
      </c>
      <c r="S158" s="32">
        <f t="shared" si="33"/>
        <v>11.278084706159062</v>
      </c>
      <c r="T158" s="1">
        <f t="shared" si="34"/>
        <v>11.012888323733787</v>
      </c>
      <c r="U158" s="1">
        <f t="shared" si="35"/>
        <v>11.18471357043982</v>
      </c>
      <c r="V158" s="1">
        <f t="shared" si="36"/>
        <v>2.6856854842871956</v>
      </c>
      <c r="W158" s="1">
        <f t="shared" si="39"/>
        <v>2.9523915405589275E-2</v>
      </c>
      <c r="X158" s="1">
        <f t="shared" si="40"/>
        <v>-0.1718252467060335</v>
      </c>
      <c r="Y158" s="39">
        <f t="shared" si="37"/>
        <v>128.27584648841983</v>
      </c>
      <c r="AB158">
        <v>153</v>
      </c>
      <c r="AC158" s="7">
        <v>0.18636911437201673</v>
      </c>
      <c r="AD158">
        <v>0.45891388439898639</v>
      </c>
      <c r="AE158">
        <v>0.94025992199857278</v>
      </c>
      <c r="AF158" s="7">
        <v>6.1598929176256929E-2</v>
      </c>
      <c r="AG158" s="10">
        <v>117.66184691598465</v>
      </c>
      <c r="AH158" s="1">
        <v>0.14526745220988838</v>
      </c>
      <c r="AI158" s="10">
        <v>2.1573285685203802</v>
      </c>
      <c r="AJ158" s="32">
        <v>1837.2384366406818</v>
      </c>
      <c r="AK158">
        <v>320</v>
      </c>
      <c r="AL158" s="7">
        <v>8.2107562237751203E-2</v>
      </c>
    </row>
    <row r="159" spans="1:38" x14ac:dyDescent="0.3">
      <c r="A159">
        <v>79320</v>
      </c>
      <c r="B159">
        <v>24</v>
      </c>
      <c r="C159">
        <v>8</v>
      </c>
      <c r="D159">
        <v>1982</v>
      </c>
      <c r="E159">
        <v>24</v>
      </c>
      <c r="F159">
        <v>8</v>
      </c>
      <c r="G159">
        <v>1987</v>
      </c>
      <c r="H159">
        <v>83</v>
      </c>
      <c r="I159" s="32">
        <f t="shared" si="28"/>
        <v>16.220867158288598</v>
      </c>
      <c r="J159" s="1">
        <v>5.0027397260274</v>
      </c>
      <c r="K159" s="32">
        <f t="shared" si="29"/>
        <v>17.076189957454137</v>
      </c>
      <c r="L159" s="32">
        <f t="shared" si="30"/>
        <v>90.975255823218518</v>
      </c>
      <c r="M159" s="1">
        <f t="shared" si="31"/>
        <v>0.37055198548529311</v>
      </c>
      <c r="N159">
        <v>-0.52722043619723991</v>
      </c>
      <c r="O159" s="32">
        <f t="shared" si="38"/>
        <v>16.755255159809629</v>
      </c>
      <c r="P159" s="32">
        <f t="shared" si="32"/>
        <v>87.939899027391419</v>
      </c>
      <c r="Q159">
        <v>11</v>
      </c>
      <c r="R159">
        <v>94</v>
      </c>
      <c r="S159" s="32">
        <f t="shared" si="33"/>
        <v>9.3797459131381409</v>
      </c>
      <c r="T159" s="1">
        <f t="shared" si="34"/>
        <v>9.6058012986771626</v>
      </c>
      <c r="U159" s="1">
        <f t="shared" si="35"/>
        <v>9.7196779534083202</v>
      </c>
      <c r="V159" s="1">
        <f t="shared" si="36"/>
        <v>4.0030415882313557</v>
      </c>
      <c r="W159" s="1">
        <f t="shared" si="39"/>
        <v>1.296789249275928E-2</v>
      </c>
      <c r="X159" s="1">
        <f t="shared" si="40"/>
        <v>-0.1138766547311576</v>
      </c>
      <c r="Y159" s="39">
        <f t="shared" si="37"/>
        <v>90.50396668705595</v>
      </c>
      <c r="AB159">
        <v>154</v>
      </c>
      <c r="AC159" s="7">
        <v>0.58975241515195365</v>
      </c>
      <c r="AD159">
        <v>1.3912348438670292</v>
      </c>
      <c r="AE159">
        <v>0.94755763947091864</v>
      </c>
      <c r="AF159" s="7">
        <v>5.3867510661130741E-2</v>
      </c>
      <c r="AG159" s="10">
        <v>117.72298412793575</v>
      </c>
      <c r="AH159" s="1">
        <v>0.87292646974321297</v>
      </c>
      <c r="AI159" s="10">
        <v>60.255406015153333</v>
      </c>
      <c r="AJ159" s="32">
        <v>1769.8329950261837</v>
      </c>
      <c r="AK159">
        <v>320</v>
      </c>
      <c r="AL159" s="7">
        <v>0.43393334026939456</v>
      </c>
    </row>
    <row r="160" spans="1:38" x14ac:dyDescent="0.3">
      <c r="A160">
        <v>20606</v>
      </c>
      <c r="B160">
        <v>19</v>
      </c>
      <c r="C160">
        <v>1</v>
      </c>
      <c r="D160">
        <v>1982</v>
      </c>
      <c r="E160">
        <v>28</v>
      </c>
      <c r="F160">
        <v>4</v>
      </c>
      <c r="G160">
        <v>1984</v>
      </c>
      <c r="H160">
        <v>88</v>
      </c>
      <c r="I160" s="32">
        <f t="shared" si="28"/>
        <v>16.761663039293719</v>
      </c>
      <c r="J160" s="1">
        <v>2.2739726027397298</v>
      </c>
      <c r="K160" s="32">
        <f t="shared" si="29"/>
        <v>17.118184815069437</v>
      </c>
      <c r="L160" s="32">
        <f t="shared" si="30"/>
        <v>91.376247655787907</v>
      </c>
      <c r="M160" s="1">
        <f t="shared" si="31"/>
        <v>0.19206228883989238</v>
      </c>
      <c r="N160">
        <v>-9.8958707894780673E-2</v>
      </c>
      <c r="O160" s="32">
        <f t="shared" si="38"/>
        <v>17.074816248682502</v>
      </c>
      <c r="P160" s="32">
        <f t="shared" si="32"/>
        <v>90.962153730250506</v>
      </c>
      <c r="Q160">
        <v>19</v>
      </c>
      <c r="R160">
        <v>107</v>
      </c>
      <c r="S160" s="32">
        <f t="shared" si="33"/>
        <v>9.6084967093666851</v>
      </c>
      <c r="T160" s="1">
        <f t="shared" si="34"/>
        <v>9.7397907840137332</v>
      </c>
      <c r="U160" s="1">
        <f t="shared" si="35"/>
        <v>9.7467161536402802</v>
      </c>
      <c r="V160" s="1">
        <f t="shared" si="36"/>
        <v>2.1139469595400122</v>
      </c>
      <c r="W160" s="1">
        <f t="shared" si="39"/>
        <v>4.796074446429967E-5</v>
      </c>
      <c r="X160" s="1">
        <f t="shared" si="40"/>
        <v>-6.9253696265469955E-3</v>
      </c>
      <c r="Y160" s="39">
        <f t="shared" si="37"/>
        <v>91.120290961828857</v>
      </c>
      <c r="AB160">
        <v>155</v>
      </c>
      <c r="AC160" s="7">
        <v>0.1739679485042033</v>
      </c>
      <c r="AD160">
        <v>0.40338297198397111</v>
      </c>
      <c r="AE160">
        <v>0.94622056006467137</v>
      </c>
      <c r="AF160" s="7">
        <v>5.5279586931465528E-2</v>
      </c>
      <c r="AG160" s="10">
        <v>121.49812596974589</v>
      </c>
      <c r="AH160" s="1">
        <v>0.12395514803290861</v>
      </c>
      <c r="AI160" s="10">
        <v>1.7150618590161557</v>
      </c>
      <c r="AJ160" s="32">
        <v>1801.2177319932207</v>
      </c>
      <c r="AK160">
        <v>320</v>
      </c>
      <c r="AL160" s="7">
        <v>7.3209072589573806E-2</v>
      </c>
    </row>
    <row r="161" spans="1:38" x14ac:dyDescent="0.3">
      <c r="A161">
        <v>22953</v>
      </c>
      <c r="B161">
        <v>29</v>
      </c>
      <c r="C161">
        <v>7</v>
      </c>
      <c r="D161">
        <v>1982</v>
      </c>
      <c r="E161">
        <v>27</v>
      </c>
      <c r="F161">
        <v>1</v>
      </c>
      <c r="G161">
        <v>1983</v>
      </c>
      <c r="H161">
        <v>77</v>
      </c>
      <c r="I161" s="32">
        <f t="shared" si="28"/>
        <v>15.549928774784245</v>
      </c>
      <c r="J161" s="1">
        <v>0.49863013698630099</v>
      </c>
      <c r="K161" s="32">
        <f t="shared" si="29"/>
        <v>15.662302318111697</v>
      </c>
      <c r="L161" s="32">
        <f t="shared" si="30"/>
        <v>77.989230794093473</v>
      </c>
      <c r="M161" s="1">
        <f t="shared" si="31"/>
        <v>4.6030603868319482E-2</v>
      </c>
      <c r="N161">
        <v>1.9252274796599522</v>
      </c>
      <c r="O161" s="32">
        <f t="shared" si="38"/>
        <v>16.075354944652229</v>
      </c>
      <c r="P161" s="32">
        <f t="shared" si="32"/>
        <v>81.679614093790946</v>
      </c>
      <c r="Q161">
        <v>1</v>
      </c>
      <c r="R161">
        <v>78</v>
      </c>
      <c r="S161" s="32">
        <f t="shared" si="33"/>
        <v>9.0922615112669138</v>
      </c>
      <c r="T161" s="1">
        <f t="shared" si="34"/>
        <v>9.3177492718677648</v>
      </c>
      <c r="U161" s="1">
        <f t="shared" si="35"/>
        <v>9.139195151108721</v>
      </c>
      <c r="V161" s="1">
        <f t="shared" si="36"/>
        <v>0.51342375872488688</v>
      </c>
      <c r="W161" s="1">
        <f t="shared" si="39"/>
        <v>3.1881574040035179E-2</v>
      </c>
      <c r="X161" s="1">
        <f t="shared" si="40"/>
        <v>0.17855412075904376</v>
      </c>
      <c r="Y161" s="39">
        <f t="shared" si="37"/>
        <v>77.958286343823929</v>
      </c>
      <c r="AB161">
        <v>156</v>
      </c>
      <c r="AC161" s="7">
        <v>0.97837350210102791</v>
      </c>
      <c r="AD161">
        <v>4.3319247140434216</v>
      </c>
      <c r="AE161">
        <v>0.9620483392084902</v>
      </c>
      <c r="AF161" s="7">
        <v>3.8690580921377844E-2</v>
      </c>
      <c r="AG161" s="10">
        <v>125.07804802202908</v>
      </c>
      <c r="AH161" s="1">
        <v>4.2761920141081662</v>
      </c>
      <c r="AI161" s="10">
        <v>1515.2110300381332</v>
      </c>
      <c r="AJ161" s="32">
        <v>1716.3529524781927</v>
      </c>
      <c r="AK161">
        <v>320</v>
      </c>
      <c r="AL161" s="7">
        <v>2.1760134349008893</v>
      </c>
    </row>
    <row r="162" spans="1:38" x14ac:dyDescent="0.3">
      <c r="A162">
        <v>76699</v>
      </c>
      <c r="B162">
        <v>30</v>
      </c>
      <c r="C162">
        <v>7</v>
      </c>
      <c r="D162">
        <v>1982</v>
      </c>
      <c r="E162">
        <v>13</v>
      </c>
      <c r="F162">
        <v>5</v>
      </c>
      <c r="G162">
        <v>1988</v>
      </c>
      <c r="H162">
        <v>71</v>
      </c>
      <c r="I162" s="32">
        <f t="shared" si="28"/>
        <v>14.852299546352718</v>
      </c>
      <c r="J162" s="1">
        <v>5.7917808219178104</v>
      </c>
      <c r="K162" s="32">
        <f t="shared" si="29"/>
        <v>16.175336144977162</v>
      </c>
      <c r="L162" s="32">
        <f t="shared" si="30"/>
        <v>82.58571099572832</v>
      </c>
      <c r="M162" s="1">
        <f t="shared" si="31"/>
        <v>0.41351390361240525</v>
      </c>
      <c r="N162">
        <v>-1.8190030459663831</v>
      </c>
      <c r="O162" s="32">
        <f t="shared" si="38"/>
        <v>15.005625386081947</v>
      </c>
      <c r="P162" s="32">
        <f t="shared" si="32"/>
        <v>72.297823692938678</v>
      </c>
      <c r="Q162">
        <v>9</v>
      </c>
      <c r="R162">
        <v>80</v>
      </c>
      <c r="S162" s="32">
        <f t="shared" si="33"/>
        <v>8.788793609685694</v>
      </c>
      <c r="T162" s="1">
        <f t="shared" si="34"/>
        <v>8.8559005952963936</v>
      </c>
      <c r="U162" s="1">
        <f t="shared" si="35"/>
        <v>9.3452446491408985</v>
      </c>
      <c r="V162" s="1">
        <f t="shared" si="36"/>
        <v>4.4448472631338385</v>
      </c>
      <c r="W162" s="1">
        <f t="shared" si="39"/>
        <v>0.23945760303297367</v>
      </c>
      <c r="X162" s="1">
        <f t="shared" si="40"/>
        <v>-0.48934405384450486</v>
      </c>
      <c r="Y162" s="39">
        <f t="shared" si="37"/>
        <v>82.263390740748648</v>
      </c>
      <c r="AB162">
        <v>157</v>
      </c>
      <c r="AC162" s="7">
        <v>0.30309152776969123</v>
      </c>
      <c r="AD162">
        <v>0.69552948406459614</v>
      </c>
      <c r="AE162">
        <v>0.9332401243365952</v>
      </c>
      <c r="AF162" s="7">
        <v>6.9092743256189998E-2</v>
      </c>
      <c r="AG162" s="10">
        <v>110.1058184863019</v>
      </c>
      <c r="AH162" s="1">
        <v>0.27756896959740834</v>
      </c>
      <c r="AI162" s="10">
        <v>5.424876552760951</v>
      </c>
      <c r="AJ162" s="32">
        <v>1797.5903949009733</v>
      </c>
      <c r="AK162">
        <v>320</v>
      </c>
      <c r="AL162" s="7">
        <v>0.13020268517729569</v>
      </c>
    </row>
    <row r="163" spans="1:38" x14ac:dyDescent="0.3">
      <c r="A163">
        <v>22934</v>
      </c>
      <c r="B163">
        <v>28</v>
      </c>
      <c r="C163">
        <v>7</v>
      </c>
      <c r="D163">
        <v>1982</v>
      </c>
      <c r="E163">
        <v>10</v>
      </c>
      <c r="F163">
        <v>7</v>
      </c>
      <c r="G163">
        <v>1984</v>
      </c>
      <c r="H163">
        <v>65</v>
      </c>
      <c r="I163" s="32">
        <f t="shared" si="28"/>
        <v>14.124515496597098</v>
      </c>
      <c r="J163" s="1">
        <v>1.95342465753425</v>
      </c>
      <c r="K163" s="32">
        <f t="shared" si="29"/>
        <v>14.684692106539547</v>
      </c>
      <c r="L163" s="32">
        <f t="shared" si="30"/>
        <v>69.594737672505772</v>
      </c>
      <c r="M163" s="1">
        <f t="shared" si="31"/>
        <v>0.16762405154773879</v>
      </c>
      <c r="N163">
        <v>0.79315668699564412</v>
      </c>
      <c r="O163" s="32">
        <f t="shared" si="38"/>
        <v>15.009425653957088</v>
      </c>
      <c r="P163" s="32">
        <f t="shared" si="32"/>
        <v>72.330140269373373</v>
      </c>
      <c r="Q163">
        <v>8</v>
      </c>
      <c r="R163">
        <v>73</v>
      </c>
      <c r="S163" s="32">
        <f t="shared" si="33"/>
        <v>8.4669809135353606</v>
      </c>
      <c r="T163" s="1">
        <f t="shared" si="34"/>
        <v>8.857560900413743</v>
      </c>
      <c r="U163" s="1">
        <f t="shared" si="35"/>
        <v>8.7114636582524678</v>
      </c>
      <c r="V163" s="1">
        <f t="shared" si="36"/>
        <v>1.8492775344427757</v>
      </c>
      <c r="W163" s="1">
        <f t="shared" si="39"/>
        <v>2.1344404167130279E-2</v>
      </c>
      <c r="X163" s="1">
        <f t="shared" si="40"/>
        <v>0.14609724216127518</v>
      </c>
      <c r="Y163" s="39">
        <f t="shared" si="37"/>
        <v>69.524605945631706</v>
      </c>
      <c r="AB163">
        <v>158</v>
      </c>
      <c r="AC163" s="7">
        <v>0.24616254976897031</v>
      </c>
      <c r="AD163">
        <v>0.43492377427209494</v>
      </c>
      <c r="AE163">
        <v>0.95317434956732272</v>
      </c>
      <c r="AF163" s="7">
        <v>4.7957443931498409E-2</v>
      </c>
      <c r="AG163" s="10">
        <v>125.63190605960712</v>
      </c>
      <c r="AH163" s="1">
        <v>0.15388759566264026</v>
      </c>
      <c r="AI163" s="10">
        <v>3.0281934275075781</v>
      </c>
      <c r="AJ163" s="32">
        <v>1782.811688278691</v>
      </c>
      <c r="AK163">
        <v>320</v>
      </c>
      <c r="AL163" s="7">
        <v>9.7278489199623064E-2</v>
      </c>
    </row>
    <row r="164" spans="1:38" x14ac:dyDescent="0.3">
      <c r="A164">
        <v>20673</v>
      </c>
      <c r="B164">
        <v>23</v>
      </c>
      <c r="C164">
        <v>1</v>
      </c>
      <c r="D164">
        <v>1982</v>
      </c>
      <c r="E164">
        <v>28</v>
      </c>
      <c r="F164">
        <v>5</v>
      </c>
      <c r="G164">
        <v>1984</v>
      </c>
      <c r="H164">
        <v>95</v>
      </c>
      <c r="I164" s="32">
        <f t="shared" si="28"/>
        <v>17.493588689617926</v>
      </c>
      <c r="J164" s="1">
        <v>2.34520547945205</v>
      </c>
      <c r="K164" s="32">
        <f t="shared" si="29"/>
        <v>17.777664526066182</v>
      </c>
      <c r="L164" s="32">
        <f t="shared" si="30"/>
        <v>97.789003526404173</v>
      </c>
      <c r="M164" s="1">
        <f t="shared" si="31"/>
        <v>0.19738473526007114</v>
      </c>
      <c r="N164">
        <v>-1.9430990505497903</v>
      </c>
      <c r="O164" s="32">
        <f t="shared" si="38"/>
        <v>16.914384443018395</v>
      </c>
      <c r="P164" s="32">
        <f t="shared" si="32"/>
        <v>89.438484714574074</v>
      </c>
      <c r="Q164">
        <v>20</v>
      </c>
      <c r="R164">
        <v>115</v>
      </c>
      <c r="S164" s="32">
        <f t="shared" si="33"/>
        <v>9.9140714665696912</v>
      </c>
      <c r="T164" s="1">
        <f t="shared" si="34"/>
        <v>9.6726324395276837</v>
      </c>
      <c r="U164" s="1">
        <f t="shared" si="35"/>
        <v>10.016722704163289</v>
      </c>
      <c r="V164" s="1">
        <f t="shared" si="36"/>
        <v>2.1714109241266808</v>
      </c>
      <c r="W164" s="1">
        <f t="shared" si="39"/>
        <v>0.11839811021700099</v>
      </c>
      <c r="X164" s="1">
        <f t="shared" si="40"/>
        <v>-0.34409026463560544</v>
      </c>
      <c r="Y164" s="39">
        <f t="shared" si="37"/>
        <v>97.435544284819031</v>
      </c>
      <c r="AB164">
        <v>159</v>
      </c>
      <c r="AC164" s="7">
        <v>1.1446158480325603</v>
      </c>
      <c r="AD164">
        <v>8.3921922685360908</v>
      </c>
      <c r="AE164">
        <v>0.96088678701076491</v>
      </c>
      <c r="AF164" s="7">
        <v>3.9898684432684753E-2</v>
      </c>
      <c r="AG164" s="10">
        <v>122.95991043165604</v>
      </c>
      <c r="AH164" s="1">
        <v>9.6449494832919687</v>
      </c>
      <c r="AI164" s="10">
        <v>9865.6594439161909</v>
      </c>
      <c r="AJ164" s="32">
        <v>1847.3512739126736</v>
      </c>
      <c r="AK164">
        <v>320</v>
      </c>
      <c r="AL164" s="7">
        <v>5.5524936526067359</v>
      </c>
    </row>
    <row r="165" spans="1:38" x14ac:dyDescent="0.3">
      <c r="A165">
        <v>79545</v>
      </c>
      <c r="B165">
        <v>5</v>
      </c>
      <c r="C165">
        <v>9</v>
      </c>
      <c r="D165">
        <v>1982</v>
      </c>
      <c r="E165">
        <v>14</v>
      </c>
      <c r="F165">
        <v>7</v>
      </c>
      <c r="G165">
        <v>1987</v>
      </c>
      <c r="H165">
        <v>71</v>
      </c>
      <c r="I165" s="32">
        <f t="shared" si="28"/>
        <v>14.852299546352718</v>
      </c>
      <c r="J165" s="1">
        <v>4.8575342465753399</v>
      </c>
      <c r="K165" s="32">
        <f t="shared" si="29"/>
        <v>15.987593576265388</v>
      </c>
      <c r="L165" s="32">
        <f t="shared" si="30"/>
        <v>80.88838066622597</v>
      </c>
      <c r="M165" s="1">
        <f t="shared" si="31"/>
        <v>0.36225989279510074</v>
      </c>
      <c r="N165">
        <v>-0.22985886971582659</v>
      </c>
      <c r="O165" s="32">
        <f t="shared" si="38"/>
        <v>15.84924605132503</v>
      </c>
      <c r="P165" s="32">
        <f t="shared" si="32"/>
        <v>79.648896150185564</v>
      </c>
      <c r="Q165">
        <v>14</v>
      </c>
      <c r="R165">
        <v>85</v>
      </c>
      <c r="S165" s="32">
        <f t="shared" si="33"/>
        <v>8.788793609685694</v>
      </c>
      <c r="T165" s="1">
        <f t="shared" si="34"/>
        <v>9.2210292652586094</v>
      </c>
      <c r="U165" s="1">
        <f t="shared" si="35"/>
        <v>9.2678742885172056</v>
      </c>
      <c r="V165" s="1">
        <f t="shared" si="36"/>
        <v>3.9171447077903756</v>
      </c>
      <c r="W165" s="1">
        <f t="shared" si="39"/>
        <v>2.1944562040984174E-3</v>
      </c>
      <c r="X165" s="1">
        <f t="shared" si="40"/>
        <v>-4.6845023258596186E-2</v>
      </c>
      <c r="Y165" s="39">
        <f t="shared" si="37"/>
        <v>80.628019947356606</v>
      </c>
      <c r="AB165">
        <v>160</v>
      </c>
      <c r="AC165" s="7">
        <v>0.5314475302489492</v>
      </c>
      <c r="AD165">
        <v>1.0760034598139792</v>
      </c>
      <c r="AE165">
        <v>0.95162544057168152</v>
      </c>
      <c r="AF165" s="7">
        <v>4.9583766388121307E-2</v>
      </c>
      <c r="AG165" s="10">
        <v>121.54295628557531</v>
      </c>
      <c r="AH165" s="1">
        <v>0.62021394068578217</v>
      </c>
      <c r="AI165" s="10">
        <v>39.693233388135951</v>
      </c>
      <c r="AJ165" s="32">
        <v>1802.7147973630445</v>
      </c>
      <c r="AK165">
        <v>320</v>
      </c>
      <c r="AL165" s="7">
        <v>0.35219505155229658</v>
      </c>
    </row>
    <row r="166" spans="1:38" x14ac:dyDescent="0.3">
      <c r="A166">
        <v>22642</v>
      </c>
      <c r="B166">
        <v>26</v>
      </c>
      <c r="C166">
        <v>7</v>
      </c>
      <c r="D166">
        <v>1982</v>
      </c>
      <c r="E166">
        <v>29</v>
      </c>
      <c r="F166">
        <v>7</v>
      </c>
      <c r="G166">
        <v>1984</v>
      </c>
      <c r="H166">
        <v>75</v>
      </c>
      <c r="I166" s="32">
        <f t="shared" si="28"/>
        <v>15.320508075688775</v>
      </c>
      <c r="J166" s="1">
        <v>2.0109589041095899</v>
      </c>
      <c r="K166" s="32">
        <f t="shared" si="29"/>
        <v>15.779131832498958</v>
      </c>
      <c r="L166" s="32">
        <f t="shared" si="30"/>
        <v>79.024382179344443</v>
      </c>
      <c r="M166" s="1">
        <f t="shared" si="31"/>
        <v>0.17206978448388011</v>
      </c>
      <c r="N166">
        <v>0.49461959861218929</v>
      </c>
      <c r="O166" s="32">
        <f t="shared" si="38"/>
        <v>15.984306447921014</v>
      </c>
      <c r="P166" s="32">
        <f t="shared" si="32"/>
        <v>80.858819603183335</v>
      </c>
      <c r="Q166">
        <v>17</v>
      </c>
      <c r="R166">
        <v>92</v>
      </c>
      <c r="S166" s="32">
        <f t="shared" si="33"/>
        <v>8.9929875760017879</v>
      </c>
      <c r="T166" s="1">
        <f t="shared" si="34"/>
        <v>9.2788591140869165</v>
      </c>
      <c r="U166" s="1">
        <f t="shared" si="35"/>
        <v>9.1852249679574633</v>
      </c>
      <c r="V166" s="1">
        <f t="shared" si="36"/>
        <v>1.8975248193853798</v>
      </c>
      <c r="W166" s="1">
        <f t="shared" si="39"/>
        <v>8.7673533213917954E-3</v>
      </c>
      <c r="X166" s="1">
        <f t="shared" si="40"/>
        <v>9.36341461294532E-2</v>
      </c>
      <c r="Y166" s="39">
        <f t="shared" si="37"/>
        <v>78.906120355381404</v>
      </c>
      <c r="AB166">
        <v>161</v>
      </c>
      <c r="AC166" s="7">
        <v>0.34521096038232285</v>
      </c>
      <c r="AD166">
        <v>0.64758892904098508</v>
      </c>
      <c r="AE166">
        <v>0.9464400062550945</v>
      </c>
      <c r="AF166" s="7">
        <v>5.5047695175160581E-2</v>
      </c>
      <c r="AG166" s="10">
        <v>116.8898281986977</v>
      </c>
      <c r="AH166" s="1">
        <v>0.27711478987210392</v>
      </c>
      <c r="AI166" s="10">
        <v>6.7614754968182851</v>
      </c>
      <c r="AJ166" s="32">
        <v>1756.3863283898741</v>
      </c>
      <c r="AK166">
        <v>320</v>
      </c>
      <c r="AL166" s="7">
        <v>0.14536027974504295</v>
      </c>
    </row>
    <row r="167" spans="1:38" x14ac:dyDescent="0.3">
      <c r="A167">
        <v>78901</v>
      </c>
      <c r="B167">
        <v>27</v>
      </c>
      <c r="C167">
        <v>7</v>
      </c>
      <c r="D167">
        <v>1982</v>
      </c>
      <c r="E167">
        <v>21</v>
      </c>
      <c r="F167">
        <v>5</v>
      </c>
      <c r="G167">
        <v>1984</v>
      </c>
      <c r="H167">
        <v>72</v>
      </c>
      <c r="I167" s="32">
        <f t="shared" si="28"/>
        <v>14.970562748477139</v>
      </c>
      <c r="J167" s="1">
        <v>1.81917808219178</v>
      </c>
      <c r="K167" s="32">
        <f t="shared" si="29"/>
        <v>15.418637410449437</v>
      </c>
      <c r="L167" s="32">
        <f t="shared" si="30"/>
        <v>75.852232309177154</v>
      </c>
      <c r="M167" s="1">
        <f t="shared" si="31"/>
        <v>0.15714805992354464</v>
      </c>
      <c r="N167">
        <v>1.017899649013998</v>
      </c>
      <c r="O167" s="32">
        <f t="shared" si="38"/>
        <v>15.822152218096635</v>
      </c>
      <c r="P167" s="32">
        <f t="shared" si="32"/>
        <v>79.407277421251692</v>
      </c>
      <c r="Q167">
        <v>3</v>
      </c>
      <c r="R167">
        <v>75</v>
      </c>
      <c r="S167" s="32">
        <f t="shared" si="33"/>
        <v>8.8405752459119533</v>
      </c>
      <c r="T167" s="1">
        <f t="shared" si="34"/>
        <v>9.2094079317560062</v>
      </c>
      <c r="U167" s="1">
        <f t="shared" si="35"/>
        <v>9.0310088438570837</v>
      </c>
      <c r="V167" s="1">
        <f t="shared" si="36"/>
        <v>1.7354143805962381</v>
      </c>
      <c r="W167" s="1">
        <f t="shared" si="39"/>
        <v>3.1826234563167501E-2</v>
      </c>
      <c r="X167" s="1">
        <f t="shared" si="40"/>
        <v>0.17839908789892256</v>
      </c>
      <c r="Y167" s="39">
        <f t="shared" si="37"/>
        <v>75.761676233936441</v>
      </c>
      <c r="AB167">
        <v>162</v>
      </c>
      <c r="AC167" s="7">
        <v>0.49840564916335195</v>
      </c>
      <c r="AD167">
        <v>1.1087651169983677</v>
      </c>
      <c r="AE167">
        <v>0.94222945686291104</v>
      </c>
      <c r="AF167" s="7">
        <v>5.9506449287569513E-2</v>
      </c>
      <c r="AG167" s="10">
        <v>113.33028617023905</v>
      </c>
      <c r="AH167" s="1">
        <v>0.61038534104434028</v>
      </c>
      <c r="AI167" s="10">
        <v>26.414342490237587</v>
      </c>
      <c r="AJ167" s="32">
        <v>1759.0656453469073</v>
      </c>
      <c r="AK167">
        <v>320</v>
      </c>
      <c r="AL167" s="7">
        <v>0.28730614382917824</v>
      </c>
    </row>
    <row r="168" spans="1:38" x14ac:dyDescent="0.3">
      <c r="A168">
        <v>77121</v>
      </c>
      <c r="B168">
        <v>2</v>
      </c>
      <c r="C168">
        <v>8</v>
      </c>
      <c r="D168">
        <v>1982</v>
      </c>
      <c r="E168">
        <v>7</v>
      </c>
      <c r="F168">
        <v>5</v>
      </c>
      <c r="G168">
        <v>1986</v>
      </c>
      <c r="H168">
        <v>64</v>
      </c>
      <c r="I168" s="32">
        <f t="shared" si="28"/>
        <v>14</v>
      </c>
      <c r="J168" s="1">
        <v>3.7643835616438399</v>
      </c>
      <c r="K168" s="32">
        <f t="shared" si="29"/>
        <v>15.05354165315422</v>
      </c>
      <c r="L168" s="32">
        <f t="shared" si="30"/>
        <v>72.705820728966486</v>
      </c>
      <c r="M168" s="1">
        <f t="shared" si="31"/>
        <v>0.29570640571589063</v>
      </c>
      <c r="N168">
        <v>-1.9548588170437142</v>
      </c>
      <c r="O168" s="32">
        <f t="shared" si="38"/>
        <v>13.99051105916095</v>
      </c>
      <c r="P168" s="32">
        <f t="shared" si="32"/>
        <v>63.924110983287157</v>
      </c>
      <c r="Q168">
        <v>21</v>
      </c>
      <c r="R168">
        <v>85</v>
      </c>
      <c r="S168" s="32">
        <f t="shared" si="33"/>
        <v>8.411364229409374</v>
      </c>
      <c r="T168" s="1">
        <f t="shared" si="34"/>
        <v>8.4071190001448617</v>
      </c>
      <c r="U168" s="1">
        <f t="shared" si="35"/>
        <v>8.8696973894722841</v>
      </c>
      <c r="V168" s="1">
        <f t="shared" si="36"/>
        <v>3.2208316087254336</v>
      </c>
      <c r="W168" s="1">
        <f t="shared" si="39"/>
        <v>0.21397876627275242</v>
      </c>
      <c r="X168" s="1">
        <f t="shared" si="40"/>
        <v>-0.46257838932742246</v>
      </c>
      <c r="Y168" s="39">
        <f t="shared" si="37"/>
        <v>72.566672091257189</v>
      </c>
      <c r="AB168">
        <v>163</v>
      </c>
      <c r="AC168" s="7">
        <v>0.5769448267470354</v>
      </c>
      <c r="AD168">
        <v>1.2584394841963518</v>
      </c>
      <c r="AE168">
        <v>0.95079281006138194</v>
      </c>
      <c r="AF168" s="7">
        <v>5.0459105513139958E-2</v>
      </c>
      <c r="AG168" s="10">
        <v>118.97209654365209</v>
      </c>
      <c r="AH168" s="1">
        <v>0.77525734011991076</v>
      </c>
      <c r="AI168" s="10">
        <v>59.568127582604347</v>
      </c>
      <c r="AJ168" s="32">
        <v>1803.4068633194247</v>
      </c>
      <c r="AK168">
        <v>320</v>
      </c>
      <c r="AL168" s="7">
        <v>0.43145150213626399</v>
      </c>
    </row>
    <row r="169" spans="1:38" x14ac:dyDescent="0.3">
      <c r="A169">
        <v>22991</v>
      </c>
      <c r="B169">
        <v>30</v>
      </c>
      <c r="C169">
        <v>7</v>
      </c>
      <c r="D169">
        <v>1982</v>
      </c>
      <c r="E169">
        <v>10</v>
      </c>
      <c r="F169">
        <v>5</v>
      </c>
      <c r="G169">
        <v>1988</v>
      </c>
      <c r="H169">
        <v>74</v>
      </c>
      <c r="I169" s="32">
        <f t="shared" si="28"/>
        <v>15.204650534085253</v>
      </c>
      <c r="J169" s="1">
        <v>5.7835616438356201</v>
      </c>
      <c r="K169" s="32">
        <f t="shared" si="29"/>
        <v>16.435625235027182</v>
      </c>
      <c r="L169" s="32">
        <f t="shared" si="30"/>
        <v>84.968069451592754</v>
      </c>
      <c r="M169" s="1">
        <f t="shared" si="31"/>
        <v>0.41308407038174577</v>
      </c>
      <c r="N169">
        <v>-1.1639281183306593</v>
      </c>
      <c r="O169" s="32">
        <f t="shared" si="38"/>
        <v>15.687549817002617</v>
      </c>
      <c r="P169" s="32">
        <f t="shared" si="32"/>
        <v>78.21235463223735</v>
      </c>
      <c r="Q169">
        <v>11</v>
      </c>
      <c r="R169">
        <v>85</v>
      </c>
      <c r="S169" s="32">
        <f t="shared" si="33"/>
        <v>8.9426609766862715</v>
      </c>
      <c r="T169" s="1">
        <f t="shared" si="34"/>
        <v>9.1515714105301313</v>
      </c>
      <c r="U169" s="1">
        <f t="shared" si="35"/>
        <v>9.4538465372142948</v>
      </c>
      <c r="V169" s="1">
        <f t="shared" si="36"/>
        <v>4.440454570413527</v>
      </c>
      <c r="W169" s="1">
        <f t="shared" si="39"/>
        <v>9.1370252211927058E-2</v>
      </c>
      <c r="X169" s="1">
        <f t="shared" si="40"/>
        <v>-0.30227512668416345</v>
      </c>
      <c r="Y169" s="39">
        <f t="shared" si="37"/>
        <v>84.597502662456691</v>
      </c>
      <c r="AB169">
        <v>164</v>
      </c>
      <c r="AC169" s="7">
        <v>0.72395136387093473</v>
      </c>
      <c r="AD169">
        <v>1.8355745358718765</v>
      </c>
      <c r="AE169">
        <v>0.95910377924658574</v>
      </c>
      <c r="AF169" s="7">
        <v>4.1755993846667762E-2</v>
      </c>
      <c r="AG169" s="10">
        <v>127.77412667013675</v>
      </c>
      <c r="AH169" s="1">
        <v>1.3697629094846173</v>
      </c>
      <c r="AI169" s="10">
        <v>240.42754321216719</v>
      </c>
      <c r="AJ169" s="32">
        <v>1841.7919825034587</v>
      </c>
      <c r="AK169">
        <v>320</v>
      </c>
      <c r="AL169" s="7">
        <v>0.86679644238888198</v>
      </c>
    </row>
    <row r="170" spans="1:38" x14ac:dyDescent="0.3">
      <c r="A170">
        <v>78884</v>
      </c>
      <c r="B170">
        <v>27</v>
      </c>
      <c r="C170">
        <v>7</v>
      </c>
      <c r="D170">
        <v>1982</v>
      </c>
      <c r="E170">
        <v>6</v>
      </c>
      <c r="F170">
        <v>7</v>
      </c>
      <c r="G170">
        <v>1984</v>
      </c>
      <c r="H170">
        <v>73</v>
      </c>
      <c r="I170" s="32">
        <f t="shared" si="28"/>
        <v>15.088007490635061</v>
      </c>
      <c r="J170" s="1">
        <v>1.9452054794520499</v>
      </c>
      <c r="K170" s="32">
        <f t="shared" si="29"/>
        <v>15.554449676671217</v>
      </c>
      <c r="L170" s="32">
        <f t="shared" si="30"/>
        <v>77.03967586269556</v>
      </c>
      <c r="M170" s="1">
        <f t="shared" si="31"/>
        <v>0.16698680210855862</v>
      </c>
      <c r="N170">
        <v>0.4807475306733977</v>
      </c>
      <c r="O170" s="32">
        <f t="shared" si="38"/>
        <v>15.750902437315482</v>
      </c>
      <c r="P170" s="32">
        <f t="shared" si="32"/>
        <v>78.773634334773178</v>
      </c>
      <c r="Q170">
        <v>4</v>
      </c>
      <c r="R170">
        <v>77</v>
      </c>
      <c r="S170" s="32">
        <f t="shared" si="33"/>
        <v>8.8918605482504951</v>
      </c>
      <c r="T170" s="1">
        <f t="shared" si="34"/>
        <v>9.1788141609974225</v>
      </c>
      <c r="U170" s="1">
        <f t="shared" si="35"/>
        <v>9.0891653465170226</v>
      </c>
      <c r="V170" s="1">
        <f t="shared" si="36"/>
        <v>1.8423582013363229</v>
      </c>
      <c r="W170" s="1">
        <f t="shared" si="39"/>
        <v>8.0369099377411695E-3</v>
      </c>
      <c r="X170" s="1">
        <f t="shared" si="40"/>
        <v>8.9648814480399963E-2</v>
      </c>
      <c r="Y170" s="39">
        <f t="shared" si="37"/>
        <v>76.937071537203494</v>
      </c>
      <c r="AB170">
        <v>165</v>
      </c>
      <c r="AC170" s="7">
        <v>0.42930533527252229</v>
      </c>
      <c r="AD170">
        <v>0.85615094559269522</v>
      </c>
      <c r="AE170">
        <v>0.9450255243633231</v>
      </c>
      <c r="AF170" s="7">
        <v>5.6543341944876889E-2</v>
      </c>
      <c r="AG170" s="10">
        <v>115.6323353693641</v>
      </c>
      <c r="AH170" s="1">
        <v>0.42252464437823589</v>
      </c>
      <c r="AI170" s="10">
        <v>15.343708698563534</v>
      </c>
      <c r="AJ170" s="32">
        <v>1781.3290547198521</v>
      </c>
      <c r="AK170">
        <v>320</v>
      </c>
      <c r="AL170" s="7">
        <v>0.21897280580704775</v>
      </c>
    </row>
    <row r="171" spans="1:38" x14ac:dyDescent="0.3">
      <c r="A171">
        <v>20622</v>
      </c>
      <c r="B171">
        <v>19</v>
      </c>
      <c r="C171">
        <v>1</v>
      </c>
      <c r="D171">
        <v>1982</v>
      </c>
      <c r="E171">
        <v>25</v>
      </c>
      <c r="F171">
        <v>4</v>
      </c>
      <c r="G171">
        <v>1984</v>
      </c>
      <c r="H171">
        <v>133</v>
      </c>
      <c r="I171" s="32">
        <f t="shared" si="28"/>
        <v>21.065125189341593</v>
      </c>
      <c r="J171" s="1">
        <v>2.2657534246575302</v>
      </c>
      <c r="K171" s="32">
        <f t="shared" si="29"/>
        <v>20.948260887796184</v>
      </c>
      <c r="L171" s="32">
        <f t="shared" si="30"/>
        <v>131.65566944358903</v>
      </c>
      <c r="M171" s="1">
        <f t="shared" si="31"/>
        <v>0.19144565386072149</v>
      </c>
      <c r="N171">
        <v>0.39716724131722003</v>
      </c>
      <c r="O171" s="32">
        <f t="shared" si="38"/>
        <v>21.122039440577954</v>
      </c>
      <c r="P171" s="32">
        <f t="shared" si="32"/>
        <v>133.65717697291061</v>
      </c>
      <c r="Q171">
        <v>7</v>
      </c>
      <c r="R171">
        <v>140</v>
      </c>
      <c r="S171" s="32">
        <f t="shared" si="33"/>
        <v>11.345781606244953</v>
      </c>
      <c r="T171" s="1">
        <f t="shared" si="34"/>
        <v>11.367871864823083</v>
      </c>
      <c r="U171" s="1">
        <f t="shared" si="35"/>
        <v>11.265497804803536</v>
      </c>
      <c r="V171" s="1">
        <f t="shared" si="36"/>
        <v>2.107285267155377</v>
      </c>
      <c r="W171" s="1">
        <f t="shared" si="39"/>
        <v>1.0480448164885964E-2</v>
      </c>
      <c r="X171" s="1">
        <f t="shared" si="40"/>
        <v>0.10237406001954774</v>
      </c>
      <c r="Y171" s="39">
        <f t="shared" si="37"/>
        <v>130.63045312055976</v>
      </c>
      <c r="AB171">
        <v>166</v>
      </c>
      <c r="AC171" s="7">
        <v>-1.9513384535967144E-2</v>
      </c>
      <c r="AD171">
        <v>0.30365650867751004</v>
      </c>
      <c r="AE171">
        <v>0.93265343632844355</v>
      </c>
      <c r="AF171" s="7">
        <v>6.9721598020313594E-2</v>
      </c>
      <c r="AG171" s="10">
        <v>112.13200798570702</v>
      </c>
      <c r="AH171" s="1">
        <v>6.1421197450882953E-2</v>
      </c>
      <c r="AI171" s="10">
        <v>0.2947177847166581</v>
      </c>
      <c r="AJ171" s="32">
        <v>1773.5441418043461</v>
      </c>
      <c r="AK171">
        <v>320</v>
      </c>
      <c r="AL171" s="7">
        <v>3.0347867754416565E-2</v>
      </c>
    </row>
    <row r="172" spans="1:38" x14ac:dyDescent="0.3">
      <c r="A172">
        <v>76929</v>
      </c>
      <c r="B172">
        <v>31</v>
      </c>
      <c r="C172">
        <v>7</v>
      </c>
      <c r="D172">
        <v>1982</v>
      </c>
      <c r="E172">
        <v>22</v>
      </c>
      <c r="F172">
        <v>4</v>
      </c>
      <c r="G172">
        <v>1984</v>
      </c>
      <c r="H172">
        <v>73</v>
      </c>
      <c r="I172" s="32">
        <f t="shared" si="28"/>
        <v>15.088007490635061</v>
      </c>
      <c r="J172" s="1">
        <v>1.72876712328767</v>
      </c>
      <c r="K172" s="32">
        <f t="shared" si="29"/>
        <v>15.504820929246939</v>
      </c>
      <c r="L172" s="32">
        <f t="shared" si="30"/>
        <v>76.604688941250416</v>
      </c>
      <c r="M172" s="1">
        <f t="shared" si="31"/>
        <v>0.15001106008635992</v>
      </c>
      <c r="N172">
        <v>0.31981699066818692</v>
      </c>
      <c r="O172" s="32">
        <f t="shared" si="38"/>
        <v>15.628690083542102</v>
      </c>
      <c r="P172" s="32">
        <f t="shared" si="32"/>
        <v>77.692678515393922</v>
      </c>
      <c r="Q172">
        <v>3</v>
      </c>
      <c r="R172">
        <v>76</v>
      </c>
      <c r="S172" s="32">
        <f t="shared" si="33"/>
        <v>8.8918605482504951</v>
      </c>
      <c r="T172" s="1">
        <f t="shared" si="34"/>
        <v>9.126226833871085</v>
      </c>
      <c r="U172" s="1">
        <f t="shared" si="35"/>
        <v>9.068318031257915</v>
      </c>
      <c r="V172" s="1">
        <f t="shared" si="36"/>
        <v>1.657704991176822</v>
      </c>
      <c r="W172" s="1">
        <f t="shared" si="39"/>
        <v>3.3534294200910841E-3</v>
      </c>
      <c r="X172" s="1">
        <f t="shared" si="40"/>
        <v>5.7908802613169996E-2</v>
      </c>
      <c r="Y172" s="39">
        <f t="shared" si="37"/>
        <v>76.51428529909218</v>
      </c>
      <c r="AB172">
        <v>167</v>
      </c>
      <c r="AC172" s="7">
        <v>0.2535732522398973</v>
      </c>
      <c r="AD172">
        <v>0.47264146725060485</v>
      </c>
      <c r="AE172">
        <v>0.95030328968279765</v>
      </c>
      <c r="AF172" s="7">
        <v>5.09740930400399E-2</v>
      </c>
      <c r="AG172" s="10">
        <v>126.41483379460861</v>
      </c>
      <c r="AH172" s="1">
        <v>0.16954594431137515</v>
      </c>
      <c r="AI172" s="10">
        <v>2.9872938097472952</v>
      </c>
      <c r="AJ172" s="32">
        <v>1758.2793057830452</v>
      </c>
      <c r="AK172">
        <v>320</v>
      </c>
      <c r="AL172" s="7">
        <v>9.6619320818665963E-2</v>
      </c>
    </row>
    <row r="173" spans="1:38" x14ac:dyDescent="0.3">
      <c r="A173">
        <v>22587</v>
      </c>
      <c r="B173">
        <v>25</v>
      </c>
      <c r="C173">
        <v>7</v>
      </c>
      <c r="D173">
        <v>1982</v>
      </c>
      <c r="E173">
        <v>1</v>
      </c>
      <c r="F173">
        <v>5</v>
      </c>
      <c r="G173">
        <v>1989</v>
      </c>
      <c r="H173">
        <v>71</v>
      </c>
      <c r="I173" s="32">
        <f t="shared" si="28"/>
        <v>14.852299546352718</v>
      </c>
      <c r="J173" s="1">
        <v>6.7726027397260298</v>
      </c>
      <c r="K173" s="32">
        <f t="shared" si="29"/>
        <v>16.362993347920181</v>
      </c>
      <c r="L173" s="32">
        <f t="shared" si="30"/>
        <v>84.299881173940207</v>
      </c>
      <c r="M173" s="1">
        <f t="shared" si="31"/>
        <v>0.46229063179763935</v>
      </c>
      <c r="N173">
        <v>-2.0919924281770363</v>
      </c>
      <c r="O173" s="32">
        <f t="shared" si="38"/>
        <v>14.940606740128754</v>
      </c>
      <c r="P173" s="32">
        <f t="shared" si="32"/>
        <v>71.746039180923944</v>
      </c>
      <c r="Q173">
        <v>11</v>
      </c>
      <c r="R173">
        <v>82</v>
      </c>
      <c r="S173" s="32">
        <f t="shared" si="33"/>
        <v>8.788793609685694</v>
      </c>
      <c r="T173" s="1">
        <f t="shared" si="34"/>
        <v>8.8274722213968833</v>
      </c>
      <c r="U173" s="1">
        <f t="shared" si="35"/>
        <v>9.4219975972049888</v>
      </c>
      <c r="V173" s="1">
        <f t="shared" si="36"/>
        <v>4.9395140404648226</v>
      </c>
      <c r="W173" s="1">
        <f t="shared" si="39"/>
        <v>0.35346042247976905</v>
      </c>
      <c r="X173" s="1">
        <f t="shared" si="40"/>
        <v>-0.59452537580810549</v>
      </c>
      <c r="Y173" s="39">
        <f t="shared" si="37"/>
        <v>83.908297216815569</v>
      </c>
      <c r="AB173">
        <v>168</v>
      </c>
      <c r="AC173" s="7">
        <v>0.26598855711838909</v>
      </c>
      <c r="AD173">
        <v>0.45045172613355117</v>
      </c>
      <c r="AE173">
        <v>0.95461824188307365</v>
      </c>
      <c r="AF173" s="7">
        <v>4.6443765140720426E-2</v>
      </c>
      <c r="AG173" s="10">
        <v>128.69605842439142</v>
      </c>
      <c r="AH173" s="1">
        <v>0.16519676280267737</v>
      </c>
      <c r="AI173" s="10">
        <v>3.9066943811097219</v>
      </c>
      <c r="AJ173" s="32">
        <v>1810.1466812101382</v>
      </c>
      <c r="AK173">
        <v>320</v>
      </c>
      <c r="AL173" s="7">
        <v>0.11049171887959695</v>
      </c>
    </row>
    <row r="174" spans="1:38" x14ac:dyDescent="0.3">
      <c r="A174">
        <v>76811</v>
      </c>
      <c r="B174">
        <v>30</v>
      </c>
      <c r="C174">
        <v>7</v>
      </c>
      <c r="D174">
        <v>1982</v>
      </c>
      <c r="E174">
        <v>19</v>
      </c>
      <c r="F174">
        <v>10</v>
      </c>
      <c r="G174">
        <v>1985</v>
      </c>
      <c r="H174">
        <v>51</v>
      </c>
      <c r="I174" s="32">
        <f t="shared" si="28"/>
        <v>12.282856857085701</v>
      </c>
      <c r="J174" s="1">
        <v>3.22465753424658</v>
      </c>
      <c r="K174" s="32">
        <f t="shared" si="29"/>
        <v>13.459321356945358</v>
      </c>
      <c r="L174" s="32">
        <f t="shared" si="30"/>
        <v>59.747654204326714</v>
      </c>
      <c r="M174" s="1">
        <f t="shared" si="31"/>
        <v>0.25999008778385929</v>
      </c>
      <c r="N174">
        <v>0.20588799998222385</v>
      </c>
      <c r="O174" s="32">
        <f t="shared" si="38"/>
        <v>13.564302048703404</v>
      </c>
      <c r="P174" s="32">
        <f t="shared" si="32"/>
        <v>60.561874565818243</v>
      </c>
      <c r="Q174">
        <v>12</v>
      </c>
      <c r="R174">
        <v>63</v>
      </c>
      <c r="S174" s="32">
        <f t="shared" si="33"/>
        <v>7.6264331628561637</v>
      </c>
      <c r="T174" s="1">
        <f t="shared" si="34"/>
        <v>8.2154212261822543</v>
      </c>
      <c r="U174" s="1">
        <f t="shared" si="35"/>
        <v>8.1615399752823059</v>
      </c>
      <c r="V174" s="1">
        <f t="shared" si="36"/>
        <v>2.8423518770992944</v>
      </c>
      <c r="W174" s="1">
        <f t="shared" si="39"/>
        <v>2.9031891985431945E-3</v>
      </c>
      <c r="X174" s="1">
        <f t="shared" si="40"/>
        <v>5.3881250899948441E-2</v>
      </c>
      <c r="Y174" s="39">
        <f t="shared" si="37"/>
        <v>59.639392702458593</v>
      </c>
      <c r="AB174">
        <v>169</v>
      </c>
      <c r="AC174" s="7">
        <v>0.22223882230022171</v>
      </c>
      <c r="AD174">
        <v>0.4120449492023654</v>
      </c>
      <c r="AE174">
        <v>0.95288449007654819</v>
      </c>
      <c r="AF174" s="7">
        <v>4.8261589309364222E-2</v>
      </c>
      <c r="AG174" s="10">
        <v>128.75922688340609</v>
      </c>
      <c r="AH174" s="1">
        <v>0.13868789416894017</v>
      </c>
      <c r="AI174" s="10">
        <v>2.4282964319407916</v>
      </c>
      <c r="AJ174" s="32">
        <v>1781.0051110657475</v>
      </c>
      <c r="AK174">
        <v>320</v>
      </c>
      <c r="AL174" s="7">
        <v>8.7111574143824158E-2</v>
      </c>
    </row>
    <row r="175" spans="1:38" x14ac:dyDescent="0.3">
      <c r="A175">
        <v>22918</v>
      </c>
      <c r="B175">
        <v>28</v>
      </c>
      <c r="C175">
        <v>7</v>
      </c>
      <c r="D175">
        <v>1982</v>
      </c>
      <c r="E175">
        <v>20</v>
      </c>
      <c r="F175">
        <v>6</v>
      </c>
      <c r="G175">
        <v>1987</v>
      </c>
      <c r="H175">
        <v>68</v>
      </c>
      <c r="I175" s="32">
        <f t="shared" si="28"/>
        <v>14.492422502470642</v>
      </c>
      <c r="J175" s="1">
        <v>4.8986301369863003</v>
      </c>
      <c r="K175" s="32">
        <f t="shared" si="29"/>
        <v>15.71612491717908</v>
      </c>
      <c r="L175" s="32">
        <f t="shared" si="30"/>
        <v>78.465270520273364</v>
      </c>
      <c r="M175" s="1">
        <f t="shared" si="31"/>
        <v>0.36461925723843691</v>
      </c>
      <c r="N175">
        <v>-0.8875781531969551</v>
      </c>
      <c r="O175" s="32">
        <f t="shared" si="38"/>
        <v>15.180172288912003</v>
      </c>
      <c r="P175" s="32">
        <f t="shared" si="32"/>
        <v>73.78957996917498</v>
      </c>
      <c r="Q175">
        <v>18</v>
      </c>
      <c r="R175">
        <v>86</v>
      </c>
      <c r="S175" s="32">
        <f t="shared" si="33"/>
        <v>8.6303494035856811</v>
      </c>
      <c r="T175" s="1">
        <f t="shared" si="34"/>
        <v>8.9320112749078451</v>
      </c>
      <c r="U175" s="1">
        <f t="shared" si="35"/>
        <v>9.1528038499302564</v>
      </c>
      <c r="V175" s="1">
        <f t="shared" si="36"/>
        <v>3.9416051355424955</v>
      </c>
      <c r="W175" s="1">
        <f t="shared" si="39"/>
        <v>4.8749361185027137E-2</v>
      </c>
      <c r="X175" s="1">
        <f t="shared" si="40"/>
        <v>-0.22079257502241134</v>
      </c>
      <c r="Y175" s="39">
        <f t="shared" si="37"/>
        <v>78.237686379996347</v>
      </c>
      <c r="AB175">
        <v>170</v>
      </c>
      <c r="AC175" s="7">
        <v>0.77060523920222479</v>
      </c>
      <c r="AD175">
        <v>2.313866866101228</v>
      </c>
      <c r="AE175">
        <v>0.95401508888270237</v>
      </c>
      <c r="AF175" s="7">
        <v>4.7075791220037709E-2</v>
      </c>
      <c r="AG175" s="10">
        <v>119.06612419376292</v>
      </c>
      <c r="AH175" s="1">
        <v>1.8290628409513368</v>
      </c>
      <c r="AI175" s="10">
        <v>273.2008898724556</v>
      </c>
      <c r="AJ175" s="32">
        <v>1747.6187262829353</v>
      </c>
      <c r="AK175">
        <v>320</v>
      </c>
      <c r="AL175" s="7">
        <v>0.92398743544023576</v>
      </c>
    </row>
    <row r="176" spans="1:38" x14ac:dyDescent="0.3">
      <c r="A176">
        <v>22844</v>
      </c>
      <c r="B176">
        <v>28</v>
      </c>
      <c r="C176">
        <v>7</v>
      </c>
      <c r="D176">
        <v>1982</v>
      </c>
      <c r="E176">
        <v>1</v>
      </c>
      <c r="F176">
        <v>5</v>
      </c>
      <c r="G176">
        <v>1984</v>
      </c>
      <c r="H176">
        <v>85</v>
      </c>
      <c r="I176" s="32">
        <f t="shared" si="28"/>
        <v>16.439088914585774</v>
      </c>
      <c r="J176" s="1">
        <v>1.7616438356164399</v>
      </c>
      <c r="K176" s="32">
        <f t="shared" si="29"/>
        <v>16.746745372413148</v>
      </c>
      <c r="L176" s="32">
        <f t="shared" si="30"/>
        <v>87.860115514523443</v>
      </c>
      <c r="M176" s="1">
        <f t="shared" si="31"/>
        <v>0.15261399493444028</v>
      </c>
      <c r="N176">
        <v>-0.20331071937107481</v>
      </c>
      <c r="O176" s="32">
        <f t="shared" si="38"/>
        <v>16.667320329623351</v>
      </c>
      <c r="P176" s="32">
        <f t="shared" si="32"/>
        <v>87.117212072192316</v>
      </c>
      <c r="Q176">
        <v>3</v>
      </c>
      <c r="R176">
        <v>88</v>
      </c>
      <c r="S176" s="32">
        <f t="shared" si="33"/>
        <v>9.4723632360293841</v>
      </c>
      <c r="T176" s="1">
        <f t="shared" si="34"/>
        <v>9.5687763235833749</v>
      </c>
      <c r="U176" s="1">
        <f t="shared" si="35"/>
        <v>9.5945244393447293</v>
      </c>
      <c r="V176" s="1">
        <f t="shared" si="36"/>
        <v>1.6860592270796613</v>
      </c>
      <c r="W176" s="1">
        <f t="shared" si="39"/>
        <v>6.6296546526010611E-4</v>
      </c>
      <c r="X176" s="1">
        <f t="shared" si="40"/>
        <v>-2.5748115761354384E-2</v>
      </c>
      <c r="Y176" s="39">
        <f t="shared" si="37"/>
        <v>87.688761657270348</v>
      </c>
      <c r="AB176">
        <v>171</v>
      </c>
      <c r="AC176" s="7">
        <v>0.75965257840506661</v>
      </c>
      <c r="AD176">
        <v>2.2358305225086199</v>
      </c>
      <c r="AE176">
        <v>0.95440946764018997</v>
      </c>
      <c r="AF176" s="7">
        <v>4.6662488255816675E-2</v>
      </c>
      <c r="AG176" s="10">
        <v>121.17975012956693</v>
      </c>
      <c r="AH176" s="1">
        <v>1.7440449536602305</v>
      </c>
      <c r="AI176" s="10">
        <v>255.73147506178893</v>
      </c>
      <c r="AJ176" s="32">
        <v>1757.939332632217</v>
      </c>
      <c r="AK176">
        <v>320</v>
      </c>
      <c r="AL176" s="7">
        <v>0.89395797416214728</v>
      </c>
    </row>
    <row r="177" spans="1:38" x14ac:dyDescent="0.3">
      <c r="A177">
        <v>79511</v>
      </c>
      <c r="B177">
        <v>5</v>
      </c>
      <c r="C177">
        <v>9</v>
      </c>
      <c r="D177">
        <v>1982</v>
      </c>
      <c r="E177">
        <v>2</v>
      </c>
      <c r="F177">
        <v>5</v>
      </c>
      <c r="G177">
        <v>1987</v>
      </c>
      <c r="H177">
        <v>77</v>
      </c>
      <c r="I177" s="32">
        <f t="shared" si="28"/>
        <v>15.549928774784245</v>
      </c>
      <c r="J177" s="1">
        <v>4.6575342465753398</v>
      </c>
      <c r="K177" s="32">
        <f t="shared" si="29"/>
        <v>16.495598231410305</v>
      </c>
      <c r="L177" s="32">
        <f t="shared" si="30"/>
        <v>85.52178848443701</v>
      </c>
      <c r="M177" s="1">
        <f t="shared" si="31"/>
        <v>0.35063457927003883</v>
      </c>
      <c r="N177">
        <v>-0.63241486714105122</v>
      </c>
      <c r="O177" s="32">
        <f t="shared" si="38"/>
        <v>16.12111752892849</v>
      </c>
      <c r="P177" s="32">
        <f t="shared" si="32"/>
        <v>82.093725124309842</v>
      </c>
      <c r="Q177">
        <v>13</v>
      </c>
      <c r="R177">
        <v>90</v>
      </c>
      <c r="S177" s="32">
        <f t="shared" si="33"/>
        <v>9.0922615112669138</v>
      </c>
      <c r="T177" s="1">
        <f t="shared" si="34"/>
        <v>9.3372675299156054</v>
      </c>
      <c r="U177" s="1">
        <f t="shared" si="35"/>
        <v>9.4810980538249954</v>
      </c>
      <c r="V177" s="1">
        <f t="shared" si="36"/>
        <v>3.796390341258518</v>
      </c>
      <c r="W177" s="1">
        <f t="shared" si="39"/>
        <v>2.0687219608049607E-2</v>
      </c>
      <c r="X177" s="1">
        <f t="shared" si="40"/>
        <v>-0.14383052390939</v>
      </c>
      <c r="Y177" s="39">
        <f t="shared" si="37"/>
        <v>85.190328800349988</v>
      </c>
      <c r="AB177">
        <v>172</v>
      </c>
      <c r="AC177" s="7">
        <v>0.22696892663353974</v>
      </c>
      <c r="AD177">
        <v>0.43944135429064946</v>
      </c>
      <c r="AE177">
        <v>0.94951411880595105</v>
      </c>
      <c r="AF177" s="7">
        <v>5.180487911317648E-2</v>
      </c>
      <c r="AG177" s="10">
        <v>122.04285158389843</v>
      </c>
      <c r="AH177" s="1">
        <v>0.15022541369578671</v>
      </c>
      <c r="AI177" s="10">
        <v>2.3989852825693414</v>
      </c>
      <c r="AJ177" s="32">
        <v>1759.9886547667538</v>
      </c>
      <c r="AK177">
        <v>320</v>
      </c>
      <c r="AL177" s="7">
        <v>8.6584230712232993E-2</v>
      </c>
    </row>
    <row r="178" spans="1:38" x14ac:dyDescent="0.3">
      <c r="A178">
        <v>78861</v>
      </c>
      <c r="B178">
        <v>27</v>
      </c>
      <c r="C178">
        <v>7</v>
      </c>
      <c r="D178">
        <v>1982</v>
      </c>
      <c r="E178">
        <v>5</v>
      </c>
      <c r="F178">
        <v>5</v>
      </c>
      <c r="G178">
        <v>1987</v>
      </c>
      <c r="H178">
        <v>69</v>
      </c>
      <c r="I178" s="32">
        <f t="shared" si="28"/>
        <v>14.61324772583615</v>
      </c>
      <c r="J178" s="1">
        <v>4.77534246575342</v>
      </c>
      <c r="K178" s="32">
        <f t="shared" si="29"/>
        <v>15.783524414098277</v>
      </c>
      <c r="L178" s="32">
        <f t="shared" si="30"/>
        <v>79.063435146707363</v>
      </c>
      <c r="M178" s="1">
        <f t="shared" si="31"/>
        <v>0.35751121836295219</v>
      </c>
      <c r="N178">
        <v>0.10926555660262238</v>
      </c>
      <c r="O178" s="32">
        <f t="shared" si="38"/>
        <v>15.848856739944242</v>
      </c>
      <c r="P178" s="32">
        <f t="shared" si="32"/>
        <v>79.645421730763246</v>
      </c>
      <c r="Q178">
        <v>11</v>
      </c>
      <c r="R178">
        <v>80</v>
      </c>
      <c r="S178" s="32">
        <f t="shared" si="33"/>
        <v>8.6836932879130497</v>
      </c>
      <c r="T178" s="1">
        <f t="shared" si="34"/>
        <v>9.2208623266231786</v>
      </c>
      <c r="U178" s="1">
        <f t="shared" si="35"/>
        <v>9.1816374619595358</v>
      </c>
      <c r="V178" s="1">
        <f t="shared" si="36"/>
        <v>3.8678654118775726</v>
      </c>
      <c r="W178" s="1">
        <f t="shared" si="39"/>
        <v>1.5385900078810962E-3</v>
      </c>
      <c r="X178" s="1">
        <f t="shared" si="40"/>
        <v>3.9224864663642833E-2</v>
      </c>
      <c r="Y178" s="39">
        <f t="shared" si="37"/>
        <v>78.831961774269331</v>
      </c>
      <c r="AB178">
        <v>173</v>
      </c>
      <c r="AC178" s="7">
        <v>0.80881902145702056</v>
      </c>
      <c r="AD178">
        <v>2.8407721126833128</v>
      </c>
      <c r="AE178">
        <v>0.95103741971110822</v>
      </c>
      <c r="AF178" s="7">
        <v>5.020186945994675E-2</v>
      </c>
      <c r="AG178" s="10">
        <v>119.62465217592523</v>
      </c>
      <c r="AH178" s="1">
        <v>2.3466331006518013</v>
      </c>
      <c r="AI178" s="10">
        <v>357.39492928070865</v>
      </c>
      <c r="AJ178" s="32">
        <v>1724.897117565079</v>
      </c>
      <c r="AK178">
        <v>320</v>
      </c>
      <c r="AL178" s="7">
        <v>1.0568155723692827</v>
      </c>
    </row>
    <row r="179" spans="1:38" x14ac:dyDescent="0.3">
      <c r="A179">
        <v>78989</v>
      </c>
      <c r="B179">
        <v>31</v>
      </c>
      <c r="C179">
        <v>7</v>
      </c>
      <c r="D179">
        <v>1982</v>
      </c>
      <c r="E179">
        <v>4</v>
      </c>
      <c r="F179">
        <v>5</v>
      </c>
      <c r="G179">
        <v>1987</v>
      </c>
      <c r="H179">
        <v>72</v>
      </c>
      <c r="I179" s="32">
        <f t="shared" si="28"/>
        <v>14.970562748477139</v>
      </c>
      <c r="J179" s="1">
        <v>4.7616438356164403</v>
      </c>
      <c r="K179" s="32">
        <f t="shared" si="29"/>
        <v>16.060445285104642</v>
      </c>
      <c r="L179" s="32">
        <f t="shared" si="30"/>
        <v>81.544920974064624</v>
      </c>
      <c r="M179" s="1">
        <f t="shared" si="31"/>
        <v>0.35671587257219201</v>
      </c>
      <c r="N179">
        <v>-8.1906819104915485E-2</v>
      </c>
      <c r="O179" s="32">
        <f t="shared" si="38"/>
        <v>16.011525867576218</v>
      </c>
      <c r="P179" s="32">
        <f t="shared" si="32"/>
        <v>81.103766019591802</v>
      </c>
      <c r="Q179">
        <v>11</v>
      </c>
      <c r="R179">
        <v>83</v>
      </c>
      <c r="S179" s="32">
        <f t="shared" si="33"/>
        <v>8.8405752459119533</v>
      </c>
      <c r="T179" s="1">
        <f t="shared" si="34"/>
        <v>9.2904934933855845</v>
      </c>
      <c r="U179" s="1">
        <f t="shared" si="35"/>
        <v>9.2987521469065317</v>
      </c>
      <c r="V179" s="1">
        <f t="shared" si="36"/>
        <v>3.8596054796243804</v>
      </c>
      <c r="W179" s="1">
        <f t="shared" si="39"/>
        <v>6.8205357979054157E-5</v>
      </c>
      <c r="X179" s="1">
        <f t="shared" si="40"/>
        <v>-8.2586535209472345E-3</v>
      </c>
      <c r="Y179" s="39">
        <f t="shared" si="37"/>
        <v>81.277952940250955</v>
      </c>
      <c r="AB179">
        <v>174</v>
      </c>
      <c r="AC179" s="7">
        <v>0.56411042966659253</v>
      </c>
      <c r="AD179">
        <v>1.0446676131224777</v>
      </c>
      <c r="AE179">
        <v>0.9596738215461551</v>
      </c>
      <c r="AF179" s="7">
        <v>4.1161821477650601E-2</v>
      </c>
      <c r="AG179" s="10">
        <v>130.53366977965086</v>
      </c>
      <c r="AH179" s="1">
        <v>0.6296340745511394</v>
      </c>
      <c r="AI179" s="10">
        <v>51.805681572618354</v>
      </c>
      <c r="AJ179" s="32">
        <v>1800.9504507350089</v>
      </c>
      <c r="AK179">
        <v>320</v>
      </c>
      <c r="AL179" s="7">
        <v>0.4023589876148318</v>
      </c>
    </row>
    <row r="180" spans="1:38" x14ac:dyDescent="0.3">
      <c r="A180">
        <v>79279</v>
      </c>
      <c r="B180">
        <v>18</v>
      </c>
      <c r="C180">
        <v>8</v>
      </c>
      <c r="D180">
        <v>1982</v>
      </c>
      <c r="E180">
        <v>3</v>
      </c>
      <c r="F180">
        <v>6</v>
      </c>
      <c r="G180">
        <v>1983</v>
      </c>
      <c r="H180">
        <v>77</v>
      </c>
      <c r="I180" s="32">
        <f t="shared" si="28"/>
        <v>15.549928774784245</v>
      </c>
      <c r="J180" s="1">
        <v>0.79178082191780796</v>
      </c>
      <c r="K180" s="32">
        <f t="shared" si="29"/>
        <v>15.727038891534159</v>
      </c>
      <c r="L180" s="32">
        <f t="shared" si="30"/>
        <v>78.561976965491141</v>
      </c>
      <c r="M180" s="1">
        <f t="shared" si="31"/>
        <v>7.201364959206713E-2</v>
      </c>
      <c r="N180">
        <v>-0.51652591537276749</v>
      </c>
      <c r="O180" s="32">
        <f t="shared" si="38"/>
        <v>15.588427307501927</v>
      </c>
      <c r="P180" s="32">
        <f t="shared" si="32"/>
        <v>77.338193787819876</v>
      </c>
      <c r="Q180">
        <v>0</v>
      </c>
      <c r="R180">
        <v>77</v>
      </c>
      <c r="S180" s="32">
        <f t="shared" si="33"/>
        <v>9.0922615112669138</v>
      </c>
      <c r="T180" s="1">
        <f t="shared" si="34"/>
        <v>9.1088711142141623</v>
      </c>
      <c r="U180" s="1">
        <f t="shared" si="35"/>
        <v>9.1661483159483073</v>
      </c>
      <c r="V180" s="1">
        <f t="shared" si="36"/>
        <v>0.80142476653785133</v>
      </c>
      <c r="W180" s="1">
        <f t="shared" si="39"/>
        <v>3.2806778384939393E-3</v>
      </c>
      <c r="X180" s="1">
        <f t="shared" si="40"/>
        <v>-5.7277201734144967E-2</v>
      </c>
      <c r="Y180" s="39">
        <f t="shared" si="37"/>
        <v>78.512334989344737</v>
      </c>
      <c r="AB180">
        <v>175</v>
      </c>
      <c r="AC180" s="7">
        <v>0.4247813553748484</v>
      </c>
      <c r="AD180">
        <v>0.75853723206126289</v>
      </c>
      <c r="AE180">
        <v>0.95270488548322718</v>
      </c>
      <c r="AF180" s="7">
        <v>4.8450092243056402E-2</v>
      </c>
      <c r="AG180" s="10">
        <v>126.41651995124116</v>
      </c>
      <c r="AH180" s="1">
        <v>0.36950758805404199</v>
      </c>
      <c r="AI180" s="10">
        <v>14.420869036752411</v>
      </c>
      <c r="AJ180" s="32">
        <v>1780.9357271686138</v>
      </c>
      <c r="AK180">
        <v>320</v>
      </c>
      <c r="AL180" s="7">
        <v>0.2122856936768262</v>
      </c>
    </row>
    <row r="181" spans="1:38" x14ac:dyDescent="0.3">
      <c r="A181">
        <v>76693</v>
      </c>
      <c r="B181">
        <v>30</v>
      </c>
      <c r="C181">
        <v>7</v>
      </c>
      <c r="D181">
        <v>1982</v>
      </c>
      <c r="E181">
        <v>12</v>
      </c>
      <c r="F181">
        <v>6</v>
      </c>
      <c r="G181">
        <v>1985</v>
      </c>
      <c r="H181">
        <v>63</v>
      </c>
      <c r="I181" s="32">
        <f t="shared" si="28"/>
        <v>13.874507866387544</v>
      </c>
      <c r="J181" s="1">
        <v>2.8712328767123299</v>
      </c>
      <c r="K181" s="32">
        <f t="shared" si="29"/>
        <v>14.713353524084981</v>
      </c>
      <c r="L181" s="32">
        <f t="shared" si="30"/>
        <v>69.834046505260957</v>
      </c>
      <c r="M181" s="1">
        <f t="shared" si="31"/>
        <v>0.23550765027234111</v>
      </c>
      <c r="N181">
        <v>0.77877984949736856</v>
      </c>
      <c r="O181" s="32">
        <f t="shared" si="38"/>
        <v>15.091288613205213</v>
      </c>
      <c r="P181" s="32">
        <f t="shared" si="32"/>
        <v>73.028036614969565</v>
      </c>
      <c r="Q181">
        <v>3</v>
      </c>
      <c r="R181">
        <v>66</v>
      </c>
      <c r="S181" s="32">
        <f t="shared" si="33"/>
        <v>8.3551416389114923</v>
      </c>
      <c r="T181" s="1">
        <f t="shared" si="34"/>
        <v>8.8932913743410396</v>
      </c>
      <c r="U181" s="1">
        <f t="shared" si="35"/>
        <v>8.722569490959339</v>
      </c>
      <c r="V181" s="1">
        <f t="shared" si="36"/>
        <v>2.581085954783596</v>
      </c>
      <c r="W181" s="1">
        <f t="shared" si="39"/>
        <v>2.9145961465394971E-2</v>
      </c>
      <c r="X181" s="1">
        <f t="shared" si="40"/>
        <v>0.17072188338170058</v>
      </c>
      <c r="Y181" s="39">
        <f t="shared" si="37"/>
        <v>69.735176545502696</v>
      </c>
      <c r="AB181">
        <v>176</v>
      </c>
      <c r="AC181" s="7">
        <v>0.46451702238786968</v>
      </c>
      <c r="AD181">
        <v>0.95526932222784555</v>
      </c>
      <c r="AE181">
        <v>0.94625642330655058</v>
      </c>
      <c r="AF181" s="7">
        <v>5.5241686082790883E-2</v>
      </c>
      <c r="AG181" s="10">
        <v>120.37897458207775</v>
      </c>
      <c r="AH181" s="1">
        <v>0.49748243783320667</v>
      </c>
      <c r="AI181" s="10">
        <v>21.790537599320665</v>
      </c>
      <c r="AJ181" s="32">
        <v>1797.339936450101</v>
      </c>
      <c r="AK181">
        <v>320</v>
      </c>
      <c r="AL181" s="7">
        <v>0.26095101072399984</v>
      </c>
    </row>
    <row r="182" spans="1:38" x14ac:dyDescent="0.3">
      <c r="A182">
        <v>79230</v>
      </c>
      <c r="B182">
        <v>15</v>
      </c>
      <c r="C182">
        <v>8</v>
      </c>
      <c r="D182">
        <v>1982</v>
      </c>
      <c r="E182">
        <v>12</v>
      </c>
      <c r="F182">
        <v>6</v>
      </c>
      <c r="G182">
        <v>1986</v>
      </c>
      <c r="H182">
        <v>76</v>
      </c>
      <c r="I182" s="32">
        <f t="shared" si="28"/>
        <v>15.435595774162696</v>
      </c>
      <c r="J182" s="1">
        <v>3.8273972602739699</v>
      </c>
      <c r="K182" s="32">
        <f t="shared" si="29"/>
        <v>16.249203632908134</v>
      </c>
      <c r="L182" s="32">
        <f t="shared" si="30"/>
        <v>83.258358308836861</v>
      </c>
      <c r="M182" s="1">
        <f t="shared" si="31"/>
        <v>0.29974887477165646</v>
      </c>
      <c r="N182">
        <v>-7.5614252637024038E-2</v>
      </c>
      <c r="O182" s="32">
        <f t="shared" si="38"/>
        <v>16.207805338882341</v>
      </c>
      <c r="P182" s="32">
        <f t="shared" si="32"/>
        <v>82.881043814658071</v>
      </c>
      <c r="Q182">
        <v>10</v>
      </c>
      <c r="R182">
        <v>86</v>
      </c>
      <c r="S182" s="32">
        <f t="shared" si="33"/>
        <v>9.0428509961318699</v>
      </c>
      <c r="T182" s="1">
        <f t="shared" si="34"/>
        <v>9.3741886649491928</v>
      </c>
      <c r="U182" s="1">
        <f t="shared" si="35"/>
        <v>9.380010416767016</v>
      </c>
      <c r="V182" s="1">
        <f t="shared" si="36"/>
        <v>3.2634638019948454</v>
      </c>
      <c r="W182" s="1">
        <f t="shared" si="39"/>
        <v>3.3892794228327548E-5</v>
      </c>
      <c r="X182" s="1">
        <f t="shared" si="40"/>
        <v>-5.8217518178231842E-3</v>
      </c>
      <c r="Y182" s="39">
        <f t="shared" si="37"/>
        <v>83.005664806439</v>
      </c>
      <c r="AB182">
        <v>177</v>
      </c>
      <c r="AC182" s="7">
        <v>0.49591084043873573</v>
      </c>
      <c r="AD182">
        <v>0.97172558258660502</v>
      </c>
      <c r="AE182">
        <v>0.950782642543058</v>
      </c>
      <c r="AF182" s="7">
        <v>5.0469799296876089E-2</v>
      </c>
      <c r="AG182" s="10">
        <v>121.10542605961516</v>
      </c>
      <c r="AH182" s="1">
        <v>0.53110660779328533</v>
      </c>
      <c r="AI182" s="10">
        <v>26.418827781242864</v>
      </c>
      <c r="AJ182" s="32">
        <v>1771.9252874319</v>
      </c>
      <c r="AK182">
        <v>320</v>
      </c>
      <c r="AL182" s="7">
        <v>0.28733053582308993</v>
      </c>
    </row>
    <row r="183" spans="1:38" x14ac:dyDescent="0.3">
      <c r="A183">
        <v>79372</v>
      </c>
      <c r="B183">
        <v>30</v>
      </c>
      <c r="C183">
        <v>8</v>
      </c>
      <c r="D183">
        <v>1982</v>
      </c>
      <c r="E183">
        <v>10</v>
      </c>
      <c r="F183">
        <v>6</v>
      </c>
      <c r="G183">
        <v>1985</v>
      </c>
      <c r="H183">
        <v>101</v>
      </c>
      <c r="I183" s="32">
        <f t="shared" si="28"/>
        <v>18.09975124224178</v>
      </c>
      <c r="J183" s="1">
        <v>2.7808219178082201</v>
      </c>
      <c r="K183" s="32">
        <f t="shared" si="29"/>
        <v>18.35235452249993</v>
      </c>
      <c r="L183" s="32">
        <f t="shared" si="30"/>
        <v>103.55458365238083</v>
      </c>
      <c r="M183" s="1">
        <f t="shared" si="31"/>
        <v>0.22910081273934049</v>
      </c>
      <c r="N183">
        <v>-0.56828412198228762</v>
      </c>
      <c r="O183" s="32">
        <f t="shared" si="38"/>
        <v>18.080348301484694</v>
      </c>
      <c r="P183" s="32">
        <f t="shared" si="32"/>
        <v>100.80509697723481</v>
      </c>
      <c r="Q183">
        <v>16</v>
      </c>
      <c r="R183">
        <v>117</v>
      </c>
      <c r="S183" s="32">
        <f t="shared" si="33"/>
        <v>10.163794332447125</v>
      </c>
      <c r="T183" s="1">
        <f t="shared" si="34"/>
        <v>10.155846364741501</v>
      </c>
      <c r="U183" s="1">
        <f t="shared" si="35"/>
        <v>10.246094394875808</v>
      </c>
      <c r="V183" s="1">
        <f t="shared" si="36"/>
        <v>2.5124761168005998</v>
      </c>
      <c r="W183" s="1">
        <f t="shared" si="39"/>
        <v>8.1447069431226926E-3</v>
      </c>
      <c r="X183" s="1">
        <f t="shared" si="40"/>
        <v>-9.0248030134306489E-2</v>
      </c>
      <c r="Y183" s="39">
        <f t="shared" si="37"/>
        <v>103.03358159644173</v>
      </c>
      <c r="AB183">
        <v>178</v>
      </c>
      <c r="AC183" s="7">
        <v>0.55047017761921468</v>
      </c>
      <c r="AD183">
        <v>1.2528243641162728</v>
      </c>
      <c r="AE183">
        <v>0.94492091063780592</v>
      </c>
      <c r="AF183" s="7">
        <v>5.6654047437568758E-2</v>
      </c>
      <c r="AG183" s="10">
        <v>113.40187402378767</v>
      </c>
      <c r="AH183" s="1">
        <v>0.7447215396029585</v>
      </c>
      <c r="AI183" s="10">
        <v>45.667660589669893</v>
      </c>
      <c r="AJ183" s="32">
        <v>1788.8136450386551</v>
      </c>
      <c r="AK183">
        <v>320</v>
      </c>
      <c r="AL183" s="7">
        <v>0.37777167620497754</v>
      </c>
    </row>
    <row r="184" spans="1:38" x14ac:dyDescent="0.3">
      <c r="A184">
        <v>78996</v>
      </c>
      <c r="B184">
        <v>31</v>
      </c>
      <c r="C184">
        <v>7</v>
      </c>
      <c r="D184">
        <v>1982</v>
      </c>
      <c r="E184">
        <v>6</v>
      </c>
      <c r="F184">
        <v>5</v>
      </c>
      <c r="G184">
        <v>1987</v>
      </c>
      <c r="H184">
        <v>84</v>
      </c>
      <c r="I184" s="32">
        <f t="shared" si="28"/>
        <v>16.330302779823359</v>
      </c>
      <c r="J184" s="1">
        <v>4.7671232876712297</v>
      </c>
      <c r="K184" s="32">
        <f t="shared" si="29"/>
        <v>17.126336492603816</v>
      </c>
      <c r="L184" s="32">
        <f t="shared" si="30"/>
        <v>91.454186907077101</v>
      </c>
      <c r="M184" s="1">
        <f t="shared" si="31"/>
        <v>0.35703414501829928</v>
      </c>
      <c r="N184">
        <v>1.5303930922527798</v>
      </c>
      <c r="O184" s="32">
        <f t="shared" si="38"/>
        <v>18.040782088663708</v>
      </c>
      <c r="P184" s="32">
        <f t="shared" si="32"/>
        <v>100.40823668132602</v>
      </c>
      <c r="Q184">
        <v>24</v>
      </c>
      <c r="R184">
        <v>108</v>
      </c>
      <c r="S184" s="32">
        <f t="shared" si="33"/>
        <v>9.4262457208818446</v>
      </c>
      <c r="T184" s="1">
        <f t="shared" si="34"/>
        <v>10.139629764788063</v>
      </c>
      <c r="U184" s="1">
        <f t="shared" si="35"/>
        <v>9.7408930865969605</v>
      </c>
      <c r="V184" s="1">
        <f t="shared" si="36"/>
        <v>3.8629110599456684</v>
      </c>
      <c r="W184" s="1">
        <f t="shared" si="39"/>
        <v>0.15899093853487509</v>
      </c>
      <c r="X184" s="1">
        <f t="shared" si="40"/>
        <v>0.39873667819110281</v>
      </c>
      <c r="Y184" s="39">
        <f t="shared" si="37"/>
        <v>90.987311494432348</v>
      </c>
      <c r="AB184">
        <v>179</v>
      </c>
      <c r="AC184" s="7">
        <v>0.39707038147124796</v>
      </c>
      <c r="AD184">
        <v>0.72153358451874661</v>
      </c>
      <c r="AE184">
        <v>0.95056646839203396</v>
      </c>
      <c r="AF184" s="7">
        <v>5.069718957540225E-2</v>
      </c>
      <c r="AG184" s="10">
        <v>124.71788299124712</v>
      </c>
      <c r="AH184" s="1">
        <v>0.33593314725714168</v>
      </c>
      <c r="AI184" s="10">
        <v>12.23691296797106</v>
      </c>
      <c r="AJ184" s="32">
        <v>1805.3081564882464</v>
      </c>
      <c r="AK184">
        <v>320</v>
      </c>
      <c r="AL184" s="7">
        <v>0.19555140762702161</v>
      </c>
    </row>
    <row r="185" spans="1:38" x14ac:dyDescent="0.3">
      <c r="A185">
        <v>76713</v>
      </c>
      <c r="B185">
        <v>30</v>
      </c>
      <c r="C185">
        <v>7</v>
      </c>
      <c r="D185">
        <v>1982</v>
      </c>
      <c r="E185">
        <v>30</v>
      </c>
      <c r="F185">
        <v>4</v>
      </c>
      <c r="G185">
        <v>1984</v>
      </c>
      <c r="H185">
        <v>80</v>
      </c>
      <c r="I185" s="32">
        <f t="shared" si="28"/>
        <v>15.888543819998318</v>
      </c>
      <c r="J185" s="1">
        <v>1.75342465753425</v>
      </c>
      <c r="K185" s="32">
        <f t="shared" si="29"/>
        <v>16.242182486585325</v>
      </c>
      <c r="L185" s="32">
        <f t="shared" si="30"/>
        <v>83.194305468470091</v>
      </c>
      <c r="M185" s="1">
        <f t="shared" si="31"/>
        <v>0.15196408401693537</v>
      </c>
      <c r="N185">
        <v>2.2344647732097656</v>
      </c>
      <c r="O185" s="32">
        <f t="shared" si="38"/>
        <v>17.113234302813058</v>
      </c>
      <c r="P185" s="32">
        <f t="shared" si="32"/>
        <v>91.328931378557442</v>
      </c>
      <c r="Q185">
        <v>18</v>
      </c>
      <c r="R185">
        <v>98</v>
      </c>
      <c r="S185" s="32">
        <f t="shared" si="33"/>
        <v>9.237873101814575</v>
      </c>
      <c r="T185" s="1">
        <f t="shared" si="34"/>
        <v>9.7558404902670954</v>
      </c>
      <c r="U185" s="1">
        <f t="shared" si="35"/>
        <v>9.3826093411949909</v>
      </c>
      <c r="V185" s="1">
        <f t="shared" si="36"/>
        <v>1.6789810101788107</v>
      </c>
      <c r="W185" s="1">
        <f t="shared" si="39"/>
        <v>0.13930149063768352</v>
      </c>
      <c r="X185" s="1">
        <f t="shared" si="40"/>
        <v>0.37323114907210453</v>
      </c>
      <c r="Y185" s="39">
        <f t="shared" si="37"/>
        <v>83.061339564444424</v>
      </c>
      <c r="AB185">
        <v>180</v>
      </c>
      <c r="AC185" s="7">
        <v>0.1818137551534956</v>
      </c>
      <c r="AD185">
        <v>0.41877770903864425</v>
      </c>
      <c r="AE185">
        <v>0.94423071604892628</v>
      </c>
      <c r="AF185" s="7">
        <v>5.7384740103883447E-2</v>
      </c>
      <c r="AG185" s="10">
        <v>113.86322961763192</v>
      </c>
      <c r="AH185" s="1">
        <v>0.13190883180596763</v>
      </c>
      <c r="AI185" s="10">
        <v>1.7977717503712329</v>
      </c>
      <c r="AJ185" s="32">
        <v>1788.5579321801615</v>
      </c>
      <c r="AK185">
        <v>320</v>
      </c>
      <c r="AL185" s="7">
        <v>7.4953563757236399E-2</v>
      </c>
    </row>
    <row r="186" spans="1:38" x14ac:dyDescent="0.3">
      <c r="A186">
        <v>78984</v>
      </c>
      <c r="B186">
        <v>31</v>
      </c>
      <c r="C186">
        <v>7</v>
      </c>
      <c r="D186">
        <v>1982</v>
      </c>
      <c r="E186">
        <v>7</v>
      </c>
      <c r="F186">
        <v>5</v>
      </c>
      <c r="G186">
        <v>1986</v>
      </c>
      <c r="H186">
        <v>93</v>
      </c>
      <c r="I186" s="32">
        <f t="shared" si="28"/>
        <v>17.28730152198591</v>
      </c>
      <c r="J186" s="1">
        <v>3.7698630136986302</v>
      </c>
      <c r="K186" s="32">
        <f t="shared" si="29"/>
        <v>17.764253460488426</v>
      </c>
      <c r="L186" s="32">
        <f t="shared" si="30"/>
        <v>97.65642871260718</v>
      </c>
      <c r="M186" s="1">
        <f t="shared" si="31"/>
        <v>0.29605896306247759</v>
      </c>
      <c r="N186">
        <v>-0.1965986484719906</v>
      </c>
      <c r="O186" s="32">
        <f t="shared" si="38"/>
        <v>17.657281578935407</v>
      </c>
      <c r="P186" s="32">
        <f t="shared" si="32"/>
        <v>96.602179768388325</v>
      </c>
      <c r="Q186">
        <v>30</v>
      </c>
      <c r="R186">
        <v>123</v>
      </c>
      <c r="S186" s="32">
        <f t="shared" si="33"/>
        <v>9.8284038242318683</v>
      </c>
      <c r="T186" s="1">
        <f t="shared" si="34"/>
        <v>9.9818011017266102</v>
      </c>
      <c r="U186" s="1">
        <f t="shared" si="35"/>
        <v>10.003934874478285</v>
      </c>
      <c r="V186" s="1">
        <f t="shared" si="36"/>
        <v>3.2245513932273924</v>
      </c>
      <c r="W186" s="1">
        <f t="shared" si="39"/>
        <v>4.8990389622276351E-4</v>
      </c>
      <c r="X186" s="1">
        <f t="shared" si="40"/>
        <v>-2.2133772751674385E-2</v>
      </c>
      <c r="Y186" s="39">
        <f t="shared" si="37"/>
        <v>97.129801079343778</v>
      </c>
      <c r="AB186">
        <v>181</v>
      </c>
      <c r="AC186" s="7">
        <v>0.54333424316910151</v>
      </c>
      <c r="AD186">
        <v>1.1879745840106821</v>
      </c>
      <c r="AE186">
        <v>0.94692368324413501</v>
      </c>
      <c r="AF186" s="7">
        <v>5.453677695881947E-2</v>
      </c>
      <c r="AG186" s="10">
        <v>114.82713420901644</v>
      </c>
      <c r="AH186" s="1">
        <v>0.69854358826343721</v>
      </c>
      <c r="AI186" s="10">
        <v>40.86297661391059</v>
      </c>
      <c r="AJ186" s="32">
        <v>1774.4981001066512</v>
      </c>
      <c r="AK186">
        <v>320</v>
      </c>
      <c r="AL186" s="7">
        <v>0.35734689297441863</v>
      </c>
    </row>
    <row r="187" spans="1:38" x14ac:dyDescent="0.3">
      <c r="A187">
        <v>76860</v>
      </c>
      <c r="B187">
        <v>30</v>
      </c>
      <c r="C187">
        <v>7</v>
      </c>
      <c r="D187">
        <v>1982</v>
      </c>
      <c r="E187">
        <v>4</v>
      </c>
      <c r="F187">
        <v>7</v>
      </c>
      <c r="G187">
        <v>1984</v>
      </c>
      <c r="H187">
        <v>67</v>
      </c>
      <c r="I187" s="32">
        <f t="shared" si="28"/>
        <v>14.370705543744901</v>
      </c>
      <c r="J187" s="1">
        <v>1.93150684931507</v>
      </c>
      <c r="K187" s="32">
        <f t="shared" si="29"/>
        <v>14.901681567413496</v>
      </c>
      <c r="L187" s="32">
        <f t="shared" si="30"/>
        <v>71.416709951561302</v>
      </c>
      <c r="M187" s="1">
        <f t="shared" si="31"/>
        <v>0.1659235249505992</v>
      </c>
      <c r="N187">
        <v>-1.684084054431878</v>
      </c>
      <c r="O187" s="32">
        <f t="shared" si="38"/>
        <v>14.215691627896113</v>
      </c>
      <c r="P187" s="32">
        <f t="shared" si="32"/>
        <v>65.73716374275503</v>
      </c>
      <c r="Q187">
        <v>4</v>
      </c>
      <c r="R187">
        <v>71</v>
      </c>
      <c r="S187" s="32">
        <f t="shared" si="33"/>
        <v>8.5764587365829126</v>
      </c>
      <c r="T187" s="1">
        <f t="shared" si="34"/>
        <v>8.5076007608326663</v>
      </c>
      <c r="U187" s="1">
        <f t="shared" si="35"/>
        <v>8.8065251796947575</v>
      </c>
      <c r="V187" s="1">
        <f t="shared" si="36"/>
        <v>1.8308110083000044</v>
      </c>
      <c r="W187" s="1">
        <f t="shared" si="39"/>
        <v>8.9355808192038949E-2</v>
      </c>
      <c r="X187" s="1">
        <f t="shared" si="40"/>
        <v>-0.2989244188620912</v>
      </c>
      <c r="Y187" s="39">
        <f t="shared" si="37"/>
        <v>71.341338102816621</v>
      </c>
      <c r="AB187">
        <v>182</v>
      </c>
      <c r="AC187" s="7">
        <v>0.42900018411251656</v>
      </c>
      <c r="AD187">
        <v>0.70147372955007981</v>
      </c>
      <c r="AE187">
        <v>0.95691849980846588</v>
      </c>
      <c r="AF187" s="7">
        <v>4.4037053320298281E-2</v>
      </c>
      <c r="AG187" s="10">
        <v>126.83170146719395</v>
      </c>
      <c r="AH187" s="1">
        <v>0.344013859318612</v>
      </c>
      <c r="AI187" s="10">
        <v>13.689129182776391</v>
      </c>
      <c r="AJ187" s="32">
        <v>1752.8621181032734</v>
      </c>
      <c r="AK187">
        <v>320</v>
      </c>
      <c r="AL187" s="7">
        <v>0.2068297094137499</v>
      </c>
    </row>
    <row r="188" spans="1:38" x14ac:dyDescent="0.3">
      <c r="A188">
        <v>76930</v>
      </c>
      <c r="B188">
        <v>31</v>
      </c>
      <c r="C188">
        <v>7</v>
      </c>
      <c r="D188">
        <v>1982</v>
      </c>
      <c r="E188">
        <v>8</v>
      </c>
      <c r="F188">
        <v>6</v>
      </c>
      <c r="G188">
        <v>1985</v>
      </c>
      <c r="H188">
        <v>83</v>
      </c>
      <c r="I188" s="32">
        <f t="shared" si="28"/>
        <v>16.220867158288598</v>
      </c>
      <c r="J188" s="1">
        <v>2.8575342465753399</v>
      </c>
      <c r="K188" s="32">
        <f t="shared" si="29"/>
        <v>16.736101855039269</v>
      </c>
      <c r="L188" s="32">
        <f t="shared" si="30"/>
        <v>87.760378180601492</v>
      </c>
      <c r="M188" s="1">
        <f t="shared" si="31"/>
        <v>0.23454073286128943</v>
      </c>
      <c r="N188">
        <v>0.96744088295963593</v>
      </c>
      <c r="O188" s="32">
        <f t="shared" si="38"/>
        <v>17.204627724372152</v>
      </c>
      <c r="P188" s="32">
        <f t="shared" si="32"/>
        <v>92.204431507930877</v>
      </c>
      <c r="Q188">
        <v>8</v>
      </c>
      <c r="R188">
        <v>91</v>
      </c>
      <c r="S188" s="32">
        <f t="shared" si="33"/>
        <v>9.3797459131381409</v>
      </c>
      <c r="T188" s="1">
        <f t="shared" si="34"/>
        <v>9.7939713590498858</v>
      </c>
      <c r="U188" s="1">
        <f t="shared" si="35"/>
        <v>9.5861315431817502</v>
      </c>
      <c r="V188" s="1">
        <f t="shared" si="36"/>
        <v>2.5707376667724779</v>
      </c>
      <c r="W188" s="1">
        <f t="shared" si="39"/>
        <v>4.3197389060100511E-2</v>
      </c>
      <c r="X188" s="1">
        <f t="shared" si="40"/>
        <v>0.2078398158681356</v>
      </c>
      <c r="Y188" s="39">
        <f t="shared" si="37"/>
        <v>87.502173705300848</v>
      </c>
      <c r="AB188">
        <v>183</v>
      </c>
      <c r="AC188" s="7">
        <v>0.67195881828578485</v>
      </c>
      <c r="AD188">
        <v>1.756475870330527</v>
      </c>
      <c r="AE188">
        <v>0.9496730047354055</v>
      </c>
      <c r="AF188" s="7">
        <v>5.1637559181553459E-2</v>
      </c>
      <c r="AG188" s="10">
        <v>116.43305472947948</v>
      </c>
      <c r="AH188" s="1">
        <v>1.230606445439391</v>
      </c>
      <c r="AI188" s="10">
        <v>146.56495429621333</v>
      </c>
      <c r="AJ188" s="32">
        <v>1823.2673690257229</v>
      </c>
      <c r="AK188">
        <v>320</v>
      </c>
      <c r="AL188" s="7">
        <v>0.67676841103561169</v>
      </c>
    </row>
    <row r="189" spans="1:38" x14ac:dyDescent="0.3">
      <c r="A189">
        <v>78841</v>
      </c>
      <c r="B189">
        <v>27</v>
      </c>
      <c r="C189">
        <v>7</v>
      </c>
      <c r="D189">
        <v>1982</v>
      </c>
      <c r="E189">
        <v>4</v>
      </c>
      <c r="F189">
        <v>5</v>
      </c>
      <c r="G189">
        <v>1983</v>
      </c>
      <c r="H189">
        <v>81</v>
      </c>
      <c r="I189" s="32">
        <f t="shared" si="28"/>
        <v>16</v>
      </c>
      <c r="J189" s="1">
        <v>0.76986301369862997</v>
      </c>
      <c r="K189" s="32">
        <f t="shared" si="29"/>
        <v>16.154877158121721</v>
      </c>
      <c r="L189" s="32">
        <f t="shared" si="30"/>
        <v>82.399891156622459</v>
      </c>
      <c r="M189" s="1">
        <f t="shared" si="31"/>
        <v>7.0097903703802644E-2</v>
      </c>
      <c r="N189">
        <v>0.41052999222301878</v>
      </c>
      <c r="O189" s="32">
        <f t="shared" si="38"/>
        <v>16.263569114606362</v>
      </c>
      <c r="P189" s="32">
        <f t="shared" si="32"/>
        <v>83.389489201000856</v>
      </c>
      <c r="Q189">
        <v>1</v>
      </c>
      <c r="R189">
        <v>82</v>
      </c>
      <c r="S189" s="32">
        <f t="shared" si="33"/>
        <v>9.2855678299812343</v>
      </c>
      <c r="T189" s="1">
        <f t="shared" si="34"/>
        <v>9.3979030326145736</v>
      </c>
      <c r="U189" s="1">
        <f t="shared" si="35"/>
        <v>9.3488447850975245</v>
      </c>
      <c r="V189" s="1">
        <f t="shared" si="36"/>
        <v>0.78023596558428476</v>
      </c>
      <c r="W189" s="1">
        <f t="shared" si="39"/>
        <v>2.4067116494440564E-3</v>
      </c>
      <c r="X189" s="1">
        <f t="shared" si="40"/>
        <v>4.9058247517049125E-2</v>
      </c>
      <c r="Y189" s="39">
        <f t="shared" si="37"/>
        <v>82.34004172206987</v>
      </c>
      <c r="AB189">
        <v>184</v>
      </c>
      <c r="AC189" s="7">
        <v>0.6613697510597728</v>
      </c>
      <c r="AD189">
        <v>1.6715642786891853</v>
      </c>
      <c r="AE189">
        <v>0.95253036434059712</v>
      </c>
      <c r="AF189" s="7">
        <v>4.8633293916586544E-2</v>
      </c>
      <c r="AG189" s="10">
        <v>124.38243629482565</v>
      </c>
      <c r="AH189" s="1">
        <v>1.152991686536478</v>
      </c>
      <c r="AI189" s="10">
        <v>112.41117895446817</v>
      </c>
      <c r="AJ189" s="32">
        <v>1771.5668532087122</v>
      </c>
      <c r="AK189">
        <v>320</v>
      </c>
      <c r="AL189" s="7">
        <v>0.59269295105704856</v>
      </c>
    </row>
    <row r="190" spans="1:38" x14ac:dyDescent="0.3">
      <c r="A190">
        <v>77115</v>
      </c>
      <c r="B190">
        <v>2</v>
      </c>
      <c r="C190">
        <v>8</v>
      </c>
      <c r="D190">
        <v>1982</v>
      </c>
      <c r="E190">
        <v>5</v>
      </c>
      <c r="F190">
        <v>8</v>
      </c>
      <c r="G190">
        <v>1984</v>
      </c>
      <c r="H190">
        <v>60</v>
      </c>
      <c r="I190" s="32">
        <f t="shared" si="28"/>
        <v>13.491933384829668</v>
      </c>
      <c r="J190" s="1">
        <v>2.0109589041095899</v>
      </c>
      <c r="K190" s="32">
        <f t="shared" si="29"/>
        <v>14.12977057076726</v>
      </c>
      <c r="L190" s="32">
        <f t="shared" si="30"/>
        <v>65.042374666397393</v>
      </c>
      <c r="M190" s="1">
        <f t="shared" si="31"/>
        <v>0.17206978448388011</v>
      </c>
      <c r="N190">
        <v>0.31033096092869528</v>
      </c>
      <c r="O190" s="32">
        <f t="shared" si="38"/>
        <v>14.258499872519058</v>
      </c>
      <c r="P190" s="32">
        <f t="shared" si="32"/>
        <v>66.084704526175571</v>
      </c>
      <c r="Q190">
        <v>12</v>
      </c>
      <c r="R190">
        <v>72</v>
      </c>
      <c r="S190" s="32">
        <f t="shared" si="33"/>
        <v>8.1826710278683468</v>
      </c>
      <c r="T190" s="1">
        <f t="shared" si="34"/>
        <v>8.5266417577868374</v>
      </c>
      <c r="U190" s="1">
        <f t="shared" si="35"/>
        <v>8.4658387946865332</v>
      </c>
      <c r="V190" s="1">
        <f t="shared" si="36"/>
        <v>1.8975248193853798</v>
      </c>
      <c r="W190" s="1">
        <f t="shared" si="39"/>
        <v>3.6970003217769538E-3</v>
      </c>
      <c r="X190" s="1">
        <f t="shared" si="40"/>
        <v>6.0802963100304197E-2</v>
      </c>
      <c r="Y190" s="39">
        <f t="shared" si="37"/>
        <v>64.979356230741061</v>
      </c>
      <c r="AB190">
        <v>185</v>
      </c>
      <c r="AC190" s="7">
        <v>0.49815788254187682</v>
      </c>
      <c r="AD190">
        <v>1.1182596810039853</v>
      </c>
      <c r="AE190">
        <v>0.94152623446891259</v>
      </c>
      <c r="AF190" s="7">
        <v>6.0253066728356806E-2</v>
      </c>
      <c r="AG190" s="10">
        <v>112.76029382649739</v>
      </c>
      <c r="AH190" s="1">
        <v>0.61554364035198739</v>
      </c>
      <c r="AI190" s="10">
        <v>26.670276802228603</v>
      </c>
      <c r="AJ190" s="32">
        <v>1762.4912822641979</v>
      </c>
      <c r="AK190">
        <v>320</v>
      </c>
      <c r="AL190" s="7">
        <v>0.28869467436543472</v>
      </c>
    </row>
    <row r="191" spans="1:38" x14ac:dyDescent="0.3">
      <c r="A191">
        <v>79405</v>
      </c>
      <c r="B191">
        <v>2</v>
      </c>
      <c r="C191">
        <v>9</v>
      </c>
      <c r="D191">
        <v>1982</v>
      </c>
      <c r="E191">
        <v>21</v>
      </c>
      <c r="F191">
        <v>4</v>
      </c>
      <c r="G191">
        <v>1985</v>
      </c>
      <c r="H191">
        <v>107</v>
      </c>
      <c r="I191" s="32">
        <f t="shared" si="28"/>
        <v>18.688160865577203</v>
      </c>
      <c r="J191" s="1">
        <v>2.63561643835616</v>
      </c>
      <c r="K191" s="32">
        <f t="shared" si="29"/>
        <v>18.854042396759507</v>
      </c>
      <c r="L191" s="32">
        <f t="shared" si="30"/>
        <v>108.72277107146076</v>
      </c>
      <c r="M191" s="1">
        <f t="shared" si="31"/>
        <v>0.21868587245305873</v>
      </c>
      <c r="N191">
        <v>1.2967757356818765</v>
      </c>
      <c r="O191" s="32">
        <f t="shared" si="38"/>
        <v>19.460464803282989</v>
      </c>
      <c r="P191" s="32">
        <f t="shared" si="32"/>
        <v>115.13788739323699</v>
      </c>
      <c r="Q191">
        <v>30</v>
      </c>
      <c r="R191">
        <v>137</v>
      </c>
      <c r="S191" s="32">
        <f t="shared" si="33"/>
        <v>10.403431341415182</v>
      </c>
      <c r="T191" s="1">
        <f t="shared" si="34"/>
        <v>10.713997313957075</v>
      </c>
      <c r="U191" s="1">
        <f t="shared" si="35"/>
        <v>10.447147628376806</v>
      </c>
      <c r="V191" s="1">
        <f t="shared" si="36"/>
        <v>2.4007362302635329</v>
      </c>
      <c r="W191" s="1">
        <f t="shared" si="39"/>
        <v>7.1208754694288251E-2</v>
      </c>
      <c r="X191" s="1">
        <f t="shared" si="40"/>
        <v>0.26684968558026867</v>
      </c>
      <c r="Y191" s="39">
        <f t="shared" si="37"/>
        <v>108.12058821743975</v>
      </c>
      <c r="AB191">
        <v>186</v>
      </c>
      <c r="AC191" s="7">
        <v>0.68999330267850256</v>
      </c>
      <c r="AD191">
        <v>1.8775591370389773</v>
      </c>
      <c r="AE191">
        <v>0.95018751632543941</v>
      </c>
      <c r="AF191" s="7">
        <v>5.1095928259800444E-2</v>
      </c>
      <c r="AG191" s="10">
        <v>118.75107644458728</v>
      </c>
      <c r="AH191" s="1">
        <v>1.3453157136142837</v>
      </c>
      <c r="AI191" s="10">
        <v>155.68932481003245</v>
      </c>
      <c r="AJ191" s="32">
        <v>1792.7244082063812</v>
      </c>
      <c r="AK191">
        <v>320</v>
      </c>
      <c r="AL191" s="7">
        <v>0.69751640843162344</v>
      </c>
    </row>
    <row r="192" spans="1:38" x14ac:dyDescent="0.3">
      <c r="A192">
        <v>78875</v>
      </c>
      <c r="B192">
        <v>27</v>
      </c>
      <c r="C192">
        <v>7</v>
      </c>
      <c r="D192">
        <v>1982</v>
      </c>
      <c r="E192">
        <v>11</v>
      </c>
      <c r="F192">
        <v>5</v>
      </c>
      <c r="G192">
        <v>1988</v>
      </c>
      <c r="H192">
        <v>70</v>
      </c>
      <c r="I192" s="32">
        <f t="shared" si="28"/>
        <v>14.733200530681511</v>
      </c>
      <c r="J192" s="1">
        <v>5.7945205479452104</v>
      </c>
      <c r="K192" s="32">
        <f t="shared" si="29"/>
        <v>16.087397246331705</v>
      </c>
      <c r="L192" s="32">
        <f t="shared" si="30"/>
        <v>81.788484786651935</v>
      </c>
      <c r="M192" s="1">
        <f t="shared" si="31"/>
        <v>0.41365710083577911</v>
      </c>
      <c r="N192">
        <v>0.21644837033818476</v>
      </c>
      <c r="O192" s="32">
        <f t="shared" si="38"/>
        <v>16.226608569781337</v>
      </c>
      <c r="P192" s="32">
        <f t="shared" si="32"/>
        <v>83.052314989006618</v>
      </c>
      <c r="Q192">
        <v>26</v>
      </c>
      <c r="R192">
        <v>96</v>
      </c>
      <c r="S192" s="32">
        <f t="shared" si="33"/>
        <v>8.736503742677316</v>
      </c>
      <c r="T192" s="1">
        <f t="shared" si="34"/>
        <v>9.382188151731615</v>
      </c>
      <c r="U192" s="1">
        <f t="shared" si="35"/>
        <v>9.308357378531646</v>
      </c>
      <c r="V192" s="1">
        <f t="shared" si="36"/>
        <v>4.4463105445287994</v>
      </c>
      <c r="W192" s="1">
        <f t="shared" si="39"/>
        <v>5.4509830713052607E-3</v>
      </c>
      <c r="X192" s="1">
        <f t="shared" si="40"/>
        <v>7.3830773199969002E-2</v>
      </c>
      <c r="Y192" s="39">
        <f t="shared" si="37"/>
        <v>81.480867243800901</v>
      </c>
      <c r="AB192">
        <v>187</v>
      </c>
      <c r="AC192" s="7">
        <v>0.34858569367571512</v>
      </c>
      <c r="AD192">
        <v>0.6138377184376127</v>
      </c>
      <c r="AE192">
        <v>0.95123094477731807</v>
      </c>
      <c r="AF192" s="7">
        <v>4.9998401778424816E-2</v>
      </c>
      <c r="AG192" s="10">
        <v>125.36035530119376</v>
      </c>
      <c r="AH192" s="1">
        <v>0.26274410210857546</v>
      </c>
      <c r="AI192" s="10">
        <v>8.6955413136036803</v>
      </c>
      <c r="AJ192" s="32">
        <v>1832.4418175518711</v>
      </c>
      <c r="AK192">
        <v>320</v>
      </c>
      <c r="AL192" s="7">
        <v>0.16484406754570061</v>
      </c>
    </row>
    <row r="193" spans="1:38" x14ac:dyDescent="0.3">
      <c r="A193">
        <v>78960</v>
      </c>
      <c r="B193">
        <v>30</v>
      </c>
      <c r="C193">
        <v>7</v>
      </c>
      <c r="D193">
        <v>1982</v>
      </c>
      <c r="E193">
        <v>30</v>
      </c>
      <c r="F193">
        <v>7</v>
      </c>
      <c r="G193">
        <v>1983</v>
      </c>
      <c r="H193">
        <v>80</v>
      </c>
      <c r="I193" s="32">
        <f t="shared" si="28"/>
        <v>15.888543819998318</v>
      </c>
      <c r="J193" s="1">
        <v>1</v>
      </c>
      <c r="K193" s="32">
        <f t="shared" si="29"/>
        <v>16.0941166289984</v>
      </c>
      <c r="L193" s="32">
        <f t="shared" si="30"/>
        <v>81.849264145949107</v>
      </c>
      <c r="M193" s="1">
        <f t="shared" si="31"/>
        <v>9.0000000000000011E-2</v>
      </c>
      <c r="N193">
        <v>-0.33685182643239386</v>
      </c>
      <c r="O193" s="32">
        <f t="shared" si="38"/>
        <v>15.993061081068682</v>
      </c>
      <c r="P193" s="32">
        <f t="shared" si="32"/>
        <v>80.937561766767118</v>
      </c>
      <c r="Q193">
        <v>3</v>
      </c>
      <c r="R193">
        <v>83</v>
      </c>
      <c r="S193" s="32">
        <f t="shared" si="33"/>
        <v>9.237873101814575</v>
      </c>
      <c r="T193" s="1">
        <f t="shared" si="34"/>
        <v>9.2826018440616878</v>
      </c>
      <c r="U193" s="1">
        <f t="shared" si="35"/>
        <v>9.3222536302712165</v>
      </c>
      <c r="V193" s="1">
        <f t="shared" si="36"/>
        <v>1</v>
      </c>
      <c r="W193" s="1">
        <f t="shared" si="39"/>
        <v>1.57226414960617E-3</v>
      </c>
      <c r="X193" s="1">
        <f t="shared" si="40"/>
        <v>-3.9651786209528694E-2</v>
      </c>
      <c r="Y193" s="39">
        <f t="shared" si="37"/>
        <v>81.775052381668189</v>
      </c>
      <c r="AB193">
        <v>188</v>
      </c>
      <c r="AC193" s="7">
        <v>0.63209055500609679</v>
      </c>
      <c r="AD193">
        <v>1.5052421674259984</v>
      </c>
      <c r="AE193">
        <v>0.95090755890080869</v>
      </c>
      <c r="AF193" s="7">
        <v>5.0338425261467472E-2</v>
      </c>
      <c r="AG193" s="10">
        <v>117.82971293088738</v>
      </c>
      <c r="AH193" s="1">
        <v>1.0005417981260707</v>
      </c>
      <c r="AI193" s="10">
        <v>94.453085537732036</v>
      </c>
      <c r="AJ193" s="32">
        <v>1795.6128440450657</v>
      </c>
      <c r="AK193">
        <v>320</v>
      </c>
      <c r="AL193" s="7">
        <v>0.54329171934183995</v>
      </c>
    </row>
    <row r="194" spans="1:38" x14ac:dyDescent="0.3">
      <c r="A194">
        <v>79436</v>
      </c>
      <c r="B194">
        <v>3</v>
      </c>
      <c r="C194">
        <v>9</v>
      </c>
      <c r="D194">
        <v>1982</v>
      </c>
      <c r="E194">
        <v>29</v>
      </c>
      <c r="F194">
        <v>4</v>
      </c>
      <c r="G194">
        <v>1989</v>
      </c>
      <c r="H194">
        <v>78</v>
      </c>
      <c r="I194" s="32">
        <f t="shared" si="28"/>
        <v>15.663521732655695</v>
      </c>
      <c r="J194" s="1">
        <v>6.6575342465753398</v>
      </c>
      <c r="K194" s="32">
        <f t="shared" si="29"/>
        <v>16.918009373392035</v>
      </c>
      <c r="L194" s="32">
        <f t="shared" si="30"/>
        <v>89.472769662937225</v>
      </c>
      <c r="M194" s="1">
        <f t="shared" si="31"/>
        <v>0.4568190562815671</v>
      </c>
      <c r="N194">
        <v>0.85184638010105118</v>
      </c>
      <c r="O194" s="32">
        <f t="shared" si="38"/>
        <v>17.493758633278823</v>
      </c>
      <c r="P194" s="32">
        <f t="shared" si="32"/>
        <v>95.001656413133162</v>
      </c>
      <c r="Q194">
        <v>15</v>
      </c>
      <c r="R194">
        <v>93</v>
      </c>
      <c r="S194" s="32">
        <f t="shared" si="33"/>
        <v>9.1412290377968759</v>
      </c>
      <c r="T194" s="1">
        <f t="shared" si="34"/>
        <v>9.914141896363132</v>
      </c>
      <c r="U194" s="1">
        <f t="shared" si="35"/>
        <v>9.6508757590467837</v>
      </c>
      <c r="V194" s="1">
        <f t="shared" si="36"/>
        <v>4.8844099477792629</v>
      </c>
      <c r="W194" s="1">
        <f t="shared" si="39"/>
        <v>6.9309059057470354E-2</v>
      </c>
      <c r="X194" s="1">
        <f t="shared" si="40"/>
        <v>0.26326613731634829</v>
      </c>
      <c r="Y194" s="39">
        <f t="shared" si="37"/>
        <v>88.948696146677079</v>
      </c>
      <c r="AB194">
        <v>189</v>
      </c>
      <c r="AC194" s="7">
        <v>0.67996365176442364</v>
      </c>
      <c r="AD194">
        <v>1.8197887607307601</v>
      </c>
      <c r="AE194">
        <v>0.9513286672543273</v>
      </c>
      <c r="AF194" s="7">
        <v>4.9895674403705854E-2</v>
      </c>
      <c r="AG194" s="10">
        <v>123.38755659012858</v>
      </c>
      <c r="AH194" s="1">
        <v>1.2860615439320153</v>
      </c>
      <c r="AI194" s="10">
        <v>139.16959846829639</v>
      </c>
      <c r="AJ194" s="32">
        <v>1786.9172095170602</v>
      </c>
      <c r="AK194">
        <v>320</v>
      </c>
      <c r="AL194" s="7">
        <v>0.65947327103789899</v>
      </c>
    </row>
    <row r="195" spans="1:38" x14ac:dyDescent="0.3">
      <c r="A195">
        <v>79119</v>
      </c>
      <c r="B195">
        <v>9</v>
      </c>
      <c r="C195">
        <v>8</v>
      </c>
      <c r="D195">
        <v>1982</v>
      </c>
      <c r="E195">
        <v>22</v>
      </c>
      <c r="F195">
        <v>8</v>
      </c>
      <c r="G195">
        <v>1987</v>
      </c>
      <c r="H195">
        <v>75</v>
      </c>
      <c r="I195" s="32">
        <f t="shared" si="28"/>
        <v>15.320508075688775</v>
      </c>
      <c r="J195" s="1">
        <v>5.0383561643835604</v>
      </c>
      <c r="K195" s="32">
        <f t="shared" si="29"/>
        <v>16.38621516134036</v>
      </c>
      <c r="L195" s="32">
        <f t="shared" si="30"/>
        <v>84.513226989775532</v>
      </c>
      <c r="M195" s="1">
        <f t="shared" si="31"/>
        <v>0.37256710030341994</v>
      </c>
      <c r="N195">
        <v>0.92319169198162854</v>
      </c>
      <c r="O195" s="32">
        <f t="shared" si="38"/>
        <v>16.949715444166202</v>
      </c>
      <c r="P195" s="32">
        <f t="shared" si="32"/>
        <v>89.772928853717772</v>
      </c>
      <c r="Q195">
        <v>34</v>
      </c>
      <c r="R195">
        <v>109</v>
      </c>
      <c r="S195" s="32">
        <f t="shared" si="33"/>
        <v>8.9929875760017879</v>
      </c>
      <c r="T195" s="1">
        <f t="shared" si="34"/>
        <v>9.6874412090816282</v>
      </c>
      <c r="U195" s="1">
        <f t="shared" si="35"/>
        <v>9.4347257935722446</v>
      </c>
      <c r="V195" s="1">
        <f t="shared" si="36"/>
        <v>4.0238861005605573</v>
      </c>
      <c r="W195" s="1">
        <f t="shared" si="39"/>
        <v>6.3865081236080395E-2</v>
      </c>
      <c r="X195" s="1">
        <f t="shared" si="40"/>
        <v>0.25271541550938359</v>
      </c>
      <c r="Y195" s="39">
        <f t="shared" si="37"/>
        <v>84.183264196935397</v>
      </c>
      <c r="AB195">
        <v>190</v>
      </c>
      <c r="AC195" s="7">
        <v>7.9075061086432058E-2</v>
      </c>
      <c r="AD195">
        <v>0.31198174606640439</v>
      </c>
      <c r="AE195">
        <v>0.94689022289774871</v>
      </c>
      <c r="AF195" s="7">
        <v>5.4572113425915059E-2</v>
      </c>
      <c r="AG195" s="10">
        <v>124.55959618753768</v>
      </c>
      <c r="AH195" s="1">
        <v>7.777975273030395E-2</v>
      </c>
      <c r="AI195" s="10">
        <v>0.70603951419076194</v>
      </c>
      <c r="AJ195" s="32">
        <v>1785.6335662640711</v>
      </c>
      <c r="AK195">
        <v>320</v>
      </c>
      <c r="AL195" s="7">
        <v>4.6972050006851208E-2</v>
      </c>
    </row>
    <row r="196" spans="1:38" x14ac:dyDescent="0.3">
      <c r="A196">
        <v>79303</v>
      </c>
      <c r="B196">
        <v>23</v>
      </c>
      <c r="C196">
        <v>8</v>
      </c>
      <c r="D196">
        <v>1982</v>
      </c>
      <c r="E196">
        <v>8</v>
      </c>
      <c r="F196">
        <v>11</v>
      </c>
      <c r="G196">
        <v>1984</v>
      </c>
      <c r="H196">
        <v>92</v>
      </c>
      <c r="I196" s="32">
        <f t="shared" si="28"/>
        <v>17.183326093250876</v>
      </c>
      <c r="J196" s="1">
        <v>2.2136986301369901</v>
      </c>
      <c r="K196" s="32">
        <f t="shared" si="29"/>
        <v>17.485663811848671</v>
      </c>
      <c r="L196" s="32">
        <f t="shared" si="30"/>
        <v>94.922773547097222</v>
      </c>
      <c r="M196" s="1">
        <f t="shared" si="31"/>
        <v>0.18752820177762175</v>
      </c>
      <c r="N196">
        <v>-0.56469161791028455</v>
      </c>
      <c r="O196" s="32">
        <f t="shared" si="38"/>
        <v>17.2411267803718</v>
      </c>
      <c r="P196" s="32">
        <f t="shared" si="32"/>
        <v>92.555239944585225</v>
      </c>
      <c r="Q196">
        <v>9</v>
      </c>
      <c r="R196">
        <v>101</v>
      </c>
      <c r="S196" s="32">
        <f t="shared" si="33"/>
        <v>9.7850902466069272</v>
      </c>
      <c r="T196" s="1">
        <f t="shared" si="34"/>
        <v>9.8091797540009491</v>
      </c>
      <c r="U196" s="1">
        <f t="shared" si="35"/>
        <v>9.8981942825325522</v>
      </c>
      <c r="V196" s="1">
        <f t="shared" si="36"/>
        <v>2.0649436968133816</v>
      </c>
      <c r="W196" s="1">
        <f t="shared" si="39"/>
        <v>7.9235862897035787E-3</v>
      </c>
      <c r="X196" s="1">
        <f t="shared" si="40"/>
        <v>-8.9014528531603077E-2</v>
      </c>
      <c r="Y196" s="39">
        <f t="shared" si="37"/>
        <v>94.627101062788057</v>
      </c>
      <c r="AB196">
        <v>191</v>
      </c>
      <c r="AC196" s="7">
        <v>0.33646386342372286</v>
      </c>
      <c r="AD196">
        <v>0.67941626201722982</v>
      </c>
      <c r="AE196">
        <v>0.94229453674666741</v>
      </c>
      <c r="AF196" s="7">
        <v>5.943738157179309E-2</v>
      </c>
      <c r="AG196" s="10">
        <v>116.79313498579472</v>
      </c>
      <c r="AH196" s="1">
        <v>0.28630448364455408</v>
      </c>
      <c r="AI196" s="10">
        <v>7.3932847898025722</v>
      </c>
      <c r="AJ196" s="32">
        <v>1809.0457564289934</v>
      </c>
      <c r="AK196">
        <v>320</v>
      </c>
      <c r="AL196" s="7">
        <v>0.15200004923727176</v>
      </c>
    </row>
    <row r="197" spans="1:38" x14ac:dyDescent="0.3">
      <c r="A197">
        <v>77122</v>
      </c>
      <c r="B197">
        <v>2</v>
      </c>
      <c r="C197">
        <v>8</v>
      </c>
      <c r="D197">
        <v>1982</v>
      </c>
      <c r="E197">
        <v>23</v>
      </c>
      <c r="F197">
        <v>4</v>
      </c>
      <c r="G197">
        <v>1985</v>
      </c>
      <c r="H197">
        <v>55</v>
      </c>
      <c r="I197" s="32">
        <f t="shared" si="28"/>
        <v>12.832396974191326</v>
      </c>
      <c r="J197" s="1">
        <v>2.7260273972602702</v>
      </c>
      <c r="K197" s="32">
        <f t="shared" si="29"/>
        <v>13.767706725585297</v>
      </c>
      <c r="L197" s="32">
        <f t="shared" si="30"/>
        <v>62.155143846016955</v>
      </c>
      <c r="M197" s="1">
        <f t="shared" si="31"/>
        <v>0.22518886146640016</v>
      </c>
      <c r="N197">
        <v>-0.37557128962362185</v>
      </c>
      <c r="O197" s="32">
        <f t="shared" si="38"/>
        <v>13.589482868641431</v>
      </c>
      <c r="P197" s="32">
        <f t="shared" si="32"/>
        <v>60.757994027916169</v>
      </c>
      <c r="Q197">
        <v>31</v>
      </c>
      <c r="R197">
        <v>86</v>
      </c>
      <c r="S197" s="32">
        <f t="shared" si="33"/>
        <v>7.8814209124336854</v>
      </c>
      <c r="T197" s="1">
        <f t="shared" si="34"/>
        <v>8.2268029006559562</v>
      </c>
      <c r="U197" s="1">
        <f t="shared" si="35"/>
        <v>8.3023152790140102</v>
      </c>
      <c r="V197" s="1">
        <f t="shared" si="36"/>
        <v>2.4705356063749973</v>
      </c>
      <c r="W197" s="1">
        <f t="shared" si="39"/>
        <v>5.7021192852899057E-3</v>
      </c>
      <c r="X197" s="1">
        <f t="shared" si="40"/>
        <v>-7.5512378358054022E-2</v>
      </c>
      <c r="Y197" s="39">
        <f t="shared" si="37"/>
        <v>62.070328529439536</v>
      </c>
      <c r="AB197">
        <v>192</v>
      </c>
      <c r="AC197" s="7">
        <v>0.6936595027641238</v>
      </c>
      <c r="AD197">
        <v>1.7056988624052287</v>
      </c>
      <c r="AE197">
        <v>0.95718755174843895</v>
      </c>
      <c r="AF197" s="7">
        <v>4.3755927892032496E-2</v>
      </c>
      <c r="AG197" s="10">
        <v>125.98899931974032</v>
      </c>
      <c r="AH197" s="1">
        <v>1.2259866730129036</v>
      </c>
      <c r="AI197" s="10">
        <v>149.97776592687791</v>
      </c>
      <c r="AJ197" s="32">
        <v>1774.8862345937041</v>
      </c>
      <c r="AK197">
        <v>320</v>
      </c>
      <c r="AL197" s="7">
        <v>0.6846024529035033</v>
      </c>
    </row>
    <row r="198" spans="1:38" x14ac:dyDescent="0.3">
      <c r="A198">
        <v>22728</v>
      </c>
      <c r="B198">
        <v>28</v>
      </c>
      <c r="C198">
        <v>7</v>
      </c>
      <c r="D198">
        <v>1982</v>
      </c>
      <c r="E198">
        <v>7</v>
      </c>
      <c r="F198">
        <v>11</v>
      </c>
      <c r="G198">
        <v>1983</v>
      </c>
      <c r="H198">
        <v>61</v>
      </c>
      <c r="I198" s="32">
        <f t="shared" si="28"/>
        <v>13.620499351813308</v>
      </c>
      <c r="J198" s="1">
        <v>1.2794520547945201</v>
      </c>
      <c r="K198" s="32">
        <f t="shared" si="29"/>
        <v>14.025726412678884</v>
      </c>
      <c r="L198" s="32">
        <f t="shared" si="30"/>
        <v>64.205976763508417</v>
      </c>
      <c r="M198" s="1">
        <f t="shared" si="31"/>
        <v>0.1135435901043759</v>
      </c>
      <c r="N198">
        <v>-0.85217607193044387</v>
      </c>
      <c r="O198" s="32">
        <f t="shared" si="38"/>
        <v>13.738575205394371</v>
      </c>
      <c r="P198" s="32">
        <f t="shared" si="32"/>
        <v>61.925687373963612</v>
      </c>
      <c r="Q198">
        <v>6</v>
      </c>
      <c r="R198">
        <v>67</v>
      </c>
      <c r="S198" s="32">
        <f t="shared" si="33"/>
        <v>8.2408125112790831</v>
      </c>
      <c r="T198" s="1">
        <f t="shared" si="34"/>
        <v>8.294047165041766</v>
      </c>
      <c r="U198" s="1">
        <f t="shared" si="35"/>
        <v>8.420612799074739</v>
      </c>
      <c r="V198" s="1">
        <f t="shared" si="36"/>
        <v>1.2589313628554351</v>
      </c>
      <c r="W198" s="1">
        <f t="shared" si="39"/>
        <v>1.6018859718168466E-2</v>
      </c>
      <c r="X198" s="1">
        <f t="shared" si="40"/>
        <v>-0.12656563403297305</v>
      </c>
      <c r="Y198" s="39">
        <f t="shared" si="37"/>
        <v>64.165546527604505</v>
      </c>
      <c r="AB198">
        <v>193</v>
      </c>
      <c r="AC198" s="7">
        <v>0.50778444071414619</v>
      </c>
      <c r="AD198">
        <v>1.1055524422891647</v>
      </c>
      <c r="AE198">
        <v>0.94582739243911218</v>
      </c>
      <c r="AF198" s="7">
        <v>5.5695187001958468E-2</v>
      </c>
      <c r="AG198" s="10">
        <v>119.84294814054286</v>
      </c>
      <c r="AH198" s="1">
        <v>0.61555493614884971</v>
      </c>
      <c r="AI198" s="10">
        <v>31.220369956823308</v>
      </c>
      <c r="AJ198" s="32">
        <v>1790.4796991957248</v>
      </c>
      <c r="AK198">
        <v>320</v>
      </c>
      <c r="AL198" s="7">
        <v>0.31235181464987977</v>
      </c>
    </row>
    <row r="199" spans="1:38" x14ac:dyDescent="0.3">
      <c r="A199">
        <v>22668</v>
      </c>
      <c r="B199">
        <v>26</v>
      </c>
      <c r="C199">
        <v>7</v>
      </c>
      <c r="D199">
        <v>1982</v>
      </c>
      <c r="E199">
        <v>21</v>
      </c>
      <c r="F199">
        <v>8</v>
      </c>
      <c r="G199">
        <v>1984</v>
      </c>
      <c r="H199">
        <v>54</v>
      </c>
      <c r="I199" s="32">
        <f t="shared" si="28"/>
        <v>12.696938456699069</v>
      </c>
      <c r="J199" s="1">
        <v>2.0739726027397301</v>
      </c>
      <c r="K199" s="32">
        <f t="shared" si="29"/>
        <v>13.433947843527029</v>
      </c>
      <c r="L199" s="32">
        <f t="shared" si="30"/>
        <v>59.551686509178161</v>
      </c>
      <c r="M199" s="1">
        <f t="shared" si="31"/>
        <v>0.17690890751311056</v>
      </c>
      <c r="N199">
        <v>0.68468125391518697</v>
      </c>
      <c r="O199" s="32">
        <f t="shared" si="38"/>
        <v>13.721928480275361</v>
      </c>
      <c r="P199" s="32">
        <f t="shared" si="32"/>
        <v>61.794758784723378</v>
      </c>
      <c r="Q199">
        <v>9</v>
      </c>
      <c r="R199">
        <v>63</v>
      </c>
      <c r="S199" s="32">
        <f t="shared" si="33"/>
        <v>7.8189121954385223</v>
      </c>
      <c r="T199" s="1">
        <f t="shared" si="34"/>
        <v>8.2865513464489151</v>
      </c>
      <c r="U199" s="1">
        <f t="shared" si="35"/>
        <v>8.15244165183897</v>
      </c>
      <c r="V199" s="1">
        <f t="shared" si="36"/>
        <v>1.9499914104479714</v>
      </c>
      <c r="W199" s="1">
        <f t="shared" si="39"/>
        <v>1.7985410188372752E-2</v>
      </c>
      <c r="X199" s="1">
        <f t="shared" si="40"/>
        <v>0.13410969460994515</v>
      </c>
      <c r="Y199" s="39">
        <f t="shared" si="37"/>
        <v>59.484591186556386</v>
      </c>
      <c r="AB199">
        <v>194</v>
      </c>
      <c r="AC199" s="7">
        <v>0.42955456844327372</v>
      </c>
      <c r="AD199">
        <v>0.79806084819301415</v>
      </c>
      <c r="AE199">
        <v>0.94991713055725102</v>
      </c>
      <c r="AF199" s="7">
        <v>5.1380529184762165E-2</v>
      </c>
      <c r="AG199" s="10">
        <v>120.9453527481129</v>
      </c>
      <c r="AH199" s="1">
        <v>0.39289355267977216</v>
      </c>
      <c r="AI199" s="10">
        <v>16.27640784057202</v>
      </c>
      <c r="AJ199" s="32">
        <v>1803.2608874865496</v>
      </c>
      <c r="AK199">
        <v>320</v>
      </c>
      <c r="AL199" s="7">
        <v>0.22552998581516287</v>
      </c>
    </row>
    <row r="200" spans="1:38" x14ac:dyDescent="0.3">
      <c r="A200">
        <v>79401</v>
      </c>
      <c r="B200">
        <v>1</v>
      </c>
      <c r="C200">
        <v>9</v>
      </c>
      <c r="D200">
        <v>1982</v>
      </c>
      <c r="E200">
        <v>6</v>
      </c>
      <c r="F200">
        <v>5</v>
      </c>
      <c r="G200">
        <v>1983</v>
      </c>
      <c r="H200">
        <v>109</v>
      </c>
      <c r="I200" s="32">
        <f t="shared" ref="I200:I263" si="41">(H200^gamma_T-1)/gamma_T</f>
        <v>18.880613017821101</v>
      </c>
      <c r="J200" s="1">
        <v>0.67671232876712295</v>
      </c>
      <c r="K200" s="32">
        <f t="shared" ref="K200:K263" si="42">alpha_T*(1-rho_T^J200)/(1-rho_T)+I200*rho_T^J200</f>
        <v>18.918801234721389</v>
      </c>
      <c r="L200" s="32">
        <f t="shared" ref="L200:L263" si="43">(gamma_T*K200+1)^(1/gamma_T)</f>
        <v>109.39906127444527</v>
      </c>
      <c r="M200" s="1">
        <f t="shared" ref="M200:M263" si="44">sigma_eps_T^2*(1-rho_T^(2*J200))/(1-rho_T^2)</f>
        <v>6.190775656104943E-2</v>
      </c>
      <c r="N200">
        <v>0.39327915146714076</v>
      </c>
      <c r="O200" s="32">
        <f t="shared" si="38"/>
        <v>19.016654079785674</v>
      </c>
      <c r="P200" s="32">
        <f t="shared" ref="P200:P263" si="45">(gamma_T*O200+1)^(1/gamma_T)</f>
        <v>110.42493717734295</v>
      </c>
      <c r="Q200">
        <v>4</v>
      </c>
      <c r="R200">
        <v>113</v>
      </c>
      <c r="S200" s="32">
        <f t="shared" ref="S200:S263" si="46">(H200^gamma-1)/gamma</f>
        <v>10.481235640449308</v>
      </c>
      <c r="T200" s="1">
        <f t="shared" ref="T200:T263" si="47">(P200^gamma-1)/gamma</f>
        <v>10.536066865661068</v>
      </c>
      <c r="U200" s="1">
        <f t="shared" ref="U200:U263" si="48">alpha*(1-rho^J200)/(1-rho)+(rho^J200)*S200</f>
        <v>10.490063997437192</v>
      </c>
      <c r="V200" s="1">
        <f t="shared" ref="V200:V263" si="49">(1-rho^(2*J200))/(1-rho^2)</f>
        <v>0.68956770622896413</v>
      </c>
      <c r="W200" s="1">
        <f t="shared" si="39"/>
        <v>2.1162638848233415E-3</v>
      </c>
      <c r="X200" s="1">
        <f t="shared" si="40"/>
        <v>4.6002868223876447E-2</v>
      </c>
      <c r="Y200" s="39">
        <f t="shared" ref="Y200:Y263" si="50">(U200*gamma+1)^(1/gamma)</f>
        <v>109.2285623404761</v>
      </c>
      <c r="AB200">
        <v>195</v>
      </c>
      <c r="AC200" s="7">
        <v>0.58708354991583256</v>
      </c>
      <c r="AD200">
        <v>1.4870852034808701</v>
      </c>
      <c r="AE200">
        <v>0.94130153798318228</v>
      </c>
      <c r="AF200" s="7">
        <v>6.0491746537614549E-2</v>
      </c>
      <c r="AG200" s="10">
        <v>110.9535777596096</v>
      </c>
      <c r="AH200" s="1">
        <v>0.93174172230367514</v>
      </c>
      <c r="AI200" s="10">
        <v>65.786255630782364</v>
      </c>
      <c r="AJ200" s="32">
        <v>1800.3669385893454</v>
      </c>
      <c r="AK200">
        <v>320</v>
      </c>
      <c r="AL200" s="7">
        <v>0.45341156673181032</v>
      </c>
    </row>
    <row r="201" spans="1:38" x14ac:dyDescent="0.3">
      <c r="A201">
        <v>78955</v>
      </c>
      <c r="B201">
        <v>30</v>
      </c>
      <c r="C201">
        <v>7</v>
      </c>
      <c r="D201">
        <v>1982</v>
      </c>
      <c r="E201">
        <v>10</v>
      </c>
      <c r="F201">
        <v>6</v>
      </c>
      <c r="G201">
        <v>1986</v>
      </c>
      <c r="H201">
        <v>76</v>
      </c>
      <c r="I201" s="32">
        <f t="shared" si="41"/>
        <v>15.435595774162696</v>
      </c>
      <c r="J201" s="1">
        <v>3.8657534246575298</v>
      </c>
      <c r="K201" s="32">
        <f t="shared" si="42"/>
        <v>16.2565757479301</v>
      </c>
      <c r="L201" s="32">
        <f t="shared" si="43"/>
        <v>83.325639509977364</v>
      </c>
      <c r="M201" s="1">
        <f t="shared" si="44"/>
        <v>0.30219674433707111</v>
      </c>
      <c r="N201">
        <v>-0.6240281891223276</v>
      </c>
      <c r="O201" s="32">
        <f t="shared" ref="O201:O264" si="51">K201+N201*SQRT(M201)</f>
        <v>15.913532323489338</v>
      </c>
      <c r="P201" s="32">
        <f t="shared" si="45"/>
        <v>80.22366007617434</v>
      </c>
      <c r="Q201">
        <v>6</v>
      </c>
      <c r="R201">
        <v>82</v>
      </c>
      <c r="S201" s="32">
        <f t="shared" si="46"/>
        <v>9.0428509961318699</v>
      </c>
      <c r="T201" s="1">
        <f t="shared" si="47"/>
        <v>9.2485762465151211</v>
      </c>
      <c r="U201" s="1">
        <f t="shared" si="48"/>
        <v>9.3830175541086973</v>
      </c>
      <c r="V201" s="1">
        <f t="shared" si="49"/>
        <v>3.2892585614949903</v>
      </c>
      <c r="W201" s="1">
        <f t="shared" ref="W201:W264" si="52">(T201-U201)^2</f>
        <v>1.8074465187470568E-2</v>
      </c>
      <c r="X201" s="1">
        <f t="shared" ref="X201:X264" si="53">T201-U201</f>
        <v>-0.1344413075935762</v>
      </c>
      <c r="Y201" s="39">
        <f t="shared" si="50"/>
        <v>83.070086747958669</v>
      </c>
      <c r="AB201">
        <v>196</v>
      </c>
      <c r="AC201" s="7">
        <v>0.33341031874982946</v>
      </c>
      <c r="AD201">
        <v>0.66588262352069261</v>
      </c>
      <c r="AE201">
        <v>0.9424741448658418</v>
      </c>
      <c r="AF201" s="7">
        <v>5.924679253933484E-2</v>
      </c>
      <c r="AG201" s="10">
        <v>114.61928090627396</v>
      </c>
      <c r="AH201" s="1">
        <v>0.27953799289216502</v>
      </c>
      <c r="AI201" s="10">
        <v>5.6836031640220179</v>
      </c>
      <c r="AJ201" s="32">
        <v>1731.8161841105009</v>
      </c>
      <c r="AK201">
        <v>320</v>
      </c>
      <c r="AL201" s="7">
        <v>0.13327137685027796</v>
      </c>
    </row>
    <row r="202" spans="1:38" x14ac:dyDescent="0.3">
      <c r="A202">
        <v>20609</v>
      </c>
      <c r="B202">
        <v>19</v>
      </c>
      <c r="C202">
        <v>1</v>
      </c>
      <c r="D202">
        <v>1982</v>
      </c>
      <c r="E202">
        <v>16</v>
      </c>
      <c r="F202">
        <v>6</v>
      </c>
      <c r="G202">
        <v>1982</v>
      </c>
      <c r="H202">
        <v>92</v>
      </c>
      <c r="I202" s="32">
        <f t="shared" si="41"/>
        <v>17.183326093250876</v>
      </c>
      <c r="J202" s="1">
        <v>0.40547945205479502</v>
      </c>
      <c r="K202" s="32">
        <f t="shared" si="42"/>
        <v>17.241303332605074</v>
      </c>
      <c r="L202" s="32">
        <f t="shared" si="43"/>
        <v>92.556938484329791</v>
      </c>
      <c r="M202" s="1">
        <f t="shared" si="44"/>
        <v>3.7609366953714467E-2</v>
      </c>
      <c r="N202">
        <v>1.5336081560235471</v>
      </c>
      <c r="O202" s="32">
        <f t="shared" si="51"/>
        <v>17.538718026509024</v>
      </c>
      <c r="P202" s="32">
        <f t="shared" si="45"/>
        <v>95.440375529857164</v>
      </c>
      <c r="Q202">
        <v>2</v>
      </c>
      <c r="R202">
        <v>94</v>
      </c>
      <c r="S202" s="32">
        <f t="shared" si="46"/>
        <v>9.7850902466069272</v>
      </c>
      <c r="T202" s="1">
        <f t="shared" si="47"/>
        <v>9.9327660940521412</v>
      </c>
      <c r="U202" s="1">
        <f t="shared" si="48"/>
        <v>9.8069310601564883</v>
      </c>
      <c r="V202" s="1">
        <f t="shared" si="49"/>
        <v>0.41979708177236319</v>
      </c>
      <c r="W202" s="1">
        <f t="shared" si="52"/>
        <v>1.5834455755520106E-2</v>
      </c>
      <c r="X202" s="1">
        <f t="shared" si="53"/>
        <v>0.12583503389565287</v>
      </c>
      <c r="Y202" s="39">
        <f t="shared" si="50"/>
        <v>92.503311651322534</v>
      </c>
      <c r="AB202">
        <v>197</v>
      </c>
      <c r="AC202" s="7">
        <v>0.46728868303377358</v>
      </c>
      <c r="AD202">
        <v>0.94312713592348596</v>
      </c>
      <c r="AE202">
        <v>0.94717189107738087</v>
      </c>
      <c r="AF202" s="7">
        <v>5.4274691097861226E-2</v>
      </c>
      <c r="AG202" s="10">
        <v>119.33961084264749</v>
      </c>
      <c r="AH202" s="1">
        <v>0.49354074620171967</v>
      </c>
      <c r="AI202" s="10">
        <v>21.580209327831106</v>
      </c>
      <c r="AJ202" s="32">
        <v>1786.2301807717913</v>
      </c>
      <c r="AK202">
        <v>320</v>
      </c>
      <c r="AL202" s="7">
        <v>0.25968857146488411</v>
      </c>
    </row>
    <row r="203" spans="1:38" x14ac:dyDescent="0.3">
      <c r="A203">
        <v>22572</v>
      </c>
      <c r="B203">
        <v>25</v>
      </c>
      <c r="C203">
        <v>7</v>
      </c>
      <c r="D203">
        <v>1982</v>
      </c>
      <c r="E203">
        <v>28</v>
      </c>
      <c r="F203">
        <v>5</v>
      </c>
      <c r="G203">
        <v>1987</v>
      </c>
      <c r="H203">
        <v>67</v>
      </c>
      <c r="I203" s="32">
        <f t="shared" si="41"/>
        <v>14.370705543744901</v>
      </c>
      <c r="J203" s="1">
        <v>4.8438356164383602</v>
      </c>
      <c r="K203" s="32">
        <f t="shared" si="42"/>
        <v>15.60912804902231</v>
      </c>
      <c r="L203" s="32">
        <f t="shared" si="43"/>
        <v>77.520347661716059</v>
      </c>
      <c r="M203" s="1">
        <f t="shared" si="44"/>
        <v>0.36147122498744627</v>
      </c>
      <c r="N203">
        <v>0.11080487638537306</v>
      </c>
      <c r="O203" s="32">
        <f t="shared" si="51"/>
        <v>15.675746685427304</v>
      </c>
      <c r="P203" s="32">
        <f t="shared" si="45"/>
        <v>78.1080052218486</v>
      </c>
      <c r="Q203">
        <v>13</v>
      </c>
      <c r="R203">
        <v>80</v>
      </c>
      <c r="S203" s="32">
        <f t="shared" si="46"/>
        <v>8.5764587365829126</v>
      </c>
      <c r="T203" s="1">
        <f t="shared" si="47"/>
        <v>9.1464916857580434</v>
      </c>
      <c r="U203" s="1">
        <f t="shared" si="48"/>
        <v>9.10730035971409</v>
      </c>
      <c r="V203" s="1">
        <f t="shared" si="49"/>
        <v>3.9089647524911193</v>
      </c>
      <c r="W203" s="1">
        <f t="shared" si="52"/>
        <v>1.5359600370834575E-3</v>
      </c>
      <c r="X203" s="1">
        <f t="shared" si="53"/>
        <v>3.9191326043953367E-2</v>
      </c>
      <c r="Y203" s="39">
        <f t="shared" si="50"/>
        <v>77.3061671087072</v>
      </c>
      <c r="AB203">
        <v>198</v>
      </c>
      <c r="AC203" s="7">
        <v>0.77152264881800059</v>
      </c>
      <c r="AD203">
        <v>2.1132645055288863</v>
      </c>
      <c r="AE203">
        <v>0.96160570517813737</v>
      </c>
      <c r="AF203" s="7">
        <v>3.9150782213243619E-2</v>
      </c>
      <c r="AG203" s="10">
        <v>132.81937725734335</v>
      </c>
      <c r="AH203" s="1">
        <v>1.6688257237805715</v>
      </c>
      <c r="AI203" s="10">
        <v>300.4615414332045</v>
      </c>
      <c r="AJ203" s="32">
        <v>1781.2161653019996</v>
      </c>
      <c r="AK203">
        <v>320</v>
      </c>
      <c r="AL203" s="7">
        <v>0.96899035959020974</v>
      </c>
    </row>
    <row r="204" spans="1:38" x14ac:dyDescent="0.3">
      <c r="A204">
        <v>76764</v>
      </c>
      <c r="B204">
        <v>30</v>
      </c>
      <c r="C204">
        <v>7</v>
      </c>
      <c r="D204">
        <v>1982</v>
      </c>
      <c r="E204">
        <v>16</v>
      </c>
      <c r="F204">
        <v>6</v>
      </c>
      <c r="G204">
        <v>1987</v>
      </c>
      <c r="H204">
        <v>57</v>
      </c>
      <c r="I204" s="32">
        <f t="shared" si="41"/>
        <v>13.0996688705415</v>
      </c>
      <c r="J204" s="1">
        <v>4.8821917808219197</v>
      </c>
      <c r="K204" s="32">
        <f t="shared" si="42"/>
        <v>14.628293188790616</v>
      </c>
      <c r="L204" s="32">
        <f t="shared" si="43"/>
        <v>69.125033593095083</v>
      </c>
      <c r="M204" s="1">
        <f t="shared" si="44"/>
        <v>0.3636767049106655</v>
      </c>
      <c r="N204">
        <v>1.2964210327481851</v>
      </c>
      <c r="O204" s="32">
        <f t="shared" si="51"/>
        <v>15.410107849302822</v>
      </c>
      <c r="P204" s="32">
        <f t="shared" si="45"/>
        <v>75.777963831088925</v>
      </c>
      <c r="Q204">
        <v>22</v>
      </c>
      <c r="R204">
        <v>79</v>
      </c>
      <c r="S204" s="32">
        <f t="shared" si="46"/>
        <v>8.0041122654507237</v>
      </c>
      <c r="T204" s="1">
        <f t="shared" si="47"/>
        <v>9.0318189856269608</v>
      </c>
      <c r="U204" s="1">
        <f t="shared" si="48"/>
        <v>8.6822194575583858</v>
      </c>
      <c r="V204" s="1">
        <f t="shared" si="49"/>
        <v>3.9318352416763562</v>
      </c>
      <c r="W204" s="1">
        <f t="shared" si="52"/>
        <v>0.12221983002577042</v>
      </c>
      <c r="X204" s="1">
        <f t="shared" si="53"/>
        <v>0.34959952806857508</v>
      </c>
      <c r="Y204" s="39">
        <f t="shared" si="50"/>
        <v>68.972235043587659</v>
      </c>
      <c r="AB204">
        <v>199</v>
      </c>
      <c r="AC204" s="7">
        <v>0.45740516533271314</v>
      </c>
      <c r="AD204">
        <v>0.89497651366841147</v>
      </c>
      <c r="AE204">
        <v>0.9490623652710598</v>
      </c>
      <c r="AF204" s="7">
        <v>5.2280765702108406E-2</v>
      </c>
      <c r="AG204" s="10">
        <v>123.04525018601916</v>
      </c>
      <c r="AH204" s="1">
        <v>0.46030451493233515</v>
      </c>
      <c r="AI204" s="10">
        <v>19.422788182703762</v>
      </c>
      <c r="AJ204" s="32">
        <v>1782.393148605162</v>
      </c>
      <c r="AK204">
        <v>320</v>
      </c>
      <c r="AL204" s="7">
        <v>0.24636601443979497</v>
      </c>
    </row>
    <row r="205" spans="1:38" x14ac:dyDescent="0.3">
      <c r="A205">
        <v>20633</v>
      </c>
      <c r="B205">
        <v>21</v>
      </c>
      <c r="C205">
        <v>1</v>
      </c>
      <c r="D205">
        <v>1982</v>
      </c>
      <c r="E205">
        <v>28</v>
      </c>
      <c r="F205">
        <v>5</v>
      </c>
      <c r="G205">
        <v>1984</v>
      </c>
      <c r="H205">
        <v>88</v>
      </c>
      <c r="I205" s="32">
        <f t="shared" si="41"/>
        <v>16.761663039293719</v>
      </c>
      <c r="J205" s="1">
        <v>2.3506849315068501</v>
      </c>
      <c r="K205" s="32">
        <f t="shared" si="42"/>
        <v>17.129501982175135</v>
      </c>
      <c r="L205" s="32">
        <f t="shared" si="43"/>
        <v>91.48446152151061</v>
      </c>
      <c r="M205" s="1">
        <f t="shared" si="44"/>
        <v>0.19779254548560138</v>
      </c>
      <c r="N205">
        <v>0.4559910848911386</v>
      </c>
      <c r="O205" s="32">
        <f t="shared" si="51"/>
        <v>17.332298882017913</v>
      </c>
      <c r="P205" s="32">
        <f t="shared" si="45"/>
        <v>93.43444501591776</v>
      </c>
      <c r="Q205">
        <v>8</v>
      </c>
      <c r="R205">
        <v>96</v>
      </c>
      <c r="S205" s="32">
        <f t="shared" si="46"/>
        <v>9.6084967093666851</v>
      </c>
      <c r="T205" s="1">
        <f t="shared" si="47"/>
        <v>9.8471205897877336</v>
      </c>
      <c r="U205" s="1">
        <f t="shared" si="48"/>
        <v>9.7510623462982959</v>
      </c>
      <c r="V205" s="1">
        <f t="shared" si="49"/>
        <v>2.1758111911196285</v>
      </c>
      <c r="W205" s="1">
        <f t="shared" si="52"/>
        <v>9.2271861422761007E-3</v>
      </c>
      <c r="X205" s="1">
        <f t="shared" si="53"/>
        <v>9.60582434894377E-2</v>
      </c>
      <c r="Y205" s="39">
        <f t="shared" si="50"/>
        <v>91.219631323359053</v>
      </c>
      <c r="AB205">
        <v>200</v>
      </c>
      <c r="AC205" s="7">
        <v>0.41665703010826949</v>
      </c>
      <c r="AD205">
        <v>0.75766805788362745</v>
      </c>
      <c r="AE205">
        <v>0.95073785515269182</v>
      </c>
      <c r="AF205" s="7">
        <v>5.05169062204446E-2</v>
      </c>
      <c r="AG205" s="10">
        <v>122.28579772633043</v>
      </c>
      <c r="AH205" s="1">
        <v>0.3649498676530008</v>
      </c>
      <c r="AI205" s="10">
        <v>13.116055950139422</v>
      </c>
      <c r="AJ205" s="32">
        <v>1771.0121386804308</v>
      </c>
      <c r="AK205">
        <v>320</v>
      </c>
      <c r="AL205" s="7">
        <v>0.20245413022259065</v>
      </c>
    </row>
    <row r="206" spans="1:38" x14ac:dyDescent="0.3">
      <c r="A206">
        <v>22804</v>
      </c>
      <c r="B206">
        <v>28</v>
      </c>
      <c r="C206">
        <v>7</v>
      </c>
      <c r="D206">
        <v>1982</v>
      </c>
      <c r="E206">
        <v>14</v>
      </c>
      <c r="F206">
        <v>6</v>
      </c>
      <c r="G206">
        <v>1986</v>
      </c>
      <c r="H206">
        <v>75</v>
      </c>
      <c r="I206" s="32">
        <f t="shared" si="41"/>
        <v>15.320508075688775</v>
      </c>
      <c r="J206" s="1">
        <v>3.8821917808219202</v>
      </c>
      <c r="K206" s="32">
        <f t="shared" si="42"/>
        <v>16.16542297658593</v>
      </c>
      <c r="L206" s="32">
        <f t="shared" si="43"/>
        <v>82.495647979569</v>
      </c>
      <c r="M206" s="1">
        <f t="shared" si="44"/>
        <v>0.30324288632760715</v>
      </c>
      <c r="N206">
        <v>-1.0052690413431264</v>
      </c>
      <c r="O206" s="32">
        <f t="shared" si="51"/>
        <v>15.611846510496246</v>
      </c>
      <c r="P206" s="32">
        <f t="shared" si="45"/>
        <v>77.544284377319698</v>
      </c>
      <c r="Q206">
        <v>6</v>
      </c>
      <c r="R206">
        <v>81</v>
      </c>
      <c r="S206" s="32">
        <f t="shared" si="46"/>
        <v>8.9929875760017879</v>
      </c>
      <c r="T206" s="1">
        <f t="shared" si="47"/>
        <v>9.1189680911248683</v>
      </c>
      <c r="U206" s="1">
        <f t="shared" si="48"/>
        <v>9.3446774809218347</v>
      </c>
      <c r="V206" s="1">
        <f t="shared" si="49"/>
        <v>3.3002776551653539</v>
      </c>
      <c r="W206" s="1">
        <f t="shared" si="52"/>
        <v>5.0944728642518929E-2</v>
      </c>
      <c r="X206" s="1">
        <f t="shared" si="53"/>
        <v>-0.22570938979696642</v>
      </c>
      <c r="Y206" s="39">
        <f t="shared" si="50"/>
        <v>82.25131959881557</v>
      </c>
      <c r="AB206">
        <v>201</v>
      </c>
      <c r="AC206" s="7">
        <v>0.55286619833668982</v>
      </c>
      <c r="AD206">
        <v>1.2478897998924499</v>
      </c>
      <c r="AE206">
        <v>0.94622065417702172</v>
      </c>
      <c r="AF206" s="7">
        <v>5.5279487470145786E-2</v>
      </c>
      <c r="AG206" s="10">
        <v>115.71558023495031</v>
      </c>
      <c r="AH206" s="1">
        <v>0.7436954354326496</v>
      </c>
      <c r="AI206" s="10">
        <v>47.176619377361511</v>
      </c>
      <c r="AJ206" s="32">
        <v>1793.9634782843939</v>
      </c>
      <c r="AK206">
        <v>320</v>
      </c>
      <c r="AL206" s="7">
        <v>0.38396215380458365</v>
      </c>
    </row>
    <row r="207" spans="1:38" x14ac:dyDescent="0.3">
      <c r="A207">
        <v>22768</v>
      </c>
      <c r="B207">
        <v>28</v>
      </c>
      <c r="C207">
        <v>7</v>
      </c>
      <c r="D207">
        <v>1982</v>
      </c>
      <c r="E207">
        <v>6</v>
      </c>
      <c r="F207">
        <v>5</v>
      </c>
      <c r="G207">
        <v>1987</v>
      </c>
      <c r="H207">
        <v>83</v>
      </c>
      <c r="I207" s="32">
        <f t="shared" si="41"/>
        <v>16.220867158288598</v>
      </c>
      <c r="J207" s="1">
        <v>4.77534246575342</v>
      </c>
      <c r="K207" s="32">
        <f t="shared" si="42"/>
        <v>17.041887105263449</v>
      </c>
      <c r="L207" s="32">
        <f t="shared" si="43"/>
        <v>90.648366132399602</v>
      </c>
      <c r="M207" s="1">
        <f t="shared" si="44"/>
        <v>0.35751121836295219</v>
      </c>
      <c r="N207">
        <v>0.73027194957830943</v>
      </c>
      <c r="O207" s="32">
        <f t="shared" si="51"/>
        <v>17.478533075406919</v>
      </c>
      <c r="P207" s="32">
        <f t="shared" si="45"/>
        <v>94.853312692430322</v>
      </c>
      <c r="Q207">
        <v>14</v>
      </c>
      <c r="R207">
        <v>97</v>
      </c>
      <c r="S207" s="32">
        <f t="shared" si="46"/>
        <v>9.3797459131381409</v>
      </c>
      <c r="T207" s="1">
        <f t="shared" si="47"/>
        <v>9.9078310216599998</v>
      </c>
      <c r="U207" s="1">
        <f t="shared" si="48"/>
        <v>9.7063116579188726</v>
      </c>
      <c r="V207" s="1">
        <f t="shared" si="49"/>
        <v>3.8678654118775726</v>
      </c>
      <c r="W207" s="1">
        <f t="shared" si="52"/>
        <v>4.0610053962628741E-2</v>
      </c>
      <c r="X207" s="1">
        <f t="shared" si="53"/>
        <v>0.20151936374112722</v>
      </c>
      <c r="Y207" s="39">
        <f t="shared" si="50"/>
        <v>90.200358087410507</v>
      </c>
      <c r="AB207">
        <v>202</v>
      </c>
      <c r="AC207" s="7">
        <v>0.5471706365936142</v>
      </c>
      <c r="AD207">
        <v>1.3403603394146499</v>
      </c>
      <c r="AE207">
        <v>0.94093551848269963</v>
      </c>
      <c r="AF207" s="7">
        <v>6.08806662051335E-2</v>
      </c>
      <c r="AG207" s="10">
        <v>115.04997788416378</v>
      </c>
      <c r="AH207" s="1">
        <v>0.79247030169964716</v>
      </c>
      <c r="AI207" s="10">
        <v>44.864425091343129</v>
      </c>
      <c r="AJ207" s="32">
        <v>1791.9886188423607</v>
      </c>
      <c r="AK207">
        <v>320</v>
      </c>
      <c r="AL207" s="7">
        <v>0.37443467842929196</v>
      </c>
    </row>
    <row r="208" spans="1:38" x14ac:dyDescent="0.3">
      <c r="A208">
        <v>22675</v>
      </c>
      <c r="B208">
        <v>26</v>
      </c>
      <c r="C208">
        <v>7</v>
      </c>
      <c r="D208">
        <v>1982</v>
      </c>
      <c r="E208">
        <v>28</v>
      </c>
      <c r="F208">
        <v>5</v>
      </c>
      <c r="G208">
        <v>1987</v>
      </c>
      <c r="H208">
        <v>60</v>
      </c>
      <c r="I208" s="32">
        <f t="shared" si="41"/>
        <v>13.491933384829668</v>
      </c>
      <c r="J208" s="1">
        <v>4.8410958904109602</v>
      </c>
      <c r="K208" s="32">
        <f t="shared" si="42"/>
        <v>14.922968864878813</v>
      </c>
      <c r="L208" s="32">
        <f t="shared" si="43"/>
        <v>71.596718800414408</v>
      </c>
      <c r="M208" s="1">
        <f t="shared" si="44"/>
        <v>0.36131335838491868</v>
      </c>
      <c r="N208">
        <v>1.2678810890065506</v>
      </c>
      <c r="O208" s="32">
        <f t="shared" si="51"/>
        <v>15.68508390685483</v>
      </c>
      <c r="P208" s="32">
        <f t="shared" si="45"/>
        <v>78.190548198123906</v>
      </c>
      <c r="Q208">
        <v>14</v>
      </c>
      <c r="R208">
        <v>74</v>
      </c>
      <c r="S208" s="32">
        <f t="shared" si="46"/>
        <v>8.1826710278683468</v>
      </c>
      <c r="T208" s="1">
        <f t="shared" si="47"/>
        <v>9.1505102628659323</v>
      </c>
      <c r="U208" s="1">
        <f t="shared" si="48"/>
        <v>8.8113627000778862</v>
      </c>
      <c r="V208" s="1">
        <f t="shared" si="49"/>
        <v>3.9073271690587124</v>
      </c>
      <c r="W208" s="1">
        <f t="shared" si="52"/>
        <v>0.11502106934507163</v>
      </c>
      <c r="X208" s="1">
        <f t="shared" si="53"/>
        <v>0.33914756278804603</v>
      </c>
      <c r="Y208" s="39">
        <f t="shared" si="50"/>
        <v>71.434659030668954</v>
      </c>
      <c r="AB208">
        <v>203</v>
      </c>
      <c r="AC208" s="7">
        <v>0.28389646434092802</v>
      </c>
      <c r="AD208">
        <v>0.52760338005649854</v>
      </c>
      <c r="AE208">
        <v>0.94814080729384209</v>
      </c>
      <c r="AF208" s="7">
        <v>5.3252256856060019E-2</v>
      </c>
      <c r="AG208" s="10">
        <v>119.50192991672479</v>
      </c>
      <c r="AH208" s="1">
        <v>0.20164392687852073</v>
      </c>
      <c r="AI208" s="10">
        <v>4.8133063874126245</v>
      </c>
      <c r="AJ208" s="32">
        <v>1821.3835373236607</v>
      </c>
      <c r="AK208">
        <v>320</v>
      </c>
      <c r="AL208" s="7">
        <v>0.12264412933632189</v>
      </c>
    </row>
    <row r="209" spans="1:38" x14ac:dyDescent="0.3">
      <c r="A209">
        <v>77000</v>
      </c>
      <c r="B209">
        <v>31</v>
      </c>
      <c r="C209">
        <v>7</v>
      </c>
      <c r="D209">
        <v>1982</v>
      </c>
      <c r="E209">
        <v>13</v>
      </c>
      <c r="F209">
        <v>8</v>
      </c>
      <c r="G209">
        <v>1983</v>
      </c>
      <c r="H209">
        <v>52</v>
      </c>
      <c r="I209" s="32">
        <f t="shared" si="41"/>
        <v>12.422205101855956</v>
      </c>
      <c r="J209" s="1">
        <v>1.0356164383561599</v>
      </c>
      <c r="K209" s="32">
        <f t="shared" si="42"/>
        <v>12.814234408814327</v>
      </c>
      <c r="L209" s="32">
        <f t="shared" si="43"/>
        <v>54.865385279824594</v>
      </c>
      <c r="M209" s="1">
        <f t="shared" si="44"/>
        <v>9.3038316532189858E-2</v>
      </c>
      <c r="N209">
        <v>0.68400368036236614</v>
      </c>
      <c r="O209" s="32">
        <f t="shared" si="51"/>
        <v>13.022870462851207</v>
      </c>
      <c r="P209" s="32">
        <f t="shared" si="45"/>
        <v>56.421659235901814</v>
      </c>
      <c r="Q209">
        <v>8</v>
      </c>
      <c r="R209">
        <v>60</v>
      </c>
      <c r="S209" s="32">
        <f t="shared" si="46"/>
        <v>7.6914449855283769</v>
      </c>
      <c r="T209" s="1">
        <f t="shared" si="47"/>
        <v>7.968944539588672</v>
      </c>
      <c r="U209" s="1">
        <f t="shared" si="48"/>
        <v>7.8706845203068267</v>
      </c>
      <c r="V209" s="1">
        <f t="shared" si="49"/>
        <v>1.0334792918365865</v>
      </c>
      <c r="W209" s="1">
        <f t="shared" si="52"/>
        <v>9.6550313892685997E-3</v>
      </c>
      <c r="X209" s="1">
        <f t="shared" si="53"/>
        <v>9.8260019281845246E-2</v>
      </c>
      <c r="Y209" s="39">
        <f t="shared" si="50"/>
        <v>54.827335955767857</v>
      </c>
      <c r="AB209">
        <v>204</v>
      </c>
      <c r="AC209" s="7">
        <v>0.48713285498426012</v>
      </c>
      <c r="AD209">
        <v>0.97887003692894703</v>
      </c>
      <c r="AE209">
        <v>0.9489292997384825</v>
      </c>
      <c r="AF209" s="7">
        <v>5.2420982896154565E-2</v>
      </c>
      <c r="AG209" s="10">
        <v>120.88296100329978</v>
      </c>
      <c r="AH209" s="1">
        <v>0.52791045600926356</v>
      </c>
      <c r="AI209" s="10">
        <v>27.384898969147041</v>
      </c>
      <c r="AJ209" s="32">
        <v>1807.6557534507701</v>
      </c>
      <c r="AK209">
        <v>320</v>
      </c>
      <c r="AL209" s="7">
        <v>0.29253685114628636</v>
      </c>
    </row>
    <row r="210" spans="1:38" x14ac:dyDescent="0.3">
      <c r="A210">
        <v>78843</v>
      </c>
      <c r="B210">
        <v>27</v>
      </c>
      <c r="C210">
        <v>7</v>
      </c>
      <c r="D210">
        <v>1982</v>
      </c>
      <c r="E210">
        <v>8</v>
      </c>
      <c r="F210">
        <v>5</v>
      </c>
      <c r="G210">
        <v>1986</v>
      </c>
      <c r="H210">
        <v>80</v>
      </c>
      <c r="I210" s="32">
        <f t="shared" si="41"/>
        <v>15.888543819998318</v>
      </c>
      <c r="J210" s="1">
        <v>3.7835616438356201</v>
      </c>
      <c r="K210" s="32">
        <f t="shared" si="42"/>
        <v>16.613808202995262</v>
      </c>
      <c r="L210" s="32">
        <f t="shared" si="43"/>
        <v>86.618463954473427</v>
      </c>
      <c r="M210" s="1">
        <f t="shared" si="44"/>
        <v>0.29693948988328306</v>
      </c>
      <c r="N210">
        <v>0.17465026758145541</v>
      </c>
      <c r="O210" s="32">
        <f t="shared" si="51"/>
        <v>16.708978896588825</v>
      </c>
      <c r="P210" s="32">
        <f t="shared" si="45"/>
        <v>87.506472838251497</v>
      </c>
      <c r="Q210">
        <v>22</v>
      </c>
      <c r="R210">
        <v>102</v>
      </c>
      <c r="S210" s="32">
        <f t="shared" si="46"/>
        <v>9.237873101814575</v>
      </c>
      <c r="T210" s="1">
        <f t="shared" si="47"/>
        <v>9.5863250617081057</v>
      </c>
      <c r="U210" s="1">
        <f t="shared" si="48"/>
        <v>9.5324579729837069</v>
      </c>
      <c r="V210" s="1">
        <f t="shared" si="49"/>
        <v>3.233840305213572</v>
      </c>
      <c r="W210" s="1">
        <f t="shared" si="52"/>
        <v>2.9016632476422553E-3</v>
      </c>
      <c r="X210" s="1">
        <f t="shared" si="53"/>
        <v>5.3867088724398826E-2</v>
      </c>
      <c r="Y210" s="39">
        <f t="shared" si="50"/>
        <v>86.315426248941947</v>
      </c>
      <c r="AB210">
        <v>205</v>
      </c>
      <c r="AC210" s="7">
        <v>0.50790343485604861</v>
      </c>
      <c r="AD210">
        <v>0.9226571473329146</v>
      </c>
      <c r="AE210">
        <v>0.95661920978718396</v>
      </c>
      <c r="AF210" s="7">
        <v>4.4349866621255576E-2</v>
      </c>
      <c r="AG210" s="10">
        <v>128.99884905061901</v>
      </c>
      <c r="AH210" s="1">
        <v>0.51200152453768666</v>
      </c>
      <c r="AI210" s="10">
        <v>30.846341166963139</v>
      </c>
      <c r="AJ210" s="32">
        <v>1791.9744746816164</v>
      </c>
      <c r="AK210">
        <v>320</v>
      </c>
      <c r="AL210" s="7">
        <v>0.31047514577943242</v>
      </c>
    </row>
    <row r="211" spans="1:38" x14ac:dyDescent="0.3">
      <c r="A211">
        <v>79560</v>
      </c>
      <c r="B211">
        <v>5</v>
      </c>
      <c r="C211">
        <v>9</v>
      </c>
      <c r="D211">
        <v>1982</v>
      </c>
      <c r="E211">
        <v>10</v>
      </c>
      <c r="F211">
        <v>5</v>
      </c>
      <c r="G211">
        <v>1986</v>
      </c>
      <c r="H211">
        <v>66</v>
      </c>
      <c r="I211" s="32">
        <f t="shared" si="41"/>
        <v>14.248076809271922</v>
      </c>
      <c r="J211" s="1">
        <v>3.67945205479452</v>
      </c>
      <c r="K211" s="32">
        <f t="shared" si="42"/>
        <v>15.237355651410677</v>
      </c>
      <c r="L211" s="32">
        <f t="shared" si="43"/>
        <v>74.281607463304908</v>
      </c>
      <c r="M211" s="1">
        <f t="shared" si="44"/>
        <v>0.29021634856677753</v>
      </c>
      <c r="N211">
        <v>-1.2222176337672863</v>
      </c>
      <c r="O211" s="32">
        <f t="shared" si="51"/>
        <v>14.578925845901258</v>
      </c>
      <c r="P211" s="32">
        <f t="shared" si="45"/>
        <v>68.715195550973206</v>
      </c>
      <c r="Q211">
        <v>6</v>
      </c>
      <c r="R211">
        <v>72</v>
      </c>
      <c r="S211" s="32">
        <f t="shared" si="46"/>
        <v>8.5220073941514993</v>
      </c>
      <c r="T211" s="1">
        <f t="shared" si="47"/>
        <v>8.66855561232261</v>
      </c>
      <c r="U211" s="1">
        <f t="shared" si="48"/>
        <v>8.9494328573745126</v>
      </c>
      <c r="V211" s="1">
        <f t="shared" si="49"/>
        <v>3.1628653387005263</v>
      </c>
      <c r="W211" s="1">
        <f t="shared" si="52"/>
        <v>7.8892026787946545E-2</v>
      </c>
      <c r="X211" s="1">
        <f t="shared" si="53"/>
        <v>-0.28087724505190259</v>
      </c>
      <c r="Y211" s="39">
        <f t="shared" si="50"/>
        <v>74.134017057964442</v>
      </c>
      <c r="AB211">
        <v>206</v>
      </c>
      <c r="AC211" s="7">
        <v>0.45157554316460097</v>
      </c>
      <c r="AD211">
        <v>0.88014304855060144</v>
      </c>
      <c r="AE211">
        <v>0.94846279754827967</v>
      </c>
      <c r="AF211" s="7">
        <v>5.2912712781896028E-2</v>
      </c>
      <c r="AG211" s="10">
        <v>120.74067010836627</v>
      </c>
      <c r="AH211" s="1">
        <v>0.44898827766350596</v>
      </c>
      <c r="AI211" s="10">
        <v>20.065073267949668</v>
      </c>
      <c r="AJ211" s="32">
        <v>1808.0074304143736</v>
      </c>
      <c r="AK211">
        <v>320</v>
      </c>
      <c r="AL211" s="7">
        <v>0.25040637763911427</v>
      </c>
    </row>
    <row r="212" spans="1:38" x14ac:dyDescent="0.3">
      <c r="A212">
        <v>78964</v>
      </c>
      <c r="B212">
        <v>30</v>
      </c>
      <c r="C212">
        <v>7</v>
      </c>
      <c r="D212">
        <v>1982</v>
      </c>
      <c r="E212">
        <v>9</v>
      </c>
      <c r="F212">
        <v>5</v>
      </c>
      <c r="G212">
        <v>1984</v>
      </c>
      <c r="H212">
        <v>81</v>
      </c>
      <c r="I212" s="32">
        <f t="shared" si="41"/>
        <v>16</v>
      </c>
      <c r="J212" s="1">
        <v>1.7780821917808201</v>
      </c>
      <c r="K212" s="32">
        <f t="shared" si="42"/>
        <v>16.348672983036295</v>
      </c>
      <c r="L212" s="32">
        <f t="shared" si="43"/>
        <v>84.168450059601511</v>
      </c>
      <c r="M212" s="1">
        <f t="shared" si="44"/>
        <v>0.15391217395332385</v>
      </c>
      <c r="N212">
        <v>0.2545948518672958</v>
      </c>
      <c r="O212" s="32">
        <f t="shared" si="51"/>
        <v>16.448554724050318</v>
      </c>
      <c r="P212" s="32">
        <f t="shared" si="45"/>
        <v>85.087292851569828</v>
      </c>
      <c r="Q212">
        <v>1</v>
      </c>
      <c r="R212">
        <v>82</v>
      </c>
      <c r="S212" s="32">
        <f t="shared" si="46"/>
        <v>9.2855678299812343</v>
      </c>
      <c r="T212" s="1">
        <f t="shared" si="47"/>
        <v>9.4763710754653516</v>
      </c>
      <c r="U212" s="1">
        <f t="shared" si="48"/>
        <v>9.4274697978113142</v>
      </c>
      <c r="V212" s="1">
        <f t="shared" si="49"/>
        <v>1.7001950169458828</v>
      </c>
      <c r="W212" s="1">
        <f t="shared" si="52"/>
        <v>2.3913349561972578E-3</v>
      </c>
      <c r="X212" s="1">
        <f t="shared" si="53"/>
        <v>4.8901277654037401E-2</v>
      </c>
      <c r="Y212" s="39">
        <f t="shared" si="50"/>
        <v>84.026436619192594</v>
      </c>
      <c r="AB212">
        <v>207</v>
      </c>
      <c r="AC212" s="7">
        <v>0.63925762720347756</v>
      </c>
      <c r="AD212">
        <v>1.4248782557216242</v>
      </c>
      <c r="AE212">
        <v>0.95725178291833213</v>
      </c>
      <c r="AF212" s="7">
        <v>4.3688826084464942E-2</v>
      </c>
      <c r="AG212" s="10">
        <v>128.64890456715321</v>
      </c>
      <c r="AH212" s="1">
        <v>0.95361250988810331</v>
      </c>
      <c r="AI212" s="10">
        <v>109.12913508151546</v>
      </c>
      <c r="AJ212" s="32">
        <v>1826.9481763321451</v>
      </c>
      <c r="AK212">
        <v>320</v>
      </c>
      <c r="AL212" s="7">
        <v>0.5839764953572496</v>
      </c>
    </row>
    <row r="213" spans="1:38" x14ac:dyDescent="0.3">
      <c r="A213">
        <v>76833</v>
      </c>
      <c r="B213">
        <v>30</v>
      </c>
      <c r="C213">
        <v>7</v>
      </c>
      <c r="D213">
        <v>1982</v>
      </c>
      <c r="E213">
        <v>22</v>
      </c>
      <c r="F213">
        <v>8</v>
      </c>
      <c r="G213">
        <v>1988</v>
      </c>
      <c r="H213">
        <v>68</v>
      </c>
      <c r="I213" s="32">
        <f t="shared" si="41"/>
        <v>14.492422502470642</v>
      </c>
      <c r="J213" s="1">
        <v>6.0684931506849296</v>
      </c>
      <c r="K213" s="32">
        <f t="shared" si="42"/>
        <v>15.965623103248792</v>
      </c>
      <c r="L213" s="32">
        <f t="shared" si="43"/>
        <v>80.690903371996683</v>
      </c>
      <c r="M213" s="1">
        <f t="shared" si="44"/>
        <v>0.42777547661031157</v>
      </c>
      <c r="N213">
        <v>-1.8452283256920055</v>
      </c>
      <c r="O213" s="32">
        <f t="shared" si="51"/>
        <v>14.758759876020653</v>
      </c>
      <c r="P213" s="32">
        <f t="shared" si="45"/>
        <v>70.214008145529959</v>
      </c>
      <c r="Q213">
        <v>15</v>
      </c>
      <c r="R213">
        <v>83</v>
      </c>
      <c r="S213" s="32">
        <f t="shared" si="46"/>
        <v>8.6303494035856811</v>
      </c>
      <c r="T213" s="1">
        <f t="shared" si="47"/>
        <v>8.7477375560712733</v>
      </c>
      <c r="U213" s="1">
        <f t="shared" si="48"/>
        <v>9.256718946967613</v>
      </c>
      <c r="V213" s="1">
        <f t="shared" si="49"/>
        <v>4.5902679017413348</v>
      </c>
      <c r="W213" s="1">
        <f t="shared" si="52"/>
        <v>0.25906205627877249</v>
      </c>
      <c r="X213" s="1">
        <f t="shared" si="53"/>
        <v>-0.50898139089633965</v>
      </c>
      <c r="Y213" s="39">
        <f t="shared" si="50"/>
        <v>80.394105537342853</v>
      </c>
      <c r="AB213">
        <v>208</v>
      </c>
      <c r="AC213" s="7">
        <v>0.44834260094872436</v>
      </c>
      <c r="AD213">
        <v>0.72354571384091571</v>
      </c>
      <c r="AE213">
        <v>0.95917401163078375</v>
      </c>
      <c r="AF213" s="7">
        <v>4.1682769431973091E-2</v>
      </c>
      <c r="AG213" s="10">
        <v>132.5958878598544</v>
      </c>
      <c r="AH213" s="1">
        <v>0.3652223556179538</v>
      </c>
      <c r="AI213" s="10">
        <v>19.4030315787601</v>
      </c>
      <c r="AJ213" s="32">
        <v>1812.5462792505837</v>
      </c>
      <c r="AK213">
        <v>320</v>
      </c>
      <c r="AL213" s="7">
        <v>0.24624068243006741</v>
      </c>
    </row>
    <row r="214" spans="1:38" x14ac:dyDescent="0.3">
      <c r="A214">
        <v>79092</v>
      </c>
      <c r="B214">
        <v>7</v>
      </c>
      <c r="C214">
        <v>8</v>
      </c>
      <c r="D214">
        <v>1982</v>
      </c>
      <c r="E214">
        <v>28</v>
      </c>
      <c r="F214">
        <v>5</v>
      </c>
      <c r="G214">
        <v>1984</v>
      </c>
      <c r="H214">
        <v>87</v>
      </c>
      <c r="I214" s="32">
        <f t="shared" si="41"/>
        <v>16.654758106177631</v>
      </c>
      <c r="J214" s="1">
        <v>1.8082191780821899</v>
      </c>
      <c r="K214" s="32">
        <f t="shared" si="42"/>
        <v>16.951073725803948</v>
      </c>
      <c r="L214" s="32">
        <f t="shared" si="43"/>
        <v>89.785798840214184</v>
      </c>
      <c r="M214" s="1">
        <f t="shared" si="44"/>
        <v>0.1562864904575606</v>
      </c>
      <c r="N214">
        <v>0.84997964222566225</v>
      </c>
      <c r="O214" s="32">
        <f t="shared" si="51"/>
        <v>17.287096910455961</v>
      </c>
      <c r="P214" s="32">
        <f t="shared" si="45"/>
        <v>92.998026808329968</v>
      </c>
      <c r="Q214">
        <v>2</v>
      </c>
      <c r="R214">
        <v>89</v>
      </c>
      <c r="S214" s="32">
        <f t="shared" si="46"/>
        <v>9.5634814945558748</v>
      </c>
      <c r="T214" s="1">
        <f t="shared" si="47"/>
        <v>9.8283186769916036</v>
      </c>
      <c r="U214" s="1">
        <f t="shared" si="48"/>
        <v>9.6794544375812848</v>
      </c>
      <c r="V214" s="1">
        <f t="shared" si="49"/>
        <v>1.7260392968870599</v>
      </c>
      <c r="W214" s="1">
        <f t="shared" si="52"/>
        <v>2.2160561775212709E-2</v>
      </c>
      <c r="X214" s="1">
        <f t="shared" si="53"/>
        <v>0.14886423941031879</v>
      </c>
      <c r="Y214" s="39">
        <f t="shared" si="50"/>
        <v>89.592446521169407</v>
      </c>
      <c r="AB214">
        <v>209</v>
      </c>
      <c r="AC214" s="7">
        <v>0.29021279399160815</v>
      </c>
      <c r="AD214">
        <v>0.53642759049967514</v>
      </c>
      <c r="AE214">
        <v>0.94845258514456321</v>
      </c>
      <c r="AF214" s="7">
        <v>5.2923480161200062E-2</v>
      </c>
      <c r="AG214" s="10">
        <v>120.7942298304349</v>
      </c>
      <c r="AH214" s="1">
        <v>0.20722556466853376</v>
      </c>
      <c r="AI214" s="10">
        <v>5.1852149718371985</v>
      </c>
      <c r="AJ214" s="32">
        <v>1828.3717685327788</v>
      </c>
      <c r="AK214">
        <v>320</v>
      </c>
      <c r="AL214" s="7">
        <v>0.12729413492769903</v>
      </c>
    </row>
    <row r="215" spans="1:38" x14ac:dyDescent="0.3">
      <c r="A215">
        <v>79048</v>
      </c>
      <c r="B215">
        <v>2</v>
      </c>
      <c r="C215">
        <v>8</v>
      </c>
      <c r="D215">
        <v>1982</v>
      </c>
      <c r="E215">
        <v>9</v>
      </c>
      <c r="F215">
        <v>5</v>
      </c>
      <c r="G215">
        <v>1983</v>
      </c>
      <c r="H215">
        <v>81</v>
      </c>
      <c r="I215" s="32">
        <f t="shared" si="41"/>
        <v>16</v>
      </c>
      <c r="J215" s="1">
        <v>0.76712328767123295</v>
      </c>
      <c r="K215" s="32">
        <f t="shared" si="42"/>
        <v>16.154336766678465</v>
      </c>
      <c r="L215" s="32">
        <f t="shared" si="43"/>
        <v>82.394985859493374</v>
      </c>
      <c r="M215" s="1">
        <f t="shared" si="44"/>
        <v>6.9858132454555105E-2</v>
      </c>
      <c r="N215">
        <v>-2.9647253541043028E-2</v>
      </c>
      <c r="O215" s="32">
        <f t="shared" si="51"/>
        <v>16.146500793278189</v>
      </c>
      <c r="P215" s="32">
        <f t="shared" si="45"/>
        <v>82.323872760111485</v>
      </c>
      <c r="Q215">
        <v>1</v>
      </c>
      <c r="R215">
        <v>82</v>
      </c>
      <c r="S215" s="32">
        <f t="shared" si="46"/>
        <v>9.2855678299812343</v>
      </c>
      <c r="T215" s="1">
        <f t="shared" si="47"/>
        <v>9.3480855563060867</v>
      </c>
      <c r="U215" s="1">
        <f t="shared" si="48"/>
        <v>9.3486246739427123</v>
      </c>
      <c r="V215" s="1">
        <f t="shared" si="49"/>
        <v>0.77758349786273828</v>
      </c>
      <c r="W215" s="1">
        <f t="shared" si="52"/>
        <v>2.9064782612079291E-7</v>
      </c>
      <c r="X215" s="1">
        <f t="shared" si="53"/>
        <v>-5.3911763662561896E-4</v>
      </c>
      <c r="Y215" s="39">
        <f t="shared" si="50"/>
        <v>82.335353884877946</v>
      </c>
      <c r="AB215">
        <v>210</v>
      </c>
      <c r="AC215" s="7">
        <v>0.47862056414722554</v>
      </c>
      <c r="AD215">
        <v>1.1428222099093872</v>
      </c>
      <c r="AE215">
        <v>0.93517656276124184</v>
      </c>
      <c r="AF215" s="7">
        <v>6.7019930343146863E-2</v>
      </c>
      <c r="AG215" s="10">
        <v>108.85555783239838</v>
      </c>
      <c r="AH215" s="1">
        <v>0.61180164806556803</v>
      </c>
      <c r="AI215" s="10">
        <v>22.910082366943893</v>
      </c>
      <c r="AJ215" s="32">
        <v>1764.6735940175226</v>
      </c>
      <c r="AK215">
        <v>320</v>
      </c>
      <c r="AL215" s="7">
        <v>0.26757056526587458</v>
      </c>
    </row>
    <row r="216" spans="1:38" x14ac:dyDescent="0.3">
      <c r="A216">
        <v>22593</v>
      </c>
      <c r="B216">
        <v>25</v>
      </c>
      <c r="C216">
        <v>7</v>
      </c>
      <c r="D216">
        <v>1982</v>
      </c>
      <c r="E216">
        <v>10</v>
      </c>
      <c r="F216">
        <v>5</v>
      </c>
      <c r="G216">
        <v>1988</v>
      </c>
      <c r="H216">
        <v>66</v>
      </c>
      <c r="I216" s="32">
        <f t="shared" si="41"/>
        <v>14.248076809271922</v>
      </c>
      <c r="J216" s="1">
        <v>5.7972602739725998</v>
      </c>
      <c r="K216" s="32">
        <f t="shared" si="42"/>
        <v>15.727608721102362</v>
      </c>
      <c r="L216" s="32">
        <f t="shared" si="43"/>
        <v>78.567027742126143</v>
      </c>
      <c r="M216" s="1">
        <f t="shared" si="44"/>
        <v>0.41380025781791829</v>
      </c>
      <c r="N216">
        <v>-0.34203821996925399</v>
      </c>
      <c r="O216" s="32">
        <f t="shared" si="51"/>
        <v>15.507584741236208</v>
      </c>
      <c r="P216" s="32">
        <f t="shared" si="45"/>
        <v>76.628880867891723</v>
      </c>
      <c r="Q216">
        <v>13</v>
      </c>
      <c r="R216">
        <v>79</v>
      </c>
      <c r="S216" s="32">
        <f t="shared" si="46"/>
        <v>8.5220073941514993</v>
      </c>
      <c r="T216" s="1">
        <f t="shared" si="47"/>
        <v>9.0739765395755363</v>
      </c>
      <c r="U216" s="1">
        <f t="shared" si="48"/>
        <v>9.1563896210555935</v>
      </c>
      <c r="V216" s="1">
        <f t="shared" si="49"/>
        <v>4.4477733514244155</v>
      </c>
      <c r="W216" s="1">
        <f t="shared" si="52"/>
        <v>6.7919159990385497E-3</v>
      </c>
      <c r="X216" s="1">
        <f t="shared" si="53"/>
        <v>-8.2413081480057215E-2</v>
      </c>
      <c r="Y216" s="39">
        <f t="shared" si="50"/>
        <v>78.311421223678991</v>
      </c>
      <c r="AB216">
        <v>211</v>
      </c>
      <c r="AC216" s="7">
        <v>0.55808353959350543</v>
      </c>
      <c r="AD216">
        <v>1.0576082702732867</v>
      </c>
      <c r="AE216">
        <v>0.9577276357866259</v>
      </c>
      <c r="AF216" s="7">
        <v>4.319184645801051E-2</v>
      </c>
      <c r="AG216" s="10">
        <v>127.47771078416712</v>
      </c>
      <c r="AH216" s="1">
        <v>0.63250613119085475</v>
      </c>
      <c r="AI216" s="10">
        <v>46.864426252099861</v>
      </c>
      <c r="AJ216" s="32">
        <v>1784.4058855334283</v>
      </c>
      <c r="AK216">
        <v>320</v>
      </c>
      <c r="AL216" s="7">
        <v>0.38268960273021801</v>
      </c>
    </row>
    <row r="217" spans="1:38" x14ac:dyDescent="0.3">
      <c r="A217">
        <v>76808</v>
      </c>
      <c r="B217">
        <v>30</v>
      </c>
      <c r="C217">
        <v>7</v>
      </c>
      <c r="D217">
        <v>1982</v>
      </c>
      <c r="E217">
        <v>8</v>
      </c>
      <c r="F217">
        <v>7</v>
      </c>
      <c r="G217">
        <v>1984</v>
      </c>
      <c r="H217">
        <v>56</v>
      </c>
      <c r="I217" s="32">
        <f t="shared" si="41"/>
        <v>12.966629547095765</v>
      </c>
      <c r="J217" s="1">
        <v>1.9424657534246601</v>
      </c>
      <c r="K217" s="32">
        <f t="shared" si="42"/>
        <v>13.633622912343206</v>
      </c>
      <c r="L217" s="32">
        <f t="shared" si="43"/>
        <v>61.102541341335616</v>
      </c>
      <c r="M217" s="1">
        <f t="shared" si="44"/>
        <v>0.16677426619767402</v>
      </c>
      <c r="N217">
        <v>0.41586190491216257</v>
      </c>
      <c r="O217" s="32">
        <f t="shared" si="51"/>
        <v>13.803452618352956</v>
      </c>
      <c r="P217" s="32">
        <f t="shared" si="45"/>
        <v>62.437278665131728</v>
      </c>
      <c r="Q217">
        <v>5</v>
      </c>
      <c r="R217">
        <v>61</v>
      </c>
      <c r="S217" s="32">
        <f t="shared" si="46"/>
        <v>7.9431464222722967</v>
      </c>
      <c r="T217" s="1">
        <f t="shared" si="47"/>
        <v>8.3232314551021442</v>
      </c>
      <c r="U217" s="1">
        <f t="shared" si="48"/>
        <v>8.2432283143611862</v>
      </c>
      <c r="V217" s="1">
        <f t="shared" si="49"/>
        <v>1.8400502604957079</v>
      </c>
      <c r="W217" s="1">
        <f t="shared" si="52"/>
        <v>6.4005025284175412E-3</v>
      </c>
      <c r="X217" s="1">
        <f t="shared" si="53"/>
        <v>8.0003140740958045E-2</v>
      </c>
      <c r="Y217" s="39">
        <f t="shared" si="50"/>
        <v>61.041798722777422</v>
      </c>
      <c r="AB217">
        <v>212</v>
      </c>
      <c r="AC217" s="7">
        <v>0.52640219108380693</v>
      </c>
      <c r="AD217">
        <v>1.0869807131210869</v>
      </c>
      <c r="AE217">
        <v>0.94977467681304706</v>
      </c>
      <c r="AF217" s="7">
        <v>5.1530504821776853E-2</v>
      </c>
      <c r="AG217" s="10">
        <v>119.30458124995967</v>
      </c>
      <c r="AH217" s="1">
        <v>0.62241435223973207</v>
      </c>
      <c r="AI217" s="10">
        <v>36.655049198492449</v>
      </c>
      <c r="AJ217" s="32">
        <v>1790.1009520013831</v>
      </c>
      <c r="AK217">
        <v>320</v>
      </c>
      <c r="AL217" s="7">
        <v>0.33844797051435971</v>
      </c>
    </row>
    <row r="218" spans="1:38" x14ac:dyDescent="0.3">
      <c r="A218">
        <v>76869</v>
      </c>
      <c r="B218">
        <v>30</v>
      </c>
      <c r="C218">
        <v>7</v>
      </c>
      <c r="D218">
        <v>1982</v>
      </c>
      <c r="E218">
        <v>21</v>
      </c>
      <c r="F218">
        <v>8</v>
      </c>
      <c r="G218">
        <v>1988</v>
      </c>
      <c r="H218">
        <v>59</v>
      </c>
      <c r="I218" s="32">
        <f t="shared" si="41"/>
        <v>13.362291495737216</v>
      </c>
      <c r="J218" s="1">
        <v>6.0657534246575304</v>
      </c>
      <c r="K218" s="32">
        <f t="shared" si="42"/>
        <v>15.137103135202914</v>
      </c>
      <c r="L218" s="32">
        <f t="shared" si="43"/>
        <v>73.420075966645385</v>
      </c>
      <c r="M218" s="1">
        <f t="shared" si="44"/>
        <v>0.4276362480432821</v>
      </c>
      <c r="N218">
        <v>-0.57856368584907614</v>
      </c>
      <c r="O218" s="32">
        <f t="shared" si="51"/>
        <v>14.758757762744104</v>
      </c>
      <c r="P218" s="32">
        <f t="shared" si="45"/>
        <v>70.213990437583931</v>
      </c>
      <c r="Q218">
        <v>32</v>
      </c>
      <c r="R218">
        <v>91</v>
      </c>
      <c r="S218" s="32">
        <f t="shared" si="46"/>
        <v>8.123853654943634</v>
      </c>
      <c r="T218" s="1">
        <f t="shared" si="47"/>
        <v>8.7477366275205419</v>
      </c>
      <c r="U218" s="1">
        <f t="shared" si="48"/>
        <v>8.9027694240142434</v>
      </c>
      <c r="V218" s="1">
        <f t="shared" si="49"/>
        <v>4.5888513166470437</v>
      </c>
      <c r="W218" s="1">
        <f t="shared" si="52"/>
        <v>2.4035167988657465E-2</v>
      </c>
      <c r="X218" s="1">
        <f t="shared" si="53"/>
        <v>-0.1550327964937015</v>
      </c>
      <c r="Y218" s="39">
        <f t="shared" si="50"/>
        <v>73.213944780805178</v>
      </c>
      <c r="AB218">
        <v>213</v>
      </c>
      <c r="AC218" s="7">
        <v>0.19438618438108238</v>
      </c>
      <c r="AD218">
        <v>0.44941349602275088</v>
      </c>
      <c r="AE218">
        <v>0.94236280012319218</v>
      </c>
      <c r="AF218" s="7">
        <v>5.9364940417404782E-2</v>
      </c>
      <c r="AG218" s="10">
        <v>115.11567874958503</v>
      </c>
      <c r="AH218" s="1">
        <v>0.14499697457803312</v>
      </c>
      <c r="AI218" s="10">
        <v>2.1738081268711538</v>
      </c>
      <c r="AJ218" s="32">
        <v>1815.098678176591</v>
      </c>
      <c r="AK218">
        <v>320</v>
      </c>
      <c r="AL218" s="7">
        <v>8.2420570226566348E-2</v>
      </c>
    </row>
    <row r="219" spans="1:38" x14ac:dyDescent="0.3">
      <c r="A219">
        <v>77108</v>
      </c>
      <c r="B219">
        <v>1</v>
      </c>
      <c r="C219">
        <v>8</v>
      </c>
      <c r="D219">
        <v>1982</v>
      </c>
      <c r="E219">
        <v>16</v>
      </c>
      <c r="F219">
        <v>6</v>
      </c>
      <c r="G219">
        <v>1985</v>
      </c>
      <c r="H219">
        <v>70</v>
      </c>
      <c r="I219" s="32">
        <f t="shared" si="41"/>
        <v>14.733200530681511</v>
      </c>
      <c r="J219" s="1">
        <v>2.8767123287671201</v>
      </c>
      <c r="K219" s="32">
        <f t="shared" si="42"/>
        <v>15.455731291822886</v>
      </c>
      <c r="L219" s="32">
        <f t="shared" si="43"/>
        <v>76.175638733081172</v>
      </c>
      <c r="M219" s="1">
        <f t="shared" si="44"/>
        <v>0.23589403693174985</v>
      </c>
      <c r="N219">
        <v>6.8250756157794967E-2</v>
      </c>
      <c r="O219" s="32">
        <f t="shared" si="51"/>
        <v>15.488879949645948</v>
      </c>
      <c r="P219" s="32">
        <f t="shared" si="45"/>
        <v>76.46523047328202</v>
      </c>
      <c r="Q219">
        <v>16</v>
      </c>
      <c r="R219">
        <v>86</v>
      </c>
      <c r="S219" s="32">
        <f t="shared" si="46"/>
        <v>8.736503742677316</v>
      </c>
      <c r="T219" s="1">
        <f t="shared" si="47"/>
        <v>9.0658940022120458</v>
      </c>
      <c r="U219" s="1">
        <f t="shared" si="48"/>
        <v>9.0448677015748729</v>
      </c>
      <c r="V219" s="1">
        <f t="shared" si="49"/>
        <v>2.5852205736056488</v>
      </c>
      <c r="W219" s="1">
        <f t="shared" si="52"/>
        <v>4.4210531848477846E-4</v>
      </c>
      <c r="X219" s="1">
        <f t="shared" si="53"/>
        <v>2.1026300637172923E-2</v>
      </c>
      <c r="Y219" s="39">
        <f t="shared" si="50"/>
        <v>76.040638010904829</v>
      </c>
      <c r="AB219">
        <v>214</v>
      </c>
      <c r="AC219" s="7">
        <v>0.49607672238315764</v>
      </c>
      <c r="AD219">
        <v>1.1167119156405272</v>
      </c>
      <c r="AE219">
        <v>0.94044346397870748</v>
      </c>
      <c r="AF219" s="7">
        <v>6.1403744776541473E-2</v>
      </c>
      <c r="AG219" s="10">
        <v>110.11234173482494</v>
      </c>
      <c r="AH219" s="1">
        <v>0.61353132297846247</v>
      </c>
      <c r="AI219" s="10">
        <v>25.086041259441746</v>
      </c>
      <c r="AJ219" s="32">
        <v>1746.8737769946333</v>
      </c>
      <c r="AK219">
        <v>320</v>
      </c>
      <c r="AL219" s="7">
        <v>0.27998906931477779</v>
      </c>
    </row>
    <row r="220" spans="1:38" x14ac:dyDescent="0.3">
      <c r="A220">
        <v>79506</v>
      </c>
      <c r="B220">
        <v>5</v>
      </c>
      <c r="C220">
        <v>9</v>
      </c>
      <c r="D220">
        <v>1982</v>
      </c>
      <c r="E220">
        <v>25</v>
      </c>
      <c r="F220">
        <v>5</v>
      </c>
      <c r="G220">
        <v>1984</v>
      </c>
      <c r="H220">
        <v>99</v>
      </c>
      <c r="I220" s="32">
        <f t="shared" si="41"/>
        <v>17.899748742132399</v>
      </c>
      <c r="J220" s="1">
        <v>1.7205479452054799</v>
      </c>
      <c r="K220" s="32">
        <f t="shared" si="42"/>
        <v>18.077157784699235</v>
      </c>
      <c r="L220" s="32">
        <f t="shared" si="43"/>
        <v>100.77306617792728</v>
      </c>
      <c r="M220" s="1">
        <f t="shared" si="44"/>
        <v>0.14935895350737208</v>
      </c>
      <c r="N220">
        <v>-1.264811544388067</v>
      </c>
      <c r="O220" s="32">
        <f t="shared" si="51"/>
        <v>17.58834624287309</v>
      </c>
      <c r="P220" s="32">
        <f t="shared" si="45"/>
        <v>95.925827132670079</v>
      </c>
      <c r="Q220">
        <v>5</v>
      </c>
      <c r="R220">
        <v>104</v>
      </c>
      <c r="S220" s="32">
        <f t="shared" si="46"/>
        <v>10.081724832589135</v>
      </c>
      <c r="T220" s="1">
        <f t="shared" si="47"/>
        <v>9.9533050878149556</v>
      </c>
      <c r="U220" s="1">
        <f t="shared" si="48"/>
        <v>10.142178288493705</v>
      </c>
      <c r="V220" s="1">
        <f t="shared" si="49"/>
        <v>1.6505991730303726</v>
      </c>
      <c r="W220" s="1">
        <f t="shared" si="52"/>
        <v>3.5673085934635085E-2</v>
      </c>
      <c r="X220" s="1">
        <f t="shared" si="53"/>
        <v>-0.18887320067874924</v>
      </c>
      <c r="Y220" s="39">
        <f t="shared" si="50"/>
        <v>100.47053347535964</v>
      </c>
      <c r="AB220">
        <v>215</v>
      </c>
      <c r="AC220" s="7">
        <v>0.554806932124987</v>
      </c>
      <c r="AD220">
        <v>1.3413718092000693</v>
      </c>
      <c r="AE220">
        <v>0.9421299820223723</v>
      </c>
      <c r="AF220" s="7">
        <v>5.9612028763096736E-2</v>
      </c>
      <c r="AG220" s="10">
        <v>114.2723178008754</v>
      </c>
      <c r="AH220" s="1">
        <v>0.80207239627886151</v>
      </c>
      <c r="AI220" s="10">
        <v>48.108165901214058</v>
      </c>
      <c r="AJ220" s="32">
        <v>1792.971287701502</v>
      </c>
      <c r="AK220">
        <v>320</v>
      </c>
      <c r="AL220" s="7">
        <v>0.38773446898785507</v>
      </c>
    </row>
    <row r="221" spans="1:38" x14ac:dyDescent="0.3">
      <c r="A221">
        <v>77078</v>
      </c>
      <c r="B221">
        <v>1</v>
      </c>
      <c r="C221">
        <v>8</v>
      </c>
      <c r="D221">
        <v>1982</v>
      </c>
      <c r="E221">
        <v>13</v>
      </c>
      <c r="F221">
        <v>6</v>
      </c>
      <c r="G221">
        <v>1986</v>
      </c>
      <c r="H221">
        <v>75</v>
      </c>
      <c r="I221" s="32">
        <f t="shared" si="41"/>
        <v>15.320508075688775</v>
      </c>
      <c r="J221" s="1">
        <v>3.8684931506849298</v>
      </c>
      <c r="K221" s="32">
        <f t="shared" si="42"/>
        <v>16.162727672400528</v>
      </c>
      <c r="L221" s="32">
        <f t="shared" si="43"/>
        <v>82.471169125445982</v>
      </c>
      <c r="M221" s="1">
        <f t="shared" si="44"/>
        <v>0.30237122387001847</v>
      </c>
      <c r="N221">
        <v>-1.7555521480971947</v>
      </c>
      <c r="O221" s="32">
        <f t="shared" si="51"/>
        <v>15.197379533926098</v>
      </c>
      <c r="P221" s="32">
        <f t="shared" si="45"/>
        <v>73.937465708475031</v>
      </c>
      <c r="Q221">
        <v>21</v>
      </c>
      <c r="R221">
        <v>96</v>
      </c>
      <c r="S221" s="32">
        <f t="shared" si="46"/>
        <v>8.9929875760017879</v>
      </c>
      <c r="T221" s="1">
        <f t="shared" si="47"/>
        <v>8.9394982093421316</v>
      </c>
      <c r="U221" s="1">
        <f t="shared" si="48"/>
        <v>9.3435731878699784</v>
      </c>
      <c r="V221" s="1">
        <f t="shared" si="49"/>
        <v>3.2910965664907352</v>
      </c>
      <c r="W221" s="1">
        <f t="shared" si="52"/>
        <v>0.16327658827227984</v>
      </c>
      <c r="X221" s="1">
        <f t="shared" si="53"/>
        <v>-0.4040749785278468</v>
      </c>
      <c r="Y221" s="39">
        <f t="shared" si="50"/>
        <v>82.227820257629858</v>
      </c>
      <c r="AB221">
        <v>216</v>
      </c>
      <c r="AC221" s="7">
        <v>0.58785408921019278</v>
      </c>
      <c r="AD221">
        <v>1.2281443948767885</v>
      </c>
      <c r="AE221">
        <v>0.95463849770845377</v>
      </c>
      <c r="AF221" s="7">
        <v>4.6422546595345317E-2</v>
      </c>
      <c r="AG221" s="10">
        <v>122.87295502815483</v>
      </c>
      <c r="AH221" s="1">
        <v>0.7673312069604441</v>
      </c>
      <c r="AI221" s="10">
        <v>64.249263495628128</v>
      </c>
      <c r="AJ221" s="32">
        <v>1799.5296464620992</v>
      </c>
      <c r="AK221">
        <v>320</v>
      </c>
      <c r="AL221" s="7">
        <v>0.44808363998681977</v>
      </c>
    </row>
    <row r="222" spans="1:38" x14ac:dyDescent="0.3">
      <c r="A222">
        <v>79045</v>
      </c>
      <c r="B222">
        <v>2</v>
      </c>
      <c r="C222">
        <v>8</v>
      </c>
      <c r="D222">
        <v>1982</v>
      </c>
      <c r="E222">
        <v>11</v>
      </c>
      <c r="F222">
        <v>6</v>
      </c>
      <c r="G222">
        <v>1985</v>
      </c>
      <c r="H222">
        <v>77</v>
      </c>
      <c r="I222" s="32">
        <f t="shared" si="41"/>
        <v>15.549928774784245</v>
      </c>
      <c r="J222" s="1">
        <v>2.86027397260274</v>
      </c>
      <c r="K222" s="32">
        <f t="shared" si="42"/>
        <v>16.157177099697758</v>
      </c>
      <c r="L222" s="32">
        <f t="shared" si="43"/>
        <v>82.420770057447172</v>
      </c>
      <c r="M222" s="1">
        <f t="shared" si="44"/>
        <v>0.23473422506316644</v>
      </c>
      <c r="N222">
        <v>1.4680381354992278</v>
      </c>
      <c r="O222" s="32">
        <f t="shared" si="51"/>
        <v>16.868432448489767</v>
      </c>
      <c r="P222" s="32">
        <f t="shared" si="45"/>
        <v>89.004435765805383</v>
      </c>
      <c r="Q222">
        <v>6</v>
      </c>
      <c r="R222">
        <v>83</v>
      </c>
      <c r="S222" s="32">
        <f t="shared" si="46"/>
        <v>9.0922615112669138</v>
      </c>
      <c r="T222" s="1">
        <f t="shared" si="47"/>
        <v>9.6533559265092759</v>
      </c>
      <c r="U222" s="1">
        <f t="shared" si="48"/>
        <v>9.3436020473988464</v>
      </c>
      <c r="V222" s="1">
        <f t="shared" si="49"/>
        <v>2.5728086670688244</v>
      </c>
      <c r="W222" s="1">
        <f t="shared" si="52"/>
        <v>9.5947465623958575E-2</v>
      </c>
      <c r="X222" s="1">
        <f t="shared" si="53"/>
        <v>0.30975387911042951</v>
      </c>
      <c r="Y222" s="39">
        <f t="shared" si="50"/>
        <v>82.228434328761836</v>
      </c>
      <c r="AB222">
        <v>217</v>
      </c>
      <c r="AC222" s="7">
        <v>0.61448269354756679</v>
      </c>
      <c r="AD222">
        <v>1.3831826764438351</v>
      </c>
      <c r="AE222">
        <v>0.95297518992116437</v>
      </c>
      <c r="AF222" s="7">
        <v>4.8166409327714405E-2</v>
      </c>
      <c r="AG222" s="10">
        <v>121.2785644722604</v>
      </c>
      <c r="AH222" s="1">
        <v>0.89696662676837602</v>
      </c>
      <c r="AI222" s="10">
        <v>71.25059715466449</v>
      </c>
      <c r="AJ222" s="32">
        <v>1756.7688168981931</v>
      </c>
      <c r="AK222">
        <v>320</v>
      </c>
      <c r="AL222" s="7">
        <v>0.47186662957696696</v>
      </c>
    </row>
    <row r="223" spans="1:38" x14ac:dyDescent="0.3">
      <c r="A223">
        <v>20628</v>
      </c>
      <c r="B223">
        <v>21</v>
      </c>
      <c r="C223">
        <v>1</v>
      </c>
      <c r="D223">
        <v>1982</v>
      </c>
      <c r="E223">
        <v>13</v>
      </c>
      <c r="F223">
        <v>7</v>
      </c>
      <c r="G223">
        <v>1982</v>
      </c>
      <c r="H223">
        <v>87</v>
      </c>
      <c r="I223" s="32">
        <f t="shared" si="41"/>
        <v>16.654758106177631</v>
      </c>
      <c r="J223" s="1">
        <v>0.47397260273972602</v>
      </c>
      <c r="K223" s="32">
        <f t="shared" si="42"/>
        <v>16.735105696012408</v>
      </c>
      <c r="L223" s="32">
        <f t="shared" si="43"/>
        <v>87.751046360189136</v>
      </c>
      <c r="M223" s="1">
        <f t="shared" si="44"/>
        <v>4.3809278579889414E-2</v>
      </c>
      <c r="N223">
        <v>0.22923131837160327</v>
      </c>
      <c r="O223" s="32">
        <f t="shared" si="51"/>
        <v>16.783085337989323</v>
      </c>
      <c r="P223" s="32">
        <f t="shared" si="45"/>
        <v>88.20107370354738</v>
      </c>
      <c r="Q223">
        <v>2</v>
      </c>
      <c r="R223">
        <v>89</v>
      </c>
      <c r="S223" s="32">
        <f t="shared" si="46"/>
        <v>9.5634814945558748</v>
      </c>
      <c r="T223" s="1">
        <f t="shared" si="47"/>
        <v>9.6175052016151579</v>
      </c>
      <c r="U223" s="1">
        <f t="shared" si="48"/>
        <v>9.5950907697617485</v>
      </c>
      <c r="V223" s="1">
        <f t="shared" si="49"/>
        <v>0.48874061296610438</v>
      </c>
      <c r="W223" s="1">
        <f t="shared" si="52"/>
        <v>5.0240675531113444E-4</v>
      </c>
      <c r="X223" s="1">
        <f t="shared" si="53"/>
        <v>2.2414431853409411E-2</v>
      </c>
      <c r="Y223" s="39">
        <f t="shared" si="50"/>
        <v>87.701362045910528</v>
      </c>
      <c r="AB223">
        <v>218</v>
      </c>
      <c r="AC223" s="7">
        <v>0.58555320412597911</v>
      </c>
      <c r="AD223">
        <v>1.3057530689741881</v>
      </c>
      <c r="AE223">
        <v>0.95227643549625318</v>
      </c>
      <c r="AF223" s="7">
        <v>4.8899912920540037E-2</v>
      </c>
      <c r="AG223" s="10">
        <v>126.55167585250661</v>
      </c>
      <c r="AH223" s="1">
        <v>0.81231145783891323</v>
      </c>
      <c r="AI223" s="10">
        <v>73.016836095463049</v>
      </c>
      <c r="AJ223" s="32">
        <v>1847.5404934541907</v>
      </c>
      <c r="AK223">
        <v>320</v>
      </c>
      <c r="AL223" s="7">
        <v>0.47767940378283219</v>
      </c>
    </row>
    <row r="224" spans="1:38" x14ac:dyDescent="0.3">
      <c r="A224">
        <v>76928</v>
      </c>
      <c r="B224">
        <v>30</v>
      </c>
      <c r="C224">
        <v>7</v>
      </c>
      <c r="D224">
        <v>1982</v>
      </c>
      <c r="E224">
        <v>23</v>
      </c>
      <c r="F224">
        <v>6</v>
      </c>
      <c r="G224">
        <v>1983</v>
      </c>
      <c r="H224">
        <v>52</v>
      </c>
      <c r="I224" s="32">
        <f t="shared" si="41"/>
        <v>12.422205101855956</v>
      </c>
      <c r="J224" s="1">
        <v>0.89863013698630101</v>
      </c>
      <c r="K224" s="32">
        <f t="shared" si="42"/>
        <v>12.763565978205529</v>
      </c>
      <c r="L224" s="32">
        <f t="shared" si="43"/>
        <v>54.490720098206943</v>
      </c>
      <c r="M224" s="1">
        <f t="shared" si="44"/>
        <v>8.1291473760307861E-2</v>
      </c>
      <c r="N224">
        <v>0.97172687674174085</v>
      </c>
      <c r="O224" s="32">
        <f t="shared" si="51"/>
        <v>13.040621438303324</v>
      </c>
      <c r="P224" s="32">
        <f t="shared" si="45"/>
        <v>56.555073312587389</v>
      </c>
      <c r="Q224">
        <v>9</v>
      </c>
      <c r="R224">
        <v>61</v>
      </c>
      <c r="S224" s="32">
        <f t="shared" si="46"/>
        <v>7.6914449855283769</v>
      </c>
      <c r="T224" s="1">
        <f t="shared" si="47"/>
        <v>7.977079280343677</v>
      </c>
      <c r="U224" s="1">
        <f t="shared" si="48"/>
        <v>7.8476013549358372</v>
      </c>
      <c r="V224" s="1">
        <f t="shared" si="49"/>
        <v>0.90393654226725395</v>
      </c>
      <c r="W224" s="1">
        <f t="shared" si="52"/>
        <v>1.6764533167918115E-2</v>
      </c>
      <c r="X224" s="1">
        <f t="shared" si="53"/>
        <v>0.12947792540783976</v>
      </c>
      <c r="Y224" s="39">
        <f t="shared" si="50"/>
        <v>54.457382940016316</v>
      </c>
      <c r="AB224">
        <v>219</v>
      </c>
      <c r="AC224" s="7">
        <v>0.77617225302263471</v>
      </c>
      <c r="AD224">
        <v>2.4610583441562244</v>
      </c>
      <c r="AE224">
        <v>0.95353802997204495</v>
      </c>
      <c r="AF224" s="7">
        <v>4.757597013079818E-2</v>
      </c>
      <c r="AG224" s="10">
        <v>123.83953865498242</v>
      </c>
      <c r="AH224" s="1">
        <v>1.9566671698318463</v>
      </c>
      <c r="AI224" s="10">
        <v>290.45685159482446</v>
      </c>
      <c r="AJ224" s="32">
        <v>1752.4815480054961</v>
      </c>
      <c r="AK224">
        <v>320</v>
      </c>
      <c r="AL224" s="7">
        <v>0.95272118756424562</v>
      </c>
    </row>
    <row r="225" spans="1:38" x14ac:dyDescent="0.3">
      <c r="A225">
        <v>76979</v>
      </c>
      <c r="B225">
        <v>31</v>
      </c>
      <c r="C225">
        <v>7</v>
      </c>
      <c r="D225">
        <v>1982</v>
      </c>
      <c r="E225">
        <v>21</v>
      </c>
      <c r="F225">
        <v>9</v>
      </c>
      <c r="G225">
        <v>1982</v>
      </c>
      <c r="H225">
        <v>54</v>
      </c>
      <c r="I225" s="32">
        <f t="shared" si="41"/>
        <v>12.696938456699069</v>
      </c>
      <c r="J225" s="1">
        <v>0.142465753424658</v>
      </c>
      <c r="K225" s="32">
        <f t="shared" si="42"/>
        <v>12.750111337168228</v>
      </c>
      <c r="L225" s="32">
        <f t="shared" si="43"/>
        <v>54.391446114714675</v>
      </c>
      <c r="M225" s="1">
        <f t="shared" si="44"/>
        <v>1.3392732780067255E-2</v>
      </c>
      <c r="N225">
        <v>-0.63831294028204866</v>
      </c>
      <c r="O225" s="32">
        <f t="shared" si="51"/>
        <v>12.676241311382842</v>
      </c>
      <c r="P225" s="32">
        <f t="shared" si="45"/>
        <v>53.848014757485089</v>
      </c>
      <c r="Q225">
        <v>-2</v>
      </c>
      <c r="R225">
        <v>52</v>
      </c>
      <c r="S225" s="32">
        <f t="shared" si="46"/>
        <v>7.8189121954385223</v>
      </c>
      <c r="T225" s="1">
        <f t="shared" si="47"/>
        <v>7.809341693037898</v>
      </c>
      <c r="U225" s="1">
        <f t="shared" si="48"/>
        <v>7.8431557017085627</v>
      </c>
      <c r="V225" s="1">
        <f t="shared" si="49"/>
        <v>0.14979778335655355</v>
      </c>
      <c r="W225" s="1">
        <f t="shared" si="52"/>
        <v>1.1433871823797836E-3</v>
      </c>
      <c r="X225" s="1">
        <f t="shared" si="53"/>
        <v>-3.3814008670664641E-2</v>
      </c>
      <c r="Y225" s="39">
        <f t="shared" si="50"/>
        <v>54.386331969852343</v>
      </c>
      <c r="AB225">
        <v>220</v>
      </c>
      <c r="AC225" s="7">
        <v>0.90934477868383345</v>
      </c>
      <c r="AD225">
        <v>3.447185911130517</v>
      </c>
      <c r="AE225">
        <v>0.96001937092362677</v>
      </c>
      <c r="AF225" s="7">
        <v>4.0801816678384596E-2</v>
      </c>
      <c r="AG225" s="10">
        <v>122.81434355480013</v>
      </c>
      <c r="AH225" s="1">
        <v>3.1746611385153818</v>
      </c>
      <c r="AI225" s="10">
        <v>1093.5697029768928</v>
      </c>
      <c r="AJ225" s="32">
        <v>1804.8201994256833</v>
      </c>
      <c r="AK225">
        <v>320</v>
      </c>
      <c r="AL225" s="7">
        <v>1.8486225471422744</v>
      </c>
    </row>
    <row r="226" spans="1:38" x14ac:dyDescent="0.3">
      <c r="A226">
        <v>79501</v>
      </c>
      <c r="B226">
        <v>5</v>
      </c>
      <c r="C226">
        <v>9</v>
      </c>
      <c r="D226">
        <v>1982</v>
      </c>
      <c r="E226">
        <v>30</v>
      </c>
      <c r="F226">
        <v>7</v>
      </c>
      <c r="G226">
        <v>1984</v>
      </c>
      <c r="H226">
        <v>81</v>
      </c>
      <c r="I226" s="32">
        <f t="shared" si="41"/>
        <v>16</v>
      </c>
      <c r="J226" s="1">
        <v>1.9013698630136999</v>
      </c>
      <c r="K226" s="32">
        <f t="shared" si="42"/>
        <v>16.371690501188741</v>
      </c>
      <c r="L226" s="32">
        <f t="shared" si="43"/>
        <v>84.379752967867162</v>
      </c>
      <c r="M226" s="1">
        <f t="shared" si="44"/>
        <v>0.16357904889438485</v>
      </c>
      <c r="N226">
        <v>-7.7916411100886762E-2</v>
      </c>
      <c r="O226" s="32">
        <f t="shared" si="51"/>
        <v>16.340177281309312</v>
      </c>
      <c r="P226" s="32">
        <f t="shared" si="45"/>
        <v>84.09052567746356</v>
      </c>
      <c r="Q226">
        <v>4</v>
      </c>
      <c r="R226">
        <v>85</v>
      </c>
      <c r="S226" s="32">
        <f t="shared" si="46"/>
        <v>9.2855678299812343</v>
      </c>
      <c r="T226" s="1">
        <f t="shared" si="47"/>
        <v>9.4304361621620618</v>
      </c>
      <c r="U226" s="1">
        <f t="shared" si="48"/>
        <v>9.4367662875954892</v>
      </c>
      <c r="V226" s="1">
        <f t="shared" si="49"/>
        <v>1.8053411748990389</v>
      </c>
      <c r="W226" s="1">
        <f t="shared" si="52"/>
        <v>4.0070488002924042E-5</v>
      </c>
      <c r="X226" s="1">
        <f t="shared" si="53"/>
        <v>-6.3301254334273693E-3</v>
      </c>
      <c r="Y226" s="39">
        <f t="shared" si="50"/>
        <v>84.227402983764691</v>
      </c>
      <c r="AB226">
        <v>221</v>
      </c>
      <c r="AC226" s="7">
        <v>0.78161284524637809</v>
      </c>
      <c r="AD226">
        <v>2.0043252065503081</v>
      </c>
      <c r="AE226">
        <v>0.96726188524738788</v>
      </c>
      <c r="AF226" s="7">
        <v>3.328599780847518E-2</v>
      </c>
      <c r="AG226" s="10">
        <v>144.8016531036225</v>
      </c>
      <c r="AH226" s="1">
        <v>1.5993444422434329</v>
      </c>
      <c r="AI226" s="10">
        <v>320.48049058615555</v>
      </c>
      <c r="AJ226" s="32">
        <v>1777.4421690336819</v>
      </c>
      <c r="AK226">
        <v>320</v>
      </c>
      <c r="AL226" s="7">
        <v>1.0007504849270552</v>
      </c>
    </row>
    <row r="227" spans="1:38" x14ac:dyDescent="0.3">
      <c r="A227">
        <v>79492</v>
      </c>
      <c r="B227">
        <v>5</v>
      </c>
      <c r="C227">
        <v>9</v>
      </c>
      <c r="D227">
        <v>1982</v>
      </c>
      <c r="E227">
        <v>7</v>
      </c>
      <c r="F227">
        <v>5</v>
      </c>
      <c r="G227">
        <v>1983</v>
      </c>
      <c r="H227">
        <v>72</v>
      </c>
      <c r="I227" s="32">
        <f t="shared" si="41"/>
        <v>14.970562748477139</v>
      </c>
      <c r="J227" s="1">
        <v>0.66849315068493198</v>
      </c>
      <c r="K227" s="32">
        <f t="shared" si="42"/>
        <v>15.140095033739792</v>
      </c>
      <c r="L227" s="32">
        <f t="shared" si="43"/>
        <v>73.445714441407858</v>
      </c>
      <c r="M227" s="1">
        <f t="shared" si="44"/>
        <v>6.1181331936717716E-2</v>
      </c>
      <c r="N227">
        <v>2.225278876721859</v>
      </c>
      <c r="O227" s="32">
        <f t="shared" si="51"/>
        <v>15.69051465756943</v>
      </c>
      <c r="P227" s="32">
        <f t="shared" si="45"/>
        <v>78.238577212419713</v>
      </c>
      <c r="Q227">
        <v>0</v>
      </c>
      <c r="R227">
        <v>72</v>
      </c>
      <c r="S227" s="32">
        <f t="shared" si="46"/>
        <v>8.8405752459119533</v>
      </c>
      <c r="T227" s="1">
        <f t="shared" si="47"/>
        <v>9.1528471856446618</v>
      </c>
      <c r="U227" s="1">
        <f t="shared" si="48"/>
        <v>8.9129477020883812</v>
      </c>
      <c r="V227" s="1">
        <f t="shared" si="49"/>
        <v>0.68151946117082995</v>
      </c>
      <c r="W227" s="1">
        <f t="shared" si="52"/>
        <v>5.7551762210570172E-2</v>
      </c>
      <c r="X227" s="1">
        <f t="shared" si="53"/>
        <v>0.23989948355628066</v>
      </c>
      <c r="Y227" s="39">
        <f t="shared" si="50"/>
        <v>73.413952812824377</v>
      </c>
      <c r="AB227">
        <v>222</v>
      </c>
      <c r="AC227" s="7">
        <v>0.53264754032113781</v>
      </c>
      <c r="AD227">
        <v>1.1681766347869951</v>
      </c>
      <c r="AE227">
        <v>0.94697375355460767</v>
      </c>
      <c r="AF227" s="7">
        <v>5.4483901539579278E-2</v>
      </c>
      <c r="AG227" s="10">
        <v>118.71249188170816</v>
      </c>
      <c r="AH227" s="1">
        <v>0.67525265762530939</v>
      </c>
      <c r="AI227" s="10">
        <v>41.308045527699015</v>
      </c>
      <c r="AJ227" s="32">
        <v>1809.709977442235</v>
      </c>
      <c r="AK227">
        <v>320</v>
      </c>
      <c r="AL227" s="7">
        <v>0.3592876873399079</v>
      </c>
    </row>
    <row r="228" spans="1:38" x14ac:dyDescent="0.3">
      <c r="A228">
        <v>76646</v>
      </c>
      <c r="B228">
        <v>30</v>
      </c>
      <c r="C228">
        <v>7</v>
      </c>
      <c r="D228">
        <v>1982</v>
      </c>
      <c r="E228">
        <v>7</v>
      </c>
      <c r="F228">
        <v>5</v>
      </c>
      <c r="G228">
        <v>1988</v>
      </c>
      <c r="H228">
        <v>50</v>
      </c>
      <c r="I228" s="32">
        <f t="shared" si="41"/>
        <v>12.142135623730951</v>
      </c>
      <c r="J228" s="1">
        <v>5.77534246575342</v>
      </c>
      <c r="K228" s="32">
        <f t="shared" si="42"/>
        <v>14.15680041834524</v>
      </c>
      <c r="L228" s="32">
        <f t="shared" si="43"/>
        <v>65.260549939560249</v>
      </c>
      <c r="M228" s="1">
        <f t="shared" si="44"/>
        <v>0.41265387457256436</v>
      </c>
      <c r="N228">
        <v>0.50258904593647458</v>
      </c>
      <c r="O228" s="32">
        <f t="shared" si="51"/>
        <v>14.479654277799868</v>
      </c>
      <c r="P228" s="32">
        <f t="shared" si="45"/>
        <v>67.894751278951858</v>
      </c>
      <c r="Q228">
        <v>35</v>
      </c>
      <c r="R228">
        <v>85</v>
      </c>
      <c r="S228" s="32">
        <f t="shared" si="46"/>
        <v>7.5605312842145542</v>
      </c>
      <c r="T228" s="1">
        <f t="shared" si="47"/>
        <v>8.6247034619235343</v>
      </c>
      <c r="U228" s="1">
        <f t="shared" si="48"/>
        <v>8.4712835880563038</v>
      </c>
      <c r="V228" s="1">
        <f t="shared" si="49"/>
        <v>4.4360576016551967</v>
      </c>
      <c r="W228" s="1">
        <f t="shared" si="52"/>
        <v>2.3537657697436931E-2</v>
      </c>
      <c r="X228" s="1">
        <f t="shared" si="53"/>
        <v>0.15341987386723055</v>
      </c>
      <c r="Y228" s="39">
        <f t="shared" si="50"/>
        <v>65.077811572277156</v>
      </c>
      <c r="AB228">
        <v>223</v>
      </c>
      <c r="AC228" s="7">
        <v>0.55562146236305088</v>
      </c>
      <c r="AD228">
        <v>1.3705383941860743</v>
      </c>
      <c r="AE228">
        <v>0.94127104121016514</v>
      </c>
      <c r="AF228" s="7">
        <v>6.052414557854064E-2</v>
      </c>
      <c r="AG228" s="10">
        <v>115.05488588064311</v>
      </c>
      <c r="AH228" s="1">
        <v>0.82022950559220886</v>
      </c>
      <c r="AI228" s="10">
        <v>53.424349548505802</v>
      </c>
      <c r="AJ228" s="32">
        <v>1824.1326955545169</v>
      </c>
      <c r="AK228">
        <v>320</v>
      </c>
      <c r="AL228" s="7">
        <v>0.40859649085507405</v>
      </c>
    </row>
    <row r="229" spans="1:38" x14ac:dyDescent="0.3">
      <c r="A229">
        <v>78693</v>
      </c>
      <c r="B229">
        <v>24</v>
      </c>
      <c r="C229">
        <v>7</v>
      </c>
      <c r="D229">
        <v>1982</v>
      </c>
      <c r="E229">
        <v>6</v>
      </c>
      <c r="F229">
        <v>7</v>
      </c>
      <c r="G229">
        <v>1983</v>
      </c>
      <c r="H229">
        <v>81</v>
      </c>
      <c r="I229" s="32">
        <f t="shared" si="41"/>
        <v>16</v>
      </c>
      <c r="J229" s="1">
        <v>0.95068493150684896</v>
      </c>
      <c r="K229" s="32">
        <f t="shared" si="42"/>
        <v>16.190375609689973</v>
      </c>
      <c r="L229" s="32">
        <f t="shared" si="43"/>
        <v>82.722441205400955</v>
      </c>
      <c r="M229" s="1">
        <f t="shared" si="44"/>
        <v>8.5774731043555957E-2</v>
      </c>
      <c r="N229">
        <v>-0.64281948652933352</v>
      </c>
      <c r="O229" s="32">
        <f t="shared" si="51"/>
        <v>16.002110987956591</v>
      </c>
      <c r="P229" s="32">
        <f t="shared" si="45"/>
        <v>81.019000005676858</v>
      </c>
      <c r="Q229">
        <v>0</v>
      </c>
      <c r="R229">
        <v>81</v>
      </c>
      <c r="S229" s="32">
        <f t="shared" si="46"/>
        <v>9.2855678299812343</v>
      </c>
      <c r="T229" s="1">
        <f t="shared" si="47"/>
        <v>9.2864700673018579</v>
      </c>
      <c r="U229" s="1">
        <f t="shared" si="48"/>
        <v>9.3632934857020835</v>
      </c>
      <c r="V229" s="1">
        <f t="shared" si="49"/>
        <v>0.95341040724011028</v>
      </c>
      <c r="W229" s="1">
        <f t="shared" si="52"/>
        <v>5.9018376146961309E-3</v>
      </c>
      <c r="X229" s="1">
        <f t="shared" si="53"/>
        <v>-7.6823418400225663E-2</v>
      </c>
      <c r="Y229" s="39">
        <f t="shared" si="50"/>
        <v>82.648169240149699</v>
      </c>
      <c r="AB229">
        <v>224</v>
      </c>
      <c r="AC229" s="7">
        <v>0.77718019724635867</v>
      </c>
      <c r="AD229">
        <v>2.3853113390590637</v>
      </c>
      <c r="AE229">
        <v>0.95513608302441921</v>
      </c>
      <c r="AF229" s="7">
        <v>4.5901453339371671E-2</v>
      </c>
      <c r="AG229" s="10">
        <v>123.84904687536374</v>
      </c>
      <c r="AH229" s="1">
        <v>1.8986806539594796</v>
      </c>
      <c r="AI229" s="10">
        <v>314.44837941948771</v>
      </c>
      <c r="AJ229" s="32">
        <v>1775.6369031983854</v>
      </c>
      <c r="AK229">
        <v>320</v>
      </c>
      <c r="AL229" s="7">
        <v>0.9912876402366263</v>
      </c>
    </row>
    <row r="230" spans="1:38" x14ac:dyDescent="0.3">
      <c r="A230">
        <v>22617</v>
      </c>
      <c r="B230">
        <v>26</v>
      </c>
      <c r="C230">
        <v>7</v>
      </c>
      <c r="D230">
        <v>1982</v>
      </c>
      <c r="E230">
        <v>11</v>
      </c>
      <c r="F230">
        <v>5</v>
      </c>
      <c r="G230">
        <v>1988</v>
      </c>
      <c r="H230">
        <v>72</v>
      </c>
      <c r="I230" s="32">
        <f t="shared" si="41"/>
        <v>14.970562748477139</v>
      </c>
      <c r="J230" s="1">
        <v>5.7972602739725998</v>
      </c>
      <c r="K230" s="32">
        <f t="shared" si="42"/>
        <v>16.264254034927532</v>
      </c>
      <c r="L230" s="32">
        <f t="shared" si="43"/>
        <v>83.395743863091667</v>
      </c>
      <c r="M230" s="1">
        <f t="shared" si="44"/>
        <v>0.41380025781791829</v>
      </c>
      <c r="N230">
        <v>0.29815169000357855</v>
      </c>
      <c r="O230" s="32">
        <f t="shared" si="51"/>
        <v>16.456046991411473</v>
      </c>
      <c r="P230" s="32">
        <f t="shared" si="45"/>
        <v>85.156417637297125</v>
      </c>
      <c r="Q230">
        <v>16</v>
      </c>
      <c r="R230">
        <v>88</v>
      </c>
      <c r="S230" s="32">
        <f t="shared" si="46"/>
        <v>8.8405752459119533</v>
      </c>
      <c r="T230" s="1">
        <f t="shared" si="47"/>
        <v>9.4795427499002667</v>
      </c>
      <c r="U230" s="1">
        <f t="shared" si="48"/>
        <v>9.3824272330072471</v>
      </c>
      <c r="V230" s="1">
        <f t="shared" si="49"/>
        <v>4.4477733514244155</v>
      </c>
      <c r="W230" s="1">
        <f t="shared" si="52"/>
        <v>9.4314236213983681E-3</v>
      </c>
      <c r="X230" s="1">
        <f t="shared" si="53"/>
        <v>9.711551689301956E-2</v>
      </c>
      <c r="Y230" s="39">
        <f t="shared" si="50"/>
        <v>83.057437557474287</v>
      </c>
      <c r="AB230">
        <v>225</v>
      </c>
      <c r="AC230" s="7">
        <v>-1.0687098835961998E-2</v>
      </c>
      <c r="AD230">
        <v>0.25666091350344333</v>
      </c>
      <c r="AE230">
        <v>0.94536468588518374</v>
      </c>
      <c r="AF230" s="7">
        <v>5.618451494327581E-2</v>
      </c>
      <c r="AG230" s="10">
        <v>123.93246320812177</v>
      </c>
      <c r="AH230" s="1">
        <v>5.1892353564876668E-2</v>
      </c>
      <c r="AI230" s="10">
        <v>0.34277290140564431</v>
      </c>
      <c r="AJ230" s="32">
        <v>1806.3103701691643</v>
      </c>
      <c r="AK230">
        <v>320</v>
      </c>
      <c r="AL230" s="7">
        <v>3.2728662008897312E-2</v>
      </c>
    </row>
    <row r="231" spans="1:38" x14ac:dyDescent="0.3">
      <c r="A231">
        <v>20629</v>
      </c>
      <c r="B231">
        <v>21</v>
      </c>
      <c r="C231">
        <v>1</v>
      </c>
      <c r="D231">
        <v>1982</v>
      </c>
      <c r="E231">
        <v>5</v>
      </c>
      <c r="F231">
        <v>5</v>
      </c>
      <c r="G231">
        <v>1987</v>
      </c>
      <c r="H231">
        <v>127</v>
      </c>
      <c r="I231" s="32">
        <f t="shared" si="41"/>
        <v>20.538855339169288</v>
      </c>
      <c r="J231" s="1">
        <v>5.2876712328767104</v>
      </c>
      <c r="K231" s="32">
        <f t="shared" si="42"/>
        <v>20.410848720572318</v>
      </c>
      <c r="L231" s="32">
        <f t="shared" si="43"/>
        <v>125.56153509409448</v>
      </c>
      <c r="M231" s="1">
        <f t="shared" si="44"/>
        <v>0.38646861699625157</v>
      </c>
      <c r="N231">
        <v>6.6104348661610857E-2</v>
      </c>
      <c r="O231" s="32">
        <f t="shared" si="51"/>
        <v>20.451943546663962</v>
      </c>
      <c r="P231" s="32">
        <f t="shared" si="45"/>
        <v>126.02244225564638</v>
      </c>
      <c r="Q231">
        <v>19</v>
      </c>
      <c r="R231">
        <v>146</v>
      </c>
      <c r="S231" s="32">
        <f t="shared" si="46"/>
        <v>11.140510291328301</v>
      </c>
      <c r="T231" s="1">
        <f t="shared" si="47"/>
        <v>11.106432785325264</v>
      </c>
      <c r="U231" s="1">
        <f t="shared" si="48"/>
        <v>11.02376897086576</v>
      </c>
      <c r="V231" s="1">
        <f t="shared" si="49"/>
        <v>4.1673626501859964</v>
      </c>
      <c r="W231" s="1">
        <f t="shared" si="52"/>
        <v>6.8333062209953747E-3</v>
      </c>
      <c r="X231" s="1">
        <f t="shared" si="53"/>
        <v>8.2663814459504437E-2</v>
      </c>
      <c r="Y231" s="39">
        <f t="shared" si="50"/>
        <v>123.67282314922163</v>
      </c>
      <c r="AB231">
        <v>226</v>
      </c>
      <c r="AC231" s="7">
        <v>0.86727445895500099</v>
      </c>
      <c r="AD231">
        <v>3.2527119902303241</v>
      </c>
      <c r="AE231">
        <v>0.95587843219478419</v>
      </c>
      <c r="AF231" s="7">
        <v>4.5124536992799676E-2</v>
      </c>
      <c r="AG231" s="10">
        <v>122.9901670732504</v>
      </c>
      <c r="AH231" s="1">
        <v>2.8651155992686648</v>
      </c>
      <c r="AI231" s="10">
        <v>699.46250725229118</v>
      </c>
      <c r="AJ231" s="32">
        <v>1778.0108401241164</v>
      </c>
      <c r="AK231">
        <v>320</v>
      </c>
      <c r="AL231" s="7">
        <v>1.4784520063780935</v>
      </c>
    </row>
    <row r="232" spans="1:38" x14ac:dyDescent="0.3">
      <c r="A232">
        <v>79400</v>
      </c>
      <c r="B232">
        <v>1</v>
      </c>
      <c r="C232">
        <v>9</v>
      </c>
      <c r="D232">
        <v>1982</v>
      </c>
      <c r="E232">
        <v>22</v>
      </c>
      <c r="F232">
        <v>7</v>
      </c>
      <c r="G232">
        <v>1985</v>
      </c>
      <c r="H232">
        <v>74</v>
      </c>
      <c r="I232" s="32">
        <f t="shared" si="41"/>
        <v>15.204650534085253</v>
      </c>
      <c r="J232" s="1">
        <v>2.89041095890411</v>
      </c>
      <c r="K232" s="32">
        <f t="shared" si="42"/>
        <v>15.865411170965105</v>
      </c>
      <c r="L232" s="32">
        <f t="shared" si="43"/>
        <v>79.793229076911175</v>
      </c>
      <c r="M232" s="1">
        <f t="shared" si="44"/>
        <v>0.23685905388602549</v>
      </c>
      <c r="N232">
        <v>1.1428028301452287</v>
      </c>
      <c r="O232" s="32">
        <f t="shared" si="51"/>
        <v>16.421592367832538</v>
      </c>
      <c r="P232" s="32">
        <f t="shared" si="45"/>
        <v>84.838766341646505</v>
      </c>
      <c r="Q232">
        <v>11</v>
      </c>
      <c r="R232">
        <v>85</v>
      </c>
      <c r="S232" s="32">
        <f t="shared" si="46"/>
        <v>8.9426609766862715</v>
      </c>
      <c r="T232" s="1">
        <f t="shared" si="47"/>
        <v>9.4649530731813893</v>
      </c>
      <c r="U232" s="1">
        <f t="shared" si="48"/>
        <v>9.2199538577362912</v>
      </c>
      <c r="V232" s="1">
        <f t="shared" si="49"/>
        <v>2.5955453949264085</v>
      </c>
      <c r="W232" s="1">
        <f t="shared" si="52"/>
        <v>6.0024615568713628E-2</v>
      </c>
      <c r="X232" s="1">
        <f t="shared" si="53"/>
        <v>0.24499921544509817</v>
      </c>
      <c r="Y232" s="39">
        <f t="shared" si="50"/>
        <v>79.626516014815024</v>
      </c>
      <c r="AB232">
        <v>227</v>
      </c>
      <c r="AC232" s="7">
        <v>0.80083533601516144</v>
      </c>
      <c r="AD232">
        <v>2.4296344431889834</v>
      </c>
      <c r="AE232">
        <v>0.95806170572503113</v>
      </c>
      <c r="AF232" s="7">
        <v>4.2843092099112468E-2</v>
      </c>
      <c r="AG232" s="10">
        <v>123.73240923243183</v>
      </c>
      <c r="AH232" s="1">
        <v>1.9876754099802281</v>
      </c>
      <c r="AI232" s="10">
        <v>436.66394036259715</v>
      </c>
      <c r="AJ232" s="32">
        <v>1815.3479508512496</v>
      </c>
      <c r="AK232">
        <v>320</v>
      </c>
      <c r="AL232" s="7">
        <v>1.1681501674156094</v>
      </c>
    </row>
    <row r="233" spans="1:38" x14ac:dyDescent="0.3">
      <c r="A233">
        <v>79012</v>
      </c>
      <c r="B233">
        <v>1</v>
      </c>
      <c r="C233">
        <v>8</v>
      </c>
      <c r="D233">
        <v>1982</v>
      </c>
      <c r="E233">
        <v>20</v>
      </c>
      <c r="F233">
        <v>6</v>
      </c>
      <c r="G233">
        <v>1983</v>
      </c>
      <c r="H233">
        <v>101</v>
      </c>
      <c r="I233" s="32">
        <f t="shared" si="41"/>
        <v>18.09975124224178</v>
      </c>
      <c r="J233" s="1">
        <v>0.88493150684931499</v>
      </c>
      <c r="K233" s="32">
        <f t="shared" si="42"/>
        <v>18.184077232355307</v>
      </c>
      <c r="L233" s="32">
        <f t="shared" si="43"/>
        <v>101.84924343042097</v>
      </c>
      <c r="M233" s="1">
        <f t="shared" si="44"/>
        <v>8.01076846651467E-2</v>
      </c>
      <c r="N233">
        <v>-1.527932909084484</v>
      </c>
      <c r="O233" s="32">
        <f t="shared" si="51"/>
        <v>17.751621782247188</v>
      </c>
      <c r="P233" s="32">
        <f t="shared" si="45"/>
        <v>97.531640757235394</v>
      </c>
      <c r="Q233">
        <v>1</v>
      </c>
      <c r="R233">
        <v>102</v>
      </c>
      <c r="S233" s="32">
        <f t="shared" si="46"/>
        <v>10.163794332447125</v>
      </c>
      <c r="T233" s="1">
        <f t="shared" si="47"/>
        <v>10.02073622896679</v>
      </c>
      <c r="U233" s="1">
        <f t="shared" si="48"/>
        <v>10.191467797017056</v>
      </c>
      <c r="V233" s="1">
        <f t="shared" si="49"/>
        <v>0.89086635454503593</v>
      </c>
      <c r="W233" s="1">
        <f t="shared" si="52"/>
        <v>2.9149268328902727E-2</v>
      </c>
      <c r="X233" s="1">
        <f t="shared" si="53"/>
        <v>-0.17073156805026635</v>
      </c>
      <c r="Y233" s="39">
        <f t="shared" si="50"/>
        <v>101.68065791911522</v>
      </c>
      <c r="AB233">
        <v>228</v>
      </c>
      <c r="AC233" s="7">
        <v>0.69884949239538074</v>
      </c>
      <c r="AD233">
        <v>1.678274663000632</v>
      </c>
      <c r="AE233">
        <v>0.95811667990611071</v>
      </c>
      <c r="AF233" s="7">
        <v>4.2785713118630379E-2</v>
      </c>
      <c r="AG233" s="10">
        <v>123.7784475010036</v>
      </c>
      <c r="AH233" s="1">
        <v>1.2147447164319096</v>
      </c>
      <c r="AI233" s="10">
        <v>154.13164695744072</v>
      </c>
      <c r="AJ233" s="32">
        <v>1768.8117405785238</v>
      </c>
      <c r="AK233">
        <v>320</v>
      </c>
      <c r="AL233" s="7">
        <v>0.69401829712335561</v>
      </c>
    </row>
    <row r="234" spans="1:38" x14ac:dyDescent="0.3">
      <c r="A234">
        <v>76810</v>
      </c>
      <c r="B234">
        <v>30</v>
      </c>
      <c r="C234">
        <v>7</v>
      </c>
      <c r="D234">
        <v>1982</v>
      </c>
      <c r="E234">
        <v>24</v>
      </c>
      <c r="F234">
        <v>5</v>
      </c>
      <c r="G234">
        <v>1983</v>
      </c>
      <c r="H234">
        <v>53</v>
      </c>
      <c r="I234" s="32">
        <f t="shared" si="41"/>
        <v>12.560219778561036</v>
      </c>
      <c r="J234" s="1">
        <v>0.81643835616438398</v>
      </c>
      <c r="K234" s="32">
        <f t="shared" si="42"/>
        <v>12.865347862735195</v>
      </c>
      <c r="L234" s="32">
        <f t="shared" si="43"/>
        <v>55.244641770031457</v>
      </c>
      <c r="M234" s="1">
        <f t="shared" si="44"/>
        <v>7.416372116956442E-2</v>
      </c>
      <c r="N234">
        <v>1.5271962183760479</v>
      </c>
      <c r="O234" s="32">
        <f t="shared" si="51"/>
        <v>13.281249467604169</v>
      </c>
      <c r="P234" s="32">
        <f t="shared" si="45"/>
        <v>58.379146322788181</v>
      </c>
      <c r="Q234">
        <v>7</v>
      </c>
      <c r="R234">
        <v>60</v>
      </c>
      <c r="S234" s="32">
        <f t="shared" si="46"/>
        <v>7.7555955488817379</v>
      </c>
      <c r="T234" s="1">
        <f t="shared" si="47"/>
        <v>8.086988053320507</v>
      </c>
      <c r="U234" s="1">
        <f t="shared" si="48"/>
        <v>7.8947856024523633</v>
      </c>
      <c r="V234" s="1">
        <f t="shared" si="49"/>
        <v>0.82519654616271465</v>
      </c>
      <c r="W234" s="1">
        <f t="shared" si="52"/>
        <v>3.6941782119721191E-2</v>
      </c>
      <c r="X234" s="1">
        <f t="shared" si="53"/>
        <v>0.19220245086814369</v>
      </c>
      <c r="Y234" s="39">
        <f t="shared" si="50"/>
        <v>55.215459028099403</v>
      </c>
      <c r="AB234">
        <v>229</v>
      </c>
      <c r="AC234" s="7">
        <v>0.78348295935798773</v>
      </c>
      <c r="AD234">
        <v>2.1403996594061407</v>
      </c>
      <c r="AE234">
        <v>0.96304229968326738</v>
      </c>
      <c r="AF234" s="7">
        <v>3.7657943243939014E-2</v>
      </c>
      <c r="AG234" s="10">
        <v>133.89621103047369</v>
      </c>
      <c r="AH234" s="1">
        <v>1.7139243596770846</v>
      </c>
      <c r="AI234" s="10">
        <v>317.25290620130426</v>
      </c>
      <c r="AJ234" s="32">
        <v>1765.7163870358895</v>
      </c>
      <c r="AK234">
        <v>320</v>
      </c>
      <c r="AL234" s="7">
        <v>0.99569841411899207</v>
      </c>
    </row>
    <row r="235" spans="1:38" x14ac:dyDescent="0.3">
      <c r="A235">
        <v>20616</v>
      </c>
      <c r="B235">
        <v>19</v>
      </c>
      <c r="C235">
        <v>1</v>
      </c>
      <c r="D235">
        <v>1982</v>
      </c>
      <c r="E235">
        <v>16</v>
      </c>
      <c r="F235">
        <v>8</v>
      </c>
      <c r="G235">
        <v>1982</v>
      </c>
      <c r="H235">
        <v>85</v>
      </c>
      <c r="I235" s="32">
        <f t="shared" si="41"/>
        <v>16.439088914585774</v>
      </c>
      <c r="J235" s="1">
        <v>0.57260273972602704</v>
      </c>
      <c r="K235" s="32">
        <f t="shared" si="42"/>
        <v>16.542154338045609</v>
      </c>
      <c r="L235" s="32">
        <f t="shared" si="43"/>
        <v>85.952871873975909</v>
      </c>
      <c r="M235" s="1">
        <f t="shared" si="44"/>
        <v>5.266096552609683E-2</v>
      </c>
      <c r="N235">
        <v>-1.4098850442678668</v>
      </c>
      <c r="O235" s="32">
        <f t="shared" si="51"/>
        <v>16.218614240250652</v>
      </c>
      <c r="P235" s="32">
        <f t="shared" si="45"/>
        <v>82.979476208765959</v>
      </c>
      <c r="Q235">
        <v>3</v>
      </c>
      <c r="R235">
        <v>88</v>
      </c>
      <c r="S235" s="32">
        <f t="shared" si="46"/>
        <v>9.4723632360293841</v>
      </c>
      <c r="T235" s="1">
        <f t="shared" si="47"/>
        <v>9.3787875024197529</v>
      </c>
      <c r="U235" s="1">
        <f t="shared" si="48"/>
        <v>9.5134758511450386</v>
      </c>
      <c r="V235" s="1">
        <f t="shared" si="49"/>
        <v>0.58704237715971475</v>
      </c>
      <c r="W235" s="1">
        <f t="shared" si="52"/>
        <v>1.8140951282344164E-2</v>
      </c>
      <c r="X235" s="1">
        <f t="shared" si="53"/>
        <v>-0.13468834872528568</v>
      </c>
      <c r="Y235" s="39">
        <f t="shared" si="50"/>
        <v>85.898408534809846</v>
      </c>
      <c r="AB235">
        <v>230</v>
      </c>
      <c r="AC235" s="7">
        <v>0.48892441387209312</v>
      </c>
      <c r="AD235">
        <v>0.89938910181302378</v>
      </c>
      <c r="AE235">
        <v>0.95424539765793981</v>
      </c>
      <c r="AF235" s="7">
        <v>4.6834410362466009E-2</v>
      </c>
      <c r="AG235" s="10">
        <v>125.30243124608019</v>
      </c>
      <c r="AH235" s="1">
        <v>0.48548789178894114</v>
      </c>
      <c r="AI235" s="10">
        <v>21.254651473453329</v>
      </c>
      <c r="AJ235" s="32">
        <v>1724.4724467946901</v>
      </c>
      <c r="AK235">
        <v>320</v>
      </c>
      <c r="AL235" s="7">
        <v>0.25772230375840904</v>
      </c>
    </row>
    <row r="236" spans="1:38" x14ac:dyDescent="0.3">
      <c r="A236">
        <v>76978</v>
      </c>
      <c r="B236">
        <v>31</v>
      </c>
      <c r="C236">
        <v>7</v>
      </c>
      <c r="D236">
        <v>1982</v>
      </c>
      <c r="E236">
        <v>23</v>
      </c>
      <c r="F236">
        <v>10</v>
      </c>
      <c r="G236">
        <v>1982</v>
      </c>
      <c r="H236">
        <v>52</v>
      </c>
      <c r="I236" s="32">
        <f t="shared" si="41"/>
        <v>12.422205101855956</v>
      </c>
      <c r="J236" s="1">
        <v>0.23013698630137</v>
      </c>
      <c r="K236" s="32">
        <f t="shared" si="42"/>
        <v>12.511131166129093</v>
      </c>
      <c r="L236" s="32">
        <f t="shared" si="43"/>
        <v>52.643231930150776</v>
      </c>
      <c r="M236" s="1">
        <f t="shared" si="44"/>
        <v>2.1537652620548655E-2</v>
      </c>
      <c r="N236">
        <v>0.22522726794704795</v>
      </c>
      <c r="O236" s="32">
        <f t="shared" si="51"/>
        <v>12.54418487158693</v>
      </c>
      <c r="P236" s="32">
        <f t="shared" si="45"/>
        <v>52.883328394724529</v>
      </c>
      <c r="Q236">
        <v>0</v>
      </c>
      <c r="R236">
        <v>52</v>
      </c>
      <c r="S236" s="32">
        <f t="shared" si="46"/>
        <v>7.6914449855283769</v>
      </c>
      <c r="T236" s="1">
        <f t="shared" si="47"/>
        <v>7.7481544829782134</v>
      </c>
      <c r="U236" s="1">
        <f t="shared" si="48"/>
        <v>7.7322308124781625</v>
      </c>
      <c r="V236" s="1">
        <f t="shared" si="49"/>
        <v>0.24073319707967503</v>
      </c>
      <c r="W236" s="1">
        <f t="shared" si="52"/>
        <v>2.5356328219419276E-4</v>
      </c>
      <c r="X236" s="1">
        <f t="shared" si="53"/>
        <v>1.5923670500050946E-2</v>
      </c>
      <c r="Y236" s="39">
        <f t="shared" si="50"/>
        <v>52.634253026906904</v>
      </c>
      <c r="AB236">
        <v>231</v>
      </c>
      <c r="AC236" s="7">
        <v>0.72991104554460484</v>
      </c>
      <c r="AD236">
        <v>1.9493682542703898</v>
      </c>
      <c r="AE236">
        <v>0.95677867837611308</v>
      </c>
      <c r="AF236" s="7">
        <v>4.4183180339970478E-2</v>
      </c>
      <c r="AG236" s="10">
        <v>124.96208883920475</v>
      </c>
      <c r="AH236" s="1">
        <v>1.4660867422498485</v>
      </c>
      <c r="AI236" s="10">
        <v>218.82857262271855</v>
      </c>
      <c r="AJ236" s="32">
        <v>1793.5215048306036</v>
      </c>
      <c r="AK236">
        <v>320</v>
      </c>
      <c r="AL236" s="7">
        <v>0.82694575967592665</v>
      </c>
    </row>
    <row r="237" spans="1:38" x14ac:dyDescent="0.3">
      <c r="A237">
        <v>22566</v>
      </c>
      <c r="B237">
        <v>24</v>
      </c>
      <c r="C237">
        <v>7</v>
      </c>
      <c r="D237">
        <v>1982</v>
      </c>
      <c r="E237">
        <v>10</v>
      </c>
      <c r="F237">
        <v>9</v>
      </c>
      <c r="G237">
        <v>1989</v>
      </c>
      <c r="H237">
        <v>60</v>
      </c>
      <c r="I237" s="32">
        <f t="shared" si="41"/>
        <v>13.491933384829668</v>
      </c>
      <c r="J237" s="1">
        <v>7.13698630136986</v>
      </c>
      <c r="K237" s="32">
        <f t="shared" si="42"/>
        <v>15.486996547764946</v>
      </c>
      <c r="L237" s="32">
        <f t="shared" si="43"/>
        <v>76.448762065385779</v>
      </c>
      <c r="M237" s="1">
        <f t="shared" si="44"/>
        <v>0.47919726180868932</v>
      </c>
      <c r="N237">
        <v>-1.48949766298756</v>
      </c>
      <c r="O237" s="32">
        <f t="shared" si="51"/>
        <v>14.455905562123469</v>
      </c>
      <c r="P237" s="32">
        <f t="shared" si="45"/>
        <v>67.699206967381528</v>
      </c>
      <c r="Q237">
        <v>34</v>
      </c>
      <c r="R237">
        <v>94</v>
      </c>
      <c r="S237" s="32">
        <f t="shared" si="46"/>
        <v>8.1826710278683468</v>
      </c>
      <c r="T237" s="1">
        <f t="shared" si="47"/>
        <v>8.614197587905073</v>
      </c>
      <c r="U237" s="1">
        <f t="shared" si="48"/>
        <v>9.052111876055692</v>
      </c>
      <c r="V237" s="1">
        <f t="shared" si="49"/>
        <v>5.1091398691740917</v>
      </c>
      <c r="W237" s="1">
        <f t="shared" si="52"/>
        <v>0.19176892376646343</v>
      </c>
      <c r="X237" s="1">
        <f t="shared" si="53"/>
        <v>-0.43791428815061906</v>
      </c>
      <c r="Y237" s="39">
        <f t="shared" si="50"/>
        <v>76.186737417561048</v>
      </c>
      <c r="AB237">
        <v>232</v>
      </c>
      <c r="AC237" s="7">
        <v>0.11300579136099817</v>
      </c>
      <c r="AD237">
        <v>0.34920409094226523</v>
      </c>
      <c r="AE237">
        <v>0.94468156448080642</v>
      </c>
      <c r="AF237" s="7">
        <v>5.6907377078518236E-2</v>
      </c>
      <c r="AG237" s="10">
        <v>117.31563031849664</v>
      </c>
      <c r="AH237" s="1">
        <v>9.4780520162622228E-2</v>
      </c>
      <c r="AI237" s="10">
        <v>0.96335070349385843</v>
      </c>
      <c r="AJ237" s="32">
        <v>1784.6448282523738</v>
      </c>
      <c r="AK237">
        <v>320</v>
      </c>
      <c r="AL237" s="7">
        <v>5.4867758733324508E-2</v>
      </c>
    </row>
    <row r="238" spans="1:38" x14ac:dyDescent="0.3">
      <c r="A238">
        <v>22974</v>
      </c>
      <c r="B238">
        <v>29</v>
      </c>
      <c r="C238">
        <v>7</v>
      </c>
      <c r="D238">
        <v>1982</v>
      </c>
      <c r="E238">
        <v>7</v>
      </c>
      <c r="F238">
        <v>6</v>
      </c>
      <c r="G238">
        <v>1985</v>
      </c>
      <c r="H238">
        <v>51</v>
      </c>
      <c r="I238" s="32">
        <f t="shared" si="41"/>
        <v>12.282856857085701</v>
      </c>
      <c r="J238" s="1">
        <v>2.86027397260274</v>
      </c>
      <c r="K238" s="32">
        <f t="shared" si="42"/>
        <v>13.335923652982954</v>
      </c>
      <c r="L238" s="32">
        <f t="shared" si="43"/>
        <v>58.797638572530509</v>
      </c>
      <c r="M238" s="1">
        <f t="shared" si="44"/>
        <v>0.23473422506316644</v>
      </c>
      <c r="N238">
        <v>0.35879565984942019</v>
      </c>
      <c r="O238" s="32">
        <f t="shared" si="51"/>
        <v>13.509757919287265</v>
      </c>
      <c r="P238" s="32">
        <f t="shared" si="45"/>
        <v>60.138147678723513</v>
      </c>
      <c r="Q238">
        <v>32</v>
      </c>
      <c r="R238">
        <v>83</v>
      </c>
      <c r="S238" s="32">
        <f t="shared" si="46"/>
        <v>7.6264331628561637</v>
      </c>
      <c r="T238" s="1">
        <f t="shared" si="47"/>
        <v>8.190742945334808</v>
      </c>
      <c r="U238" s="1">
        <f t="shared" si="48"/>
        <v>8.1060642818100828</v>
      </c>
      <c r="V238" s="1">
        <f t="shared" si="49"/>
        <v>2.5728086670688244</v>
      </c>
      <c r="W238" s="1">
        <f t="shared" si="52"/>
        <v>7.1704760563336255E-3</v>
      </c>
      <c r="X238" s="1">
        <f t="shared" si="53"/>
        <v>8.4678663524725195E-2</v>
      </c>
      <c r="Y238" s="39">
        <f t="shared" si="50"/>
        <v>58.699840520051396</v>
      </c>
      <c r="AB238">
        <v>233</v>
      </c>
      <c r="AC238" s="7">
        <v>0.32049788361167847</v>
      </c>
      <c r="AD238">
        <v>0.64466170168894199</v>
      </c>
      <c r="AE238">
        <v>0.94200262980095872</v>
      </c>
      <c r="AF238" s="7">
        <v>5.9747212688907862E-2</v>
      </c>
      <c r="AG238" s="10">
        <v>113.97087347578679</v>
      </c>
      <c r="AH238" s="1">
        <v>0.26461008123585039</v>
      </c>
      <c r="AI238" s="10">
        <v>7.1137973747975183</v>
      </c>
      <c r="AJ238" s="32">
        <v>1839.4707975272972</v>
      </c>
      <c r="AK238">
        <v>320</v>
      </c>
      <c r="AL238" s="7">
        <v>0.1490993520986669</v>
      </c>
    </row>
    <row r="239" spans="1:38" x14ac:dyDescent="0.3">
      <c r="A239">
        <v>22905</v>
      </c>
      <c r="B239">
        <v>28</v>
      </c>
      <c r="C239">
        <v>7</v>
      </c>
      <c r="D239">
        <v>1982</v>
      </c>
      <c r="E239">
        <v>15</v>
      </c>
      <c r="F239">
        <v>9</v>
      </c>
      <c r="G239">
        <v>1983</v>
      </c>
      <c r="H239">
        <v>60</v>
      </c>
      <c r="I239" s="32">
        <f t="shared" si="41"/>
        <v>13.491933384829668</v>
      </c>
      <c r="J239" s="1">
        <v>1.13424657534247</v>
      </c>
      <c r="K239" s="32">
        <f t="shared" si="42"/>
        <v>13.859763976700599</v>
      </c>
      <c r="L239" s="32">
        <f t="shared" si="43"/>
        <v>62.883028349162494</v>
      </c>
      <c r="M239" s="1">
        <f t="shared" si="44"/>
        <v>0.10139440917859188</v>
      </c>
      <c r="N239">
        <v>-0.54532847570953891</v>
      </c>
      <c r="O239" s="32">
        <f t="shared" si="51"/>
        <v>13.686117818001666</v>
      </c>
      <c r="P239" s="32">
        <f t="shared" si="45"/>
        <v>61.513573050057339</v>
      </c>
      <c r="Q239">
        <v>0</v>
      </c>
      <c r="R239">
        <v>60</v>
      </c>
      <c r="S239" s="32">
        <f t="shared" si="46"/>
        <v>8.1826710278683468</v>
      </c>
      <c r="T239" s="1">
        <f t="shared" si="47"/>
        <v>8.2704158242272232</v>
      </c>
      <c r="U239" s="1">
        <f t="shared" si="48"/>
        <v>8.3465191478617111</v>
      </c>
      <c r="V239" s="1">
        <f t="shared" si="49"/>
        <v>1.1254578689466554</v>
      </c>
      <c r="W239" s="1">
        <f t="shared" si="52"/>
        <v>5.7917158682156055E-3</v>
      </c>
      <c r="X239" s="1">
        <f t="shared" si="53"/>
        <v>-7.6103323634487907E-2</v>
      </c>
      <c r="Y239" s="39">
        <f t="shared" si="50"/>
        <v>62.847601070871036</v>
      </c>
      <c r="AB239">
        <v>234</v>
      </c>
      <c r="AC239" s="7">
        <v>0.45610946978686828</v>
      </c>
      <c r="AD239">
        <v>0.81665887372346491</v>
      </c>
      <c r="AE239">
        <v>0.95528271428967426</v>
      </c>
      <c r="AF239" s="7">
        <v>4.5747946405971372E-2</v>
      </c>
      <c r="AG239" s="10">
        <v>133.78335403794321</v>
      </c>
      <c r="AH239" s="1">
        <v>0.41720313160107636</v>
      </c>
      <c r="AI239" s="10">
        <v>17.295843361216999</v>
      </c>
      <c r="AJ239" s="32">
        <v>1754.3211936168966</v>
      </c>
      <c r="AK239">
        <v>320</v>
      </c>
      <c r="AL239" s="7">
        <v>0.23248550600801574</v>
      </c>
    </row>
    <row r="240" spans="1:38" x14ac:dyDescent="0.3">
      <c r="A240">
        <v>22679</v>
      </c>
      <c r="B240">
        <v>26</v>
      </c>
      <c r="C240">
        <v>7</v>
      </c>
      <c r="D240">
        <v>1982</v>
      </c>
      <c r="E240">
        <v>7</v>
      </c>
      <c r="F240">
        <v>5</v>
      </c>
      <c r="G240">
        <v>1988</v>
      </c>
      <c r="H240">
        <v>88</v>
      </c>
      <c r="I240" s="32">
        <f t="shared" si="41"/>
        <v>16.761663039293719</v>
      </c>
      <c r="J240" s="1">
        <v>5.7863013698630104</v>
      </c>
      <c r="K240" s="32">
        <f t="shared" si="42"/>
        <v>17.593288110485805</v>
      </c>
      <c r="L240" s="32">
        <f t="shared" si="43"/>
        <v>95.974234745126097</v>
      </c>
      <c r="M240" s="1">
        <f t="shared" si="44"/>
        <v>0.41322738839670492</v>
      </c>
      <c r="N240">
        <v>0.10411099538032431</v>
      </c>
      <c r="O240" s="32">
        <f t="shared" si="51"/>
        <v>17.660213537049451</v>
      </c>
      <c r="P240" s="32">
        <f t="shared" si="45"/>
        <v>96.630999080595615</v>
      </c>
      <c r="Q240">
        <v>22</v>
      </c>
      <c r="R240">
        <v>110</v>
      </c>
      <c r="S240" s="32">
        <f t="shared" si="46"/>
        <v>9.6084967093666851</v>
      </c>
      <c r="T240" s="1">
        <f t="shared" si="47"/>
        <v>9.9830122365125575</v>
      </c>
      <c r="U240" s="1">
        <f t="shared" si="48"/>
        <v>9.9267952630078646</v>
      </c>
      <c r="V240" s="1">
        <f t="shared" si="49"/>
        <v>4.441919276230192</v>
      </c>
      <c r="W240" s="1">
        <f t="shared" si="52"/>
        <v>3.1603481100273439E-3</v>
      </c>
      <c r="X240" s="1">
        <f t="shared" si="53"/>
        <v>5.6216973504692902E-2</v>
      </c>
      <c r="Y240" s="39">
        <f t="shared" si="50"/>
        <v>95.299571557423263</v>
      </c>
      <c r="AB240">
        <v>235</v>
      </c>
      <c r="AC240" s="7">
        <v>0.68047731544356982</v>
      </c>
      <c r="AD240">
        <v>1.5015088223162256</v>
      </c>
      <c r="AE240">
        <v>0.9598474221451927</v>
      </c>
      <c r="AF240" s="7">
        <v>4.098094241722712E-2</v>
      </c>
      <c r="AG240" s="10">
        <v>123.09794445232691</v>
      </c>
      <c r="AH240" s="1">
        <v>1.0618952703793887</v>
      </c>
      <c r="AI240" s="10">
        <v>132.05545460330228</v>
      </c>
      <c r="AJ240" s="32">
        <v>1771.2830927171549</v>
      </c>
      <c r="AK240">
        <v>320</v>
      </c>
      <c r="AL240" s="7">
        <v>0.64239652523602553</v>
      </c>
    </row>
    <row r="241" spans="1:38" x14ac:dyDescent="0.3">
      <c r="A241">
        <v>22624</v>
      </c>
      <c r="B241">
        <v>26</v>
      </c>
      <c r="C241">
        <v>7</v>
      </c>
      <c r="D241">
        <v>1982</v>
      </c>
      <c r="E241">
        <v>13</v>
      </c>
      <c r="F241">
        <v>6</v>
      </c>
      <c r="G241">
        <v>1985</v>
      </c>
      <c r="H241">
        <v>78</v>
      </c>
      <c r="I241" s="32">
        <f t="shared" si="41"/>
        <v>15.663521732655695</v>
      </c>
      <c r="J241" s="1">
        <v>2.88493150684931</v>
      </c>
      <c r="K241" s="32">
        <f t="shared" si="42"/>
        <v>16.260002591562184</v>
      </c>
      <c r="L241" s="32">
        <f t="shared" si="43"/>
        <v>83.356923660964426</v>
      </c>
      <c r="M241" s="1">
        <f t="shared" si="44"/>
        <v>0.23647320983279083</v>
      </c>
      <c r="N241">
        <v>0.64140976974158548</v>
      </c>
      <c r="O241" s="32">
        <f t="shared" si="51"/>
        <v>16.571910613067786</v>
      </c>
      <c r="P241" s="32">
        <f t="shared" si="45"/>
        <v>86.228965954944968</v>
      </c>
      <c r="Q241">
        <v>11</v>
      </c>
      <c r="R241">
        <v>89</v>
      </c>
      <c r="S241" s="32">
        <f t="shared" si="46"/>
        <v>9.1412290377968759</v>
      </c>
      <c r="T241" s="1">
        <f t="shared" si="47"/>
        <v>9.5285276432304862</v>
      </c>
      <c r="U241" s="1">
        <f t="shared" si="48"/>
        <v>9.3868700379314749</v>
      </c>
      <c r="V241" s="1">
        <f t="shared" si="49"/>
        <v>2.5914174754376211</v>
      </c>
      <c r="W241" s="1">
        <f t="shared" si="52"/>
        <v>2.0066877139050469E-2</v>
      </c>
      <c r="X241" s="1">
        <f t="shared" si="53"/>
        <v>0.14165760529901128</v>
      </c>
      <c r="Y241" s="39">
        <f t="shared" si="50"/>
        <v>83.152669207354506</v>
      </c>
      <c r="AB241">
        <v>236</v>
      </c>
      <c r="AC241" s="7">
        <v>0.27394572453817484</v>
      </c>
      <c r="AD241">
        <v>0.60935332399899289</v>
      </c>
      <c r="AE241">
        <v>0.93690136664284207</v>
      </c>
      <c r="AF241" s="7">
        <v>6.5177267340134487E-2</v>
      </c>
      <c r="AG241" s="10">
        <v>112.36484963743672</v>
      </c>
      <c r="AH241" s="1">
        <v>0.23002837119980724</v>
      </c>
      <c r="AI241" s="10">
        <v>4.5440018159830169</v>
      </c>
      <c r="AJ241" s="32">
        <v>1824.9543391896211</v>
      </c>
      <c r="AK241">
        <v>320</v>
      </c>
      <c r="AL241" s="7">
        <v>0.11916377668967583</v>
      </c>
    </row>
    <row r="242" spans="1:38" x14ac:dyDescent="0.3">
      <c r="A242">
        <v>78764</v>
      </c>
      <c r="B242">
        <v>25</v>
      </c>
      <c r="C242">
        <v>7</v>
      </c>
      <c r="D242">
        <v>1982</v>
      </c>
      <c r="E242">
        <v>9</v>
      </c>
      <c r="F242">
        <v>5</v>
      </c>
      <c r="G242">
        <v>1986</v>
      </c>
      <c r="H242">
        <v>75</v>
      </c>
      <c r="I242" s="32">
        <f t="shared" si="41"/>
        <v>15.320508075688775</v>
      </c>
      <c r="J242" s="1">
        <v>3.79178082191781</v>
      </c>
      <c r="K242" s="32">
        <f t="shared" si="42"/>
        <v>16.147598920563091</v>
      </c>
      <c r="L242" s="32">
        <f t="shared" si="43"/>
        <v>82.333836645405668</v>
      </c>
      <c r="M242" s="1">
        <f t="shared" si="44"/>
        <v>0.29746721232943912</v>
      </c>
      <c r="N242">
        <v>-1.1657380127871875</v>
      </c>
      <c r="O242" s="32">
        <f t="shared" si="51"/>
        <v>15.511798940297096</v>
      </c>
      <c r="P242" s="32">
        <f t="shared" si="45"/>
        <v>76.665775531347634</v>
      </c>
      <c r="Q242">
        <v>7</v>
      </c>
      <c r="R242">
        <v>82</v>
      </c>
      <c r="S242" s="32">
        <f t="shared" si="46"/>
        <v>8.9929875760017879</v>
      </c>
      <c r="T242" s="1">
        <f t="shared" si="47"/>
        <v>9.0757970781697139</v>
      </c>
      <c r="U242" s="1">
        <f t="shared" si="48"/>
        <v>9.3373725730295334</v>
      </c>
      <c r="V242" s="1">
        <f t="shared" si="49"/>
        <v>3.2394064264368536</v>
      </c>
      <c r="W242" s="1">
        <f t="shared" si="52"/>
        <v>6.842173951115943E-2</v>
      </c>
      <c r="X242" s="1">
        <f t="shared" si="53"/>
        <v>-0.26157549485981946</v>
      </c>
      <c r="Y242" s="39">
        <f t="shared" si="50"/>
        <v>82.095957711815856</v>
      </c>
      <c r="AB242">
        <v>237</v>
      </c>
      <c r="AC242" s="7">
        <v>0.20940898917695286</v>
      </c>
      <c r="AD242">
        <v>0.47500802214519083</v>
      </c>
      <c r="AE242">
        <v>0.94125608028773089</v>
      </c>
      <c r="AF242" s="7">
        <v>6.0540040087856031E-2</v>
      </c>
      <c r="AG242" s="10">
        <v>113.43732946345727</v>
      </c>
      <c r="AH242" s="1">
        <v>0.15821486948063718</v>
      </c>
      <c r="AI242" s="10">
        <v>2.0958872335563163</v>
      </c>
      <c r="AJ242" s="32">
        <v>1759.8125269971692</v>
      </c>
      <c r="AK242">
        <v>320</v>
      </c>
      <c r="AL242" s="7">
        <v>8.0929893147485915E-2</v>
      </c>
    </row>
    <row r="243" spans="1:38" x14ac:dyDescent="0.3">
      <c r="A243">
        <v>79294</v>
      </c>
      <c r="B243">
        <v>23</v>
      </c>
      <c r="C243">
        <v>8</v>
      </c>
      <c r="D243">
        <v>1982</v>
      </c>
      <c r="E243">
        <v>21</v>
      </c>
      <c r="F243">
        <v>6</v>
      </c>
      <c r="G243">
        <v>1987</v>
      </c>
      <c r="H243">
        <v>88</v>
      </c>
      <c r="I243" s="32">
        <f t="shared" si="41"/>
        <v>16.761663039293719</v>
      </c>
      <c r="J243" s="1">
        <v>4.8301369863013699</v>
      </c>
      <c r="K243" s="32">
        <f t="shared" si="42"/>
        <v>17.472308903632449</v>
      </c>
      <c r="L243" s="32">
        <f t="shared" si="43"/>
        <v>94.792703509620878</v>
      </c>
      <c r="M243" s="1">
        <f t="shared" si="44"/>
        <v>0.3606814480891658</v>
      </c>
      <c r="N243">
        <v>-1.169064489658922</v>
      </c>
      <c r="O243" s="32">
        <f t="shared" si="51"/>
        <v>16.770206643071411</v>
      </c>
      <c r="P243" s="32">
        <f t="shared" si="45"/>
        <v>88.080164355900536</v>
      </c>
      <c r="Q243">
        <v>5</v>
      </c>
      <c r="R243">
        <v>93</v>
      </c>
      <c r="S243" s="32">
        <f t="shared" si="46"/>
        <v>9.6084967093666851</v>
      </c>
      <c r="T243" s="1">
        <f t="shared" si="47"/>
        <v>9.6120899373084114</v>
      </c>
      <c r="U243" s="1">
        <f t="shared" si="48"/>
        <v>9.8814195757906287</v>
      </c>
      <c r="V243" s="1">
        <f t="shared" si="49"/>
        <v>3.9007715216793715</v>
      </c>
      <c r="W243" s="1">
        <f t="shared" si="52"/>
        <v>7.2538454164961838E-2</v>
      </c>
      <c r="X243" s="1">
        <f t="shared" si="53"/>
        <v>-0.26932963848221725</v>
      </c>
      <c r="Y243" s="39">
        <f t="shared" si="50"/>
        <v>94.234226459484745</v>
      </c>
      <c r="AB243">
        <v>238</v>
      </c>
      <c r="AC243" s="7">
        <v>0.54136746253449186</v>
      </c>
      <c r="AD243">
        <v>1.0661636159394032</v>
      </c>
      <c r="AE243">
        <v>0.95336204002752822</v>
      </c>
      <c r="AF243" s="7">
        <v>4.7760552372715495E-2</v>
      </c>
      <c r="AG243" s="10">
        <v>120.36888252784023</v>
      </c>
      <c r="AH243" s="1">
        <v>0.62382425138018505</v>
      </c>
      <c r="AI243" s="10">
        <v>36.882099580081587</v>
      </c>
      <c r="AJ243" s="32">
        <v>1751.2330685925003</v>
      </c>
      <c r="AK243">
        <v>320</v>
      </c>
      <c r="AL243" s="7">
        <v>0.33949456724335803</v>
      </c>
    </row>
    <row r="244" spans="1:38" x14ac:dyDescent="0.3">
      <c r="A244">
        <v>79440</v>
      </c>
      <c r="B244">
        <v>3</v>
      </c>
      <c r="C244">
        <v>9</v>
      </c>
      <c r="D244">
        <v>1982</v>
      </c>
      <c r="E244">
        <v>15</v>
      </c>
      <c r="F244">
        <v>6</v>
      </c>
      <c r="G244">
        <v>1983</v>
      </c>
      <c r="H244">
        <v>88</v>
      </c>
      <c r="I244" s="32">
        <f t="shared" si="41"/>
        <v>16.761663039293719</v>
      </c>
      <c r="J244" s="1">
        <v>0.78082191780821897</v>
      </c>
      <c r="K244" s="32">
        <f t="shared" si="42"/>
        <v>16.888798500579725</v>
      </c>
      <c r="L244" s="32">
        <f t="shared" si="43"/>
        <v>89.196677198875719</v>
      </c>
      <c r="M244" s="1">
        <f t="shared" si="44"/>
        <v>7.1056315085784014E-2</v>
      </c>
      <c r="N244">
        <v>1.7020374798448756</v>
      </c>
      <c r="O244" s="32">
        <f t="shared" si="51"/>
        <v>17.34250025650443</v>
      </c>
      <c r="P244" s="32">
        <f t="shared" si="45"/>
        <v>93.533079043218478</v>
      </c>
      <c r="Q244">
        <v>1</v>
      </c>
      <c r="R244">
        <v>89</v>
      </c>
      <c r="S244" s="32">
        <f t="shared" si="46"/>
        <v>9.6084967093666851</v>
      </c>
      <c r="T244" s="1">
        <f t="shared" si="47"/>
        <v>9.8513615328573927</v>
      </c>
      <c r="U244" s="1">
        <f t="shared" si="48"/>
        <v>9.6580688712289628</v>
      </c>
      <c r="V244" s="1">
        <f t="shared" si="49"/>
        <v>0.79083723808247897</v>
      </c>
      <c r="W244" s="1">
        <f t="shared" si="52"/>
        <v>3.7362053039402675E-2</v>
      </c>
      <c r="X244" s="1">
        <f t="shared" si="53"/>
        <v>0.19329266162842984</v>
      </c>
      <c r="Y244" s="39">
        <f t="shared" si="50"/>
        <v>89.110421858372021</v>
      </c>
      <c r="AB244">
        <v>239</v>
      </c>
      <c r="AC244" s="7">
        <v>0.73249610031040835</v>
      </c>
      <c r="AD244">
        <v>2.0618376046496998</v>
      </c>
      <c r="AE244">
        <v>0.95403058216783521</v>
      </c>
      <c r="AF244" s="7">
        <v>4.7059551267956634E-2</v>
      </c>
      <c r="AG244" s="10">
        <v>122.52344959407107</v>
      </c>
      <c r="AH244" s="1">
        <v>1.5562574227114234</v>
      </c>
      <c r="AI244" s="10">
        <v>207.54108243385218</v>
      </c>
      <c r="AJ244" s="32">
        <v>1767.6584762972336</v>
      </c>
      <c r="AK244">
        <v>320</v>
      </c>
      <c r="AL244" s="7">
        <v>0.80533588185662508</v>
      </c>
    </row>
    <row r="245" spans="1:38" x14ac:dyDescent="0.3">
      <c r="A245">
        <v>22984</v>
      </c>
      <c r="B245">
        <v>29</v>
      </c>
      <c r="C245">
        <v>7</v>
      </c>
      <c r="D245">
        <v>1982</v>
      </c>
      <c r="E245">
        <v>10</v>
      </c>
      <c r="F245">
        <v>5</v>
      </c>
      <c r="G245">
        <v>1988</v>
      </c>
      <c r="H245">
        <v>65</v>
      </c>
      <c r="I245" s="32">
        <f t="shared" si="41"/>
        <v>14.124515496597098</v>
      </c>
      <c r="J245" s="1">
        <v>5.7863013698630104</v>
      </c>
      <c r="K245" s="32">
        <f t="shared" si="42"/>
        <v>15.633376457553048</v>
      </c>
      <c r="L245" s="32">
        <f t="shared" si="43"/>
        <v>77.733991323446517</v>
      </c>
      <c r="M245" s="1">
        <f t="shared" si="44"/>
        <v>0.41322738839670492</v>
      </c>
      <c r="N245">
        <v>0.34885943023255095</v>
      </c>
      <c r="O245" s="32">
        <f t="shared" si="51"/>
        <v>15.857632945484735</v>
      </c>
      <c r="P245" s="32">
        <f t="shared" si="45"/>
        <v>79.723763603915444</v>
      </c>
      <c r="Q245">
        <v>21</v>
      </c>
      <c r="R245">
        <v>86</v>
      </c>
      <c r="S245" s="32">
        <f t="shared" si="46"/>
        <v>8.4669809135353606</v>
      </c>
      <c r="T245" s="1">
        <f t="shared" si="47"/>
        <v>9.2246252647756979</v>
      </c>
      <c r="U245" s="1">
        <f t="shared" si="48"/>
        <v>9.1163150945291545</v>
      </c>
      <c r="V245" s="1">
        <f t="shared" si="49"/>
        <v>4.441919276230192</v>
      </c>
      <c r="W245" s="1">
        <f t="shared" si="52"/>
        <v>1.1731092978835223E-2</v>
      </c>
      <c r="X245" s="1">
        <f t="shared" si="53"/>
        <v>0.10831017024654344</v>
      </c>
      <c r="Y245" s="39">
        <f t="shared" si="50"/>
        <v>77.490096910922944</v>
      </c>
      <c r="AB245">
        <v>240</v>
      </c>
      <c r="AC245" s="7">
        <v>0.40361591229229532</v>
      </c>
      <c r="AD245">
        <v>0.77206958271904891</v>
      </c>
      <c r="AE245">
        <v>0.94620779114430997</v>
      </c>
      <c r="AF245" s="7">
        <v>5.5293081677888489E-2</v>
      </c>
      <c r="AG245" s="10">
        <v>115.21849540275467</v>
      </c>
      <c r="AH245" s="1">
        <v>0.36541177783797074</v>
      </c>
      <c r="AI245" s="10">
        <v>11.472283368315363</v>
      </c>
      <c r="AJ245" s="32">
        <v>1760.4073587626983</v>
      </c>
      <c r="AK245">
        <v>320</v>
      </c>
      <c r="AL245" s="7">
        <v>0.18934330071588357</v>
      </c>
    </row>
    <row r="246" spans="1:38" x14ac:dyDescent="0.3">
      <c r="A246">
        <v>78893</v>
      </c>
      <c r="B246">
        <v>27</v>
      </c>
      <c r="C246">
        <v>7</v>
      </c>
      <c r="D246">
        <v>1982</v>
      </c>
      <c r="E246">
        <v>29</v>
      </c>
      <c r="F246">
        <v>7</v>
      </c>
      <c r="G246">
        <v>1984</v>
      </c>
      <c r="H246">
        <v>78</v>
      </c>
      <c r="I246" s="32">
        <f t="shared" si="41"/>
        <v>15.663521732655695</v>
      </c>
      <c r="J246" s="1">
        <v>2.0082191780821899</v>
      </c>
      <c r="K246" s="32">
        <f t="shared" si="42"/>
        <v>16.087977975787936</v>
      </c>
      <c r="L246" s="32">
        <f t="shared" si="43"/>
        <v>81.793736813147362</v>
      </c>
      <c r="M246" s="1">
        <f t="shared" si="44"/>
        <v>0.17185867739246896</v>
      </c>
      <c r="N246">
        <v>-3.1741365091875196E-3</v>
      </c>
      <c r="O246" s="32">
        <f t="shared" si="51"/>
        <v>16.086662110795562</v>
      </c>
      <c r="P246" s="32">
        <f t="shared" si="45"/>
        <v>81.781836577521943</v>
      </c>
      <c r="Q246">
        <v>3</v>
      </c>
      <c r="R246">
        <v>81</v>
      </c>
      <c r="S246" s="32">
        <f t="shared" si="46"/>
        <v>9.1412290377968759</v>
      </c>
      <c r="T246" s="1">
        <f t="shared" si="47"/>
        <v>9.3225736821419201</v>
      </c>
      <c r="U246" s="1">
        <f t="shared" si="48"/>
        <v>9.3166060825109795</v>
      </c>
      <c r="V246" s="1">
        <f t="shared" si="49"/>
        <v>1.895234773267424</v>
      </c>
      <c r="W246" s="1">
        <f t="shared" si="52"/>
        <v>3.5612245355201336E-5</v>
      </c>
      <c r="X246" s="1">
        <f t="shared" si="53"/>
        <v>5.9675996309405122E-3</v>
      </c>
      <c r="Y246" s="39">
        <f t="shared" si="50"/>
        <v>81.655404506959371</v>
      </c>
      <c r="AB246">
        <v>241</v>
      </c>
      <c r="AC246" s="7">
        <v>0.62076955458516592</v>
      </c>
      <c r="AD246">
        <v>1.5748339738093668</v>
      </c>
      <c r="AE246">
        <v>0.94702723252614573</v>
      </c>
      <c r="AF246" s="7">
        <v>5.4427429582124875E-2</v>
      </c>
      <c r="AG246" s="10">
        <v>119.26222538226087</v>
      </c>
      <c r="AH246" s="1">
        <v>1.0305817519410818</v>
      </c>
      <c r="AI246" s="10">
        <v>93.558154149696819</v>
      </c>
      <c r="AJ246" s="32">
        <v>1823.6929634982989</v>
      </c>
      <c r="AK246">
        <v>320</v>
      </c>
      <c r="AL246" s="7">
        <v>0.54071178248471941</v>
      </c>
    </row>
    <row r="247" spans="1:38" x14ac:dyDescent="0.3">
      <c r="A247">
        <v>76981</v>
      </c>
      <c r="B247">
        <v>31</v>
      </c>
      <c r="C247">
        <v>7</v>
      </c>
      <c r="D247">
        <v>1982</v>
      </c>
      <c r="E247">
        <v>8</v>
      </c>
      <c r="F247">
        <v>6</v>
      </c>
      <c r="G247">
        <v>1992</v>
      </c>
      <c r="H247">
        <v>69</v>
      </c>
      <c r="I247" s="32">
        <f t="shared" si="41"/>
        <v>14.61324772583615</v>
      </c>
      <c r="J247" s="1">
        <v>9.8630136986301409</v>
      </c>
      <c r="K247" s="32">
        <f t="shared" si="42"/>
        <v>16.752010493336407</v>
      </c>
      <c r="L247" s="32">
        <f t="shared" si="43"/>
        <v>87.909474385549672</v>
      </c>
      <c r="M247" s="1">
        <f t="shared" si="44"/>
        <v>0.5874837469868649</v>
      </c>
      <c r="N247">
        <v>-0.44532271203934215</v>
      </c>
      <c r="O247" s="32">
        <f t="shared" si="51"/>
        <v>16.410681819520519</v>
      </c>
      <c r="P247" s="32">
        <f t="shared" si="45"/>
        <v>84.738301264905843</v>
      </c>
      <c r="Q247">
        <v>70</v>
      </c>
      <c r="R247">
        <v>139</v>
      </c>
      <c r="S247" s="32">
        <f t="shared" si="46"/>
        <v>8.6836932879130497</v>
      </c>
      <c r="T247" s="1">
        <f t="shared" si="47"/>
        <v>9.4603308436225095</v>
      </c>
      <c r="U247" s="1">
        <f t="shared" si="48"/>
        <v>9.5780282347047567</v>
      </c>
      <c r="V247" s="1">
        <f t="shared" si="49"/>
        <v>6.1705228011300735</v>
      </c>
      <c r="W247" s="1">
        <f t="shared" si="52"/>
        <v>1.3852675867567442E-2</v>
      </c>
      <c r="X247" s="1">
        <f t="shared" si="53"/>
        <v>-0.11769739108224719</v>
      </c>
      <c r="Y247" s="39">
        <f t="shared" si="50"/>
        <v>87.322285165907147</v>
      </c>
      <c r="AB247">
        <v>242</v>
      </c>
      <c r="AC247" s="7">
        <v>0.96145719738349633</v>
      </c>
      <c r="AD247">
        <v>4.2676959879885423</v>
      </c>
      <c r="AE247">
        <v>0.96086945816927216</v>
      </c>
      <c r="AF247" s="7">
        <v>3.9916718812993572E-2</v>
      </c>
      <c r="AG247" s="10">
        <v>127.61354998818659</v>
      </c>
      <c r="AH247" s="1">
        <v>4.142337565726983</v>
      </c>
      <c r="AI247" s="10">
        <v>1556.6179458833781</v>
      </c>
      <c r="AJ247" s="32">
        <v>1771.9332270174818</v>
      </c>
      <c r="AK247">
        <v>320</v>
      </c>
      <c r="AL247" s="7">
        <v>2.2055455290892447</v>
      </c>
    </row>
    <row r="248" spans="1:38" x14ac:dyDescent="0.3">
      <c r="A248">
        <v>22825</v>
      </c>
      <c r="B248">
        <v>28</v>
      </c>
      <c r="C248">
        <v>7</v>
      </c>
      <c r="D248">
        <v>1982</v>
      </c>
      <c r="E248">
        <v>11</v>
      </c>
      <c r="F248">
        <v>5</v>
      </c>
      <c r="G248">
        <v>1986</v>
      </c>
      <c r="H248">
        <v>73</v>
      </c>
      <c r="I248" s="32">
        <f t="shared" si="41"/>
        <v>15.088007490635061</v>
      </c>
      <c r="J248" s="1">
        <v>3.7890410958904099</v>
      </c>
      <c r="K248" s="32">
        <f t="shared" si="42"/>
        <v>15.955624034729588</v>
      </c>
      <c r="L248" s="32">
        <f t="shared" si="43"/>
        <v>80.601108619139708</v>
      </c>
      <c r="M248" s="1">
        <f t="shared" si="44"/>
        <v>0.29729135428547715</v>
      </c>
      <c r="N248">
        <v>0.52414634410524741</v>
      </c>
      <c r="O248" s="32">
        <f t="shared" si="51"/>
        <v>16.241411844873209</v>
      </c>
      <c r="P248" s="32">
        <f t="shared" si="45"/>
        <v>83.187276523570148</v>
      </c>
      <c r="Q248">
        <v>13</v>
      </c>
      <c r="R248">
        <v>86</v>
      </c>
      <c r="S248" s="32">
        <f t="shared" si="46"/>
        <v>8.8918605482504951</v>
      </c>
      <c r="T248" s="1">
        <f t="shared" si="47"/>
        <v>9.3884836854437559</v>
      </c>
      <c r="U248" s="1">
        <f t="shared" si="48"/>
        <v>9.2563400253770283</v>
      </c>
      <c r="V248" s="1">
        <f t="shared" si="49"/>
        <v>3.2375516544042009</v>
      </c>
      <c r="W248" s="1">
        <f t="shared" si="52"/>
        <v>1.7461946895830863E-2</v>
      </c>
      <c r="X248" s="1">
        <f t="shared" si="53"/>
        <v>0.13214366006672762</v>
      </c>
      <c r="Y248" s="39">
        <f t="shared" si="50"/>
        <v>80.386168270667554</v>
      </c>
      <c r="AB248">
        <v>243</v>
      </c>
      <c r="AC248" s="7">
        <v>0.20989367152722138</v>
      </c>
      <c r="AD248">
        <v>0.47052340169857765</v>
      </c>
      <c r="AE248">
        <v>0.94198782395304348</v>
      </c>
      <c r="AF248" s="7">
        <v>5.9762930229181006E-2</v>
      </c>
      <c r="AG248" s="10">
        <v>114.02276159655975</v>
      </c>
      <c r="AH248" s="1">
        <v>0.15677206036894861</v>
      </c>
      <c r="AI248" s="10">
        <v>2.5038392141249886</v>
      </c>
      <c r="AJ248" s="32">
        <v>1815.9899531325518</v>
      </c>
      <c r="AK248">
        <v>320</v>
      </c>
      <c r="AL248" s="7">
        <v>8.845618997074535E-2</v>
      </c>
    </row>
    <row r="249" spans="1:38" x14ac:dyDescent="0.3">
      <c r="A249">
        <v>78898</v>
      </c>
      <c r="B249">
        <v>27</v>
      </c>
      <c r="C249">
        <v>7</v>
      </c>
      <c r="D249">
        <v>1982</v>
      </c>
      <c r="E249">
        <v>14</v>
      </c>
      <c r="F249">
        <v>6</v>
      </c>
      <c r="G249">
        <v>1983</v>
      </c>
      <c r="H249">
        <v>71</v>
      </c>
      <c r="I249" s="32">
        <f t="shared" si="41"/>
        <v>14.852299546352718</v>
      </c>
      <c r="J249" s="1">
        <v>0.88219178082191796</v>
      </c>
      <c r="K249" s="32">
        <f t="shared" si="42"/>
        <v>15.080044044235423</v>
      </c>
      <c r="L249" s="32">
        <f t="shared" si="43"/>
        <v>72.931976138255479</v>
      </c>
      <c r="M249" s="1">
        <f t="shared" si="44"/>
        <v>7.9870727151795648E-2</v>
      </c>
      <c r="N249">
        <v>-0.92248910732450895</v>
      </c>
      <c r="O249" s="32">
        <f t="shared" si="51"/>
        <v>14.819335619272225</v>
      </c>
      <c r="P249" s="32">
        <f t="shared" si="45"/>
        <v>70.722512668429843</v>
      </c>
      <c r="Q249">
        <v>3</v>
      </c>
      <c r="R249">
        <v>74</v>
      </c>
      <c r="S249" s="32">
        <f t="shared" si="46"/>
        <v>8.788793609685694</v>
      </c>
      <c r="T249" s="1">
        <f t="shared" si="47"/>
        <v>8.774335299958322</v>
      </c>
      <c r="U249" s="1">
        <f t="shared" si="48"/>
        <v>8.8863384525856137</v>
      </c>
      <c r="V249" s="1">
        <f t="shared" si="49"/>
        <v>0.88824977265805949</v>
      </c>
      <c r="W249" s="1">
        <f t="shared" si="52"/>
        <v>1.2544706198452415E-2</v>
      </c>
      <c r="X249" s="1">
        <f t="shared" si="53"/>
        <v>-0.11200315262729177</v>
      </c>
      <c r="Y249" s="39">
        <f t="shared" si="50"/>
        <v>72.891866152637391</v>
      </c>
      <c r="AB249">
        <v>244</v>
      </c>
      <c r="AC249" s="7">
        <v>0.30926439075928197</v>
      </c>
      <c r="AD249">
        <v>0.58271763277836675</v>
      </c>
      <c r="AE249">
        <v>0.94730706124586339</v>
      </c>
      <c r="AF249" s="7">
        <v>5.413199205277959E-2</v>
      </c>
      <c r="AG249" s="10">
        <v>122.17530481077485</v>
      </c>
      <c r="AH249" s="1">
        <v>0.2329067524400292</v>
      </c>
      <c r="AI249" s="10">
        <v>5.9824427185928331</v>
      </c>
      <c r="AJ249" s="32">
        <v>1821.2377613644253</v>
      </c>
      <c r="AK249">
        <v>320</v>
      </c>
      <c r="AL249" s="7">
        <v>0.13673014845162204</v>
      </c>
    </row>
    <row r="250" spans="1:38" x14ac:dyDescent="0.3">
      <c r="A250">
        <v>76983</v>
      </c>
      <c r="B250">
        <v>31</v>
      </c>
      <c r="C250">
        <v>7</v>
      </c>
      <c r="D250">
        <v>1982</v>
      </c>
      <c r="E250">
        <v>22</v>
      </c>
      <c r="F250">
        <v>5</v>
      </c>
      <c r="G250">
        <v>1983</v>
      </c>
      <c r="H250">
        <v>91</v>
      </c>
      <c r="I250" s="32">
        <f t="shared" si="41"/>
        <v>17.078784028338912</v>
      </c>
      <c r="J250" s="1">
        <v>0.80821917808219201</v>
      </c>
      <c r="K250" s="32">
        <f t="shared" si="42"/>
        <v>17.19741071638234</v>
      </c>
      <c r="L250" s="32">
        <f t="shared" si="43"/>
        <v>92.13514455336788</v>
      </c>
      <c r="M250" s="1">
        <f t="shared" si="44"/>
        <v>7.3447634856023028E-2</v>
      </c>
      <c r="N250">
        <v>1.5724435797892511</v>
      </c>
      <c r="O250" s="32">
        <f t="shared" si="51"/>
        <v>17.623562175031299</v>
      </c>
      <c r="P250" s="32">
        <f t="shared" si="45"/>
        <v>96.271048109329783</v>
      </c>
      <c r="Q250">
        <v>8</v>
      </c>
      <c r="R250">
        <v>99</v>
      </c>
      <c r="S250" s="32">
        <f t="shared" si="46"/>
        <v>9.7414489609310717</v>
      </c>
      <c r="T250" s="1">
        <f t="shared" si="47"/>
        <v>9.9678672455585584</v>
      </c>
      <c r="U250" s="1">
        <f t="shared" si="48"/>
        <v>9.7865088369612643</v>
      </c>
      <c r="V250" s="1">
        <f t="shared" si="49"/>
        <v>0.81728032811225837</v>
      </c>
      <c r="W250" s="1">
        <f t="shared" si="52"/>
        <v>3.2890872368943086E-2</v>
      </c>
      <c r="X250" s="1">
        <f t="shared" si="53"/>
        <v>0.18135840859729413</v>
      </c>
      <c r="Y250" s="39">
        <f t="shared" si="50"/>
        <v>92.032632967390811</v>
      </c>
      <c r="AB250">
        <v>245</v>
      </c>
      <c r="AC250" s="7">
        <v>0.60457237761259031</v>
      </c>
      <c r="AD250">
        <v>1.477885496632857</v>
      </c>
      <c r="AE250">
        <v>0.94697052351743316</v>
      </c>
      <c r="AF250" s="7">
        <v>5.448731245004123E-2</v>
      </c>
      <c r="AG250" s="10">
        <v>117.55547161185248</v>
      </c>
      <c r="AH250" s="1">
        <v>0.94651822502105698</v>
      </c>
      <c r="AI250" s="10">
        <v>61.287593808522971</v>
      </c>
      <c r="AJ250" s="32">
        <v>1733.2937166417842</v>
      </c>
      <c r="AK250">
        <v>320</v>
      </c>
      <c r="AL250" s="7">
        <v>0.43763424300622805</v>
      </c>
    </row>
    <row r="251" spans="1:38" x14ac:dyDescent="0.3">
      <c r="A251">
        <v>76853</v>
      </c>
      <c r="B251">
        <v>30</v>
      </c>
      <c r="C251">
        <v>7</v>
      </c>
      <c r="D251">
        <v>1982</v>
      </c>
      <c r="E251">
        <v>5</v>
      </c>
      <c r="F251">
        <v>10</v>
      </c>
      <c r="G251">
        <v>1986</v>
      </c>
      <c r="H251">
        <v>56</v>
      </c>
      <c r="I251" s="32">
        <f t="shared" si="41"/>
        <v>12.966629547095765</v>
      </c>
      <c r="J251" s="1">
        <v>4.1863013698630098</v>
      </c>
      <c r="K251" s="32">
        <f t="shared" si="42"/>
        <v>14.32575882423912</v>
      </c>
      <c r="L251" s="32">
        <f t="shared" si="43"/>
        <v>66.632600296805379</v>
      </c>
      <c r="M251" s="1">
        <f t="shared" si="44"/>
        <v>0.32228167313921552</v>
      </c>
      <c r="N251">
        <v>0.29064267437206581</v>
      </c>
      <c r="O251" s="32">
        <f t="shared" si="51"/>
        <v>14.490756256591352</v>
      </c>
      <c r="P251" s="32">
        <f t="shared" si="45"/>
        <v>67.986260478576725</v>
      </c>
      <c r="Q251">
        <v>19</v>
      </c>
      <c r="R251">
        <v>75</v>
      </c>
      <c r="S251" s="32">
        <f t="shared" si="46"/>
        <v>7.9431464222722967</v>
      </c>
      <c r="T251" s="1">
        <f t="shared" si="47"/>
        <v>8.6296127074490823</v>
      </c>
      <c r="U251" s="1">
        <f t="shared" si="48"/>
        <v>8.5495318550795414</v>
      </c>
      <c r="V251" s="1">
        <f t="shared" si="49"/>
        <v>3.5003104275724883</v>
      </c>
      <c r="W251" s="1">
        <f t="shared" si="52"/>
        <v>6.4129429162322008E-3</v>
      </c>
      <c r="X251" s="1">
        <f t="shared" si="53"/>
        <v>8.0080852369540878E-2</v>
      </c>
      <c r="Y251" s="39">
        <f t="shared" si="50"/>
        <v>66.504183966296935</v>
      </c>
      <c r="AB251">
        <v>246</v>
      </c>
      <c r="AC251" s="7">
        <v>0.44658703682034195</v>
      </c>
      <c r="AD251">
        <v>0.70945107199309954</v>
      </c>
      <c r="AE251">
        <v>0.96000784205777401</v>
      </c>
      <c r="AF251" s="7">
        <v>4.081382574343842E-2</v>
      </c>
      <c r="AG251" s="10">
        <v>134.3746847316765</v>
      </c>
      <c r="AH251" s="1">
        <v>0.3568238099526394</v>
      </c>
      <c r="AI251" s="10">
        <v>17.84643378310453</v>
      </c>
      <c r="AJ251" s="32">
        <v>1791.4513967203504</v>
      </c>
      <c r="AK251">
        <v>320</v>
      </c>
      <c r="AL251" s="7">
        <v>0.23615695114097671</v>
      </c>
    </row>
    <row r="252" spans="1:38" x14ac:dyDescent="0.3">
      <c r="A252">
        <v>22780</v>
      </c>
      <c r="B252">
        <v>28</v>
      </c>
      <c r="C252">
        <v>7</v>
      </c>
      <c r="D252">
        <v>1982</v>
      </c>
      <c r="E252">
        <v>9</v>
      </c>
      <c r="F252">
        <v>6</v>
      </c>
      <c r="G252">
        <v>1986</v>
      </c>
      <c r="H252">
        <v>67</v>
      </c>
      <c r="I252" s="32">
        <f t="shared" si="41"/>
        <v>14.370705543744901</v>
      </c>
      <c r="J252" s="1">
        <v>3.8684931506849298</v>
      </c>
      <c r="K252" s="32">
        <f t="shared" si="42"/>
        <v>15.383871541978079</v>
      </c>
      <c r="L252" s="32">
        <f t="shared" si="43"/>
        <v>75.54974744699885</v>
      </c>
      <c r="M252" s="1">
        <f t="shared" si="44"/>
        <v>0.30237122387001847</v>
      </c>
      <c r="N252">
        <v>6.3344032241730019E-2</v>
      </c>
      <c r="O252" s="32">
        <f t="shared" si="51"/>
        <v>15.418703343285888</v>
      </c>
      <c r="P252" s="32">
        <f t="shared" si="45"/>
        <v>75.852806540349732</v>
      </c>
      <c r="Q252">
        <v>18</v>
      </c>
      <c r="R252">
        <v>85</v>
      </c>
      <c r="S252" s="32">
        <f t="shared" si="46"/>
        <v>8.5764587365829126</v>
      </c>
      <c r="T252" s="1">
        <f t="shared" si="47"/>
        <v>9.0355400953662084</v>
      </c>
      <c r="U252" s="1">
        <f t="shared" si="48"/>
        <v>9.0122867295256874</v>
      </c>
      <c r="V252" s="1">
        <f t="shared" si="49"/>
        <v>3.2910965664907352</v>
      </c>
      <c r="W252" s="1">
        <f t="shared" si="52"/>
        <v>5.407190229131069E-4</v>
      </c>
      <c r="X252" s="1">
        <f t="shared" si="53"/>
        <v>2.3253365840520956E-2</v>
      </c>
      <c r="Y252" s="39">
        <f t="shared" si="50"/>
        <v>75.385951042858352</v>
      </c>
      <c r="AB252">
        <v>247</v>
      </c>
      <c r="AC252" s="7">
        <v>0.90959526415884973</v>
      </c>
      <c r="AD252">
        <v>3.4594641271185678</v>
      </c>
      <c r="AE252">
        <v>0.96229032525400893</v>
      </c>
      <c r="AF252" s="7">
        <v>3.8439080443563728E-2</v>
      </c>
      <c r="AG252" s="10">
        <v>131.23827434184577</v>
      </c>
      <c r="AH252" s="1">
        <v>3.1844218613004691</v>
      </c>
      <c r="AI252" s="10">
        <v>1077.3951070342409</v>
      </c>
      <c r="AJ252" s="32">
        <v>1801.2529953628466</v>
      </c>
      <c r="AK252">
        <v>320</v>
      </c>
      <c r="AL252" s="7">
        <v>1.8349004630992938</v>
      </c>
    </row>
    <row r="253" spans="1:38" x14ac:dyDescent="0.3">
      <c r="A253">
        <v>79434</v>
      </c>
      <c r="B253">
        <v>3</v>
      </c>
      <c r="C253">
        <v>9</v>
      </c>
      <c r="D253">
        <v>1982</v>
      </c>
      <c r="E253">
        <v>12</v>
      </c>
      <c r="F253">
        <v>6</v>
      </c>
      <c r="G253">
        <v>1985</v>
      </c>
      <c r="H253">
        <v>74</v>
      </c>
      <c r="I253" s="32">
        <f t="shared" si="41"/>
        <v>15.204650534085253</v>
      </c>
      <c r="J253" s="1">
        <v>2.77534246575342</v>
      </c>
      <c r="K253" s="32">
        <f t="shared" si="42"/>
        <v>15.840935667617586</v>
      </c>
      <c r="L253" s="32">
        <f t="shared" si="43"/>
        <v>79.574746374017337</v>
      </c>
      <c r="M253" s="1">
        <f t="shared" si="44"/>
        <v>0.22871060641088042</v>
      </c>
      <c r="N253">
        <v>-1.6467356545035727</v>
      </c>
      <c r="O253" s="32">
        <f t="shared" si="51"/>
        <v>15.053405785875134</v>
      </c>
      <c r="P253" s="32">
        <f t="shared" si="45"/>
        <v>72.704662224429882</v>
      </c>
      <c r="Q253">
        <v>7</v>
      </c>
      <c r="R253">
        <v>81</v>
      </c>
      <c r="S253" s="32">
        <f t="shared" si="46"/>
        <v>8.9426609766862715</v>
      </c>
      <c r="T253" s="1">
        <f t="shared" si="47"/>
        <v>8.8767650222666123</v>
      </c>
      <c r="U253" s="1">
        <f t="shared" si="48"/>
        <v>9.2097975427597163</v>
      </c>
      <c r="V253" s="1">
        <f t="shared" si="49"/>
        <v>2.5082942972236983</v>
      </c>
      <c r="W253" s="1">
        <f t="shared" si="52"/>
        <v>0.11091065970598971</v>
      </c>
      <c r="X253" s="1">
        <f t="shared" si="53"/>
        <v>-0.33303252049310395</v>
      </c>
      <c r="Y253" s="39">
        <f t="shared" si="50"/>
        <v>79.415369564531574</v>
      </c>
      <c r="AB253">
        <v>248</v>
      </c>
      <c r="AC253" s="7">
        <v>0.62432119983751644</v>
      </c>
      <c r="AD253">
        <v>1.5312184421348241</v>
      </c>
      <c r="AE253">
        <v>0.94920346708847969</v>
      </c>
      <c r="AF253" s="7">
        <v>5.2132101784469038E-2</v>
      </c>
      <c r="AG253" s="10">
        <v>119.56647983030814</v>
      </c>
      <c r="AH253" s="1">
        <v>1.0067686679184664</v>
      </c>
      <c r="AI253" s="10">
        <v>78.508673351583056</v>
      </c>
      <c r="AJ253" s="32">
        <v>1758.4391665164712</v>
      </c>
      <c r="AK253">
        <v>320</v>
      </c>
      <c r="AL253" s="7">
        <v>0.49531768010408939</v>
      </c>
    </row>
    <row r="254" spans="1:38" x14ac:dyDescent="0.3">
      <c r="A254">
        <v>79059</v>
      </c>
      <c r="B254">
        <v>2</v>
      </c>
      <c r="C254">
        <v>8</v>
      </c>
      <c r="D254">
        <v>1982</v>
      </c>
      <c r="E254">
        <v>19</v>
      </c>
      <c r="F254">
        <v>8</v>
      </c>
      <c r="G254">
        <v>1988</v>
      </c>
      <c r="H254">
        <v>74</v>
      </c>
      <c r="I254" s="32">
        <f t="shared" si="41"/>
        <v>15.204650534085253</v>
      </c>
      <c r="J254" s="1">
        <v>6.0520547945205498</v>
      </c>
      <c r="K254" s="32">
        <f t="shared" si="42"/>
        <v>16.484376969006249</v>
      </c>
      <c r="L254" s="32">
        <f t="shared" si="43"/>
        <v>85.418047983082161</v>
      </c>
      <c r="M254" s="1">
        <f t="shared" si="44"/>
        <v>0.42693951793363255</v>
      </c>
      <c r="N254">
        <v>-1.3889075489714742</v>
      </c>
      <c r="O254" s="32">
        <f t="shared" si="51"/>
        <v>15.576856318609151</v>
      </c>
      <c r="P254" s="32">
        <f t="shared" si="45"/>
        <v>77.236469511257624</v>
      </c>
      <c r="Q254">
        <v>16</v>
      </c>
      <c r="R254">
        <v>90</v>
      </c>
      <c r="S254" s="32">
        <f t="shared" si="46"/>
        <v>8.9426609766862715</v>
      </c>
      <c r="T254" s="1">
        <f t="shared" si="47"/>
        <v>9.1038804677471994</v>
      </c>
      <c r="U254" s="1">
        <f t="shared" si="48"/>
        <v>9.4735897168309382</v>
      </c>
      <c r="V254" s="1">
        <f t="shared" si="49"/>
        <v>4.5817614956023425</v>
      </c>
      <c r="W254" s="1">
        <f t="shared" si="52"/>
        <v>0.13668492885806202</v>
      </c>
      <c r="X254" s="1">
        <f t="shared" si="53"/>
        <v>-0.36970924908373881</v>
      </c>
      <c r="Y254" s="39">
        <f t="shared" si="50"/>
        <v>85.02670679974517</v>
      </c>
      <c r="AB254">
        <v>249</v>
      </c>
      <c r="AC254" s="7">
        <v>0.46585785053579598</v>
      </c>
      <c r="AD254">
        <v>0.82808331978163463</v>
      </c>
      <c r="AE254">
        <v>0.95476304254800193</v>
      </c>
      <c r="AF254" s="7">
        <v>4.629209227539325E-2</v>
      </c>
      <c r="AG254" s="10">
        <v>126.32169737530711</v>
      </c>
      <c r="AH254" s="1">
        <v>0.43100607287001658</v>
      </c>
      <c r="AI254" s="10">
        <v>21.675674722281663</v>
      </c>
      <c r="AJ254" s="32">
        <v>1795.9403300737224</v>
      </c>
      <c r="AK254">
        <v>320</v>
      </c>
      <c r="AL254" s="7">
        <v>0.26026233593651271</v>
      </c>
    </row>
    <row r="255" spans="1:38" x14ac:dyDescent="0.3">
      <c r="A255">
        <v>79339</v>
      </c>
      <c r="B255">
        <v>27</v>
      </c>
      <c r="C255">
        <v>8</v>
      </c>
      <c r="D255">
        <v>1982</v>
      </c>
      <c r="E255">
        <v>27</v>
      </c>
      <c r="F255">
        <v>5</v>
      </c>
      <c r="G255">
        <v>1984</v>
      </c>
      <c r="H255">
        <v>109</v>
      </c>
      <c r="I255" s="32">
        <f t="shared" si="41"/>
        <v>18.880613017821101</v>
      </c>
      <c r="J255" s="1">
        <v>1.75068493150685</v>
      </c>
      <c r="K255" s="32">
        <f t="shared" si="42"/>
        <v>18.976751059921739</v>
      </c>
      <c r="L255" s="32">
        <f t="shared" si="43"/>
        <v>110.00602125748195</v>
      </c>
      <c r="M255" s="1">
        <f t="shared" si="44"/>
        <v>0.15174732524030279</v>
      </c>
      <c r="N255">
        <v>7.6228161560720764E-2</v>
      </c>
      <c r="O255" s="32">
        <f t="shared" si="51"/>
        <v>19.006445556583611</v>
      </c>
      <c r="P255" s="32">
        <f t="shared" si="45"/>
        <v>110.31768873042783</v>
      </c>
      <c r="Q255">
        <v>3</v>
      </c>
      <c r="R255">
        <v>112</v>
      </c>
      <c r="S255" s="32">
        <f t="shared" si="46"/>
        <v>10.481235640449308</v>
      </c>
      <c r="T255" s="1">
        <f t="shared" si="47"/>
        <v>10.531957104225237</v>
      </c>
      <c r="U255" s="1">
        <f t="shared" si="48"/>
        <v>10.503368909479269</v>
      </c>
      <c r="V255" s="1">
        <f t="shared" si="49"/>
        <v>1.6766200737109518</v>
      </c>
      <c r="W255" s="1">
        <f t="shared" si="52"/>
        <v>8.1728487883338404E-4</v>
      </c>
      <c r="X255" s="1">
        <f t="shared" si="53"/>
        <v>2.8588194745967854E-2</v>
      </c>
      <c r="Y255" s="39">
        <f t="shared" si="50"/>
        <v>109.57364828071438</v>
      </c>
      <c r="AB255">
        <v>250</v>
      </c>
      <c r="AC255" s="7">
        <v>0.60809625578399484</v>
      </c>
      <c r="AD255">
        <v>1.3925087803962117</v>
      </c>
      <c r="AE255">
        <v>0.95131400635469254</v>
      </c>
      <c r="AF255" s="7">
        <v>4.9911085494646262E-2</v>
      </c>
      <c r="AG255" s="10">
        <v>120.1374967038433</v>
      </c>
      <c r="AH255" s="1">
        <v>0.89546536915058095</v>
      </c>
      <c r="AI255" s="10">
        <v>66.311794664719756</v>
      </c>
      <c r="AJ255" s="32">
        <v>1750.8645896969133</v>
      </c>
      <c r="AK255">
        <v>320</v>
      </c>
      <c r="AL255" s="7">
        <v>0.45521902236972611</v>
      </c>
    </row>
    <row r="256" spans="1:38" x14ac:dyDescent="0.3">
      <c r="A256">
        <v>78836</v>
      </c>
      <c r="B256">
        <v>26</v>
      </c>
      <c r="C256">
        <v>7</v>
      </c>
      <c r="D256">
        <v>1982</v>
      </c>
      <c r="E256">
        <v>8</v>
      </c>
      <c r="F256">
        <v>6</v>
      </c>
      <c r="G256">
        <v>1985</v>
      </c>
      <c r="H256">
        <v>84</v>
      </c>
      <c r="I256" s="32">
        <f t="shared" si="41"/>
        <v>16.330302779823359</v>
      </c>
      <c r="J256" s="1">
        <v>2.8712328767123299</v>
      </c>
      <c r="K256" s="32">
        <f t="shared" si="42"/>
        <v>16.832843557129706</v>
      </c>
      <c r="L256" s="32">
        <f t="shared" si="43"/>
        <v>88.668999111830473</v>
      </c>
      <c r="M256" s="1">
        <f t="shared" si="44"/>
        <v>0.23550765027234111</v>
      </c>
      <c r="N256">
        <v>1.6958847481873818</v>
      </c>
      <c r="O256" s="32">
        <f t="shared" si="51"/>
        <v>17.655841678944885</v>
      </c>
      <c r="P256" s="32">
        <f t="shared" si="45"/>
        <v>96.588028026936712</v>
      </c>
      <c r="Q256">
        <v>8</v>
      </c>
      <c r="R256">
        <v>92</v>
      </c>
      <c r="S256" s="32">
        <f t="shared" si="46"/>
        <v>9.4262457208818446</v>
      </c>
      <c r="T256" s="1">
        <f t="shared" si="47"/>
        <v>9.9812062815005653</v>
      </c>
      <c r="U256" s="1">
        <f t="shared" si="48"/>
        <v>9.6262716405419102</v>
      </c>
      <c r="V256" s="1">
        <f t="shared" si="49"/>
        <v>2.581085954783596</v>
      </c>
      <c r="W256" s="1">
        <f t="shared" si="52"/>
        <v>0.12597859935244943</v>
      </c>
      <c r="X256" s="1">
        <f t="shared" si="53"/>
        <v>0.35493464095865512</v>
      </c>
      <c r="Y256" s="39">
        <f t="shared" si="50"/>
        <v>88.397050311420713</v>
      </c>
      <c r="AB256">
        <v>251</v>
      </c>
      <c r="AC256" s="7">
        <v>0.28950361198509417</v>
      </c>
      <c r="AD256">
        <v>0.63505286867402455</v>
      </c>
      <c r="AE256">
        <v>0.93800551343182059</v>
      </c>
      <c r="AF256" s="7">
        <v>6.3999452134103144E-2</v>
      </c>
      <c r="AG256" s="10">
        <v>116.59154775733494</v>
      </c>
      <c r="AH256" s="1">
        <v>0.24584458585080518</v>
      </c>
      <c r="AI256" s="10">
        <v>4.9240181022869001</v>
      </c>
      <c r="AJ256" s="32">
        <v>1810.4329766476974</v>
      </c>
      <c r="AK256">
        <v>320</v>
      </c>
      <c r="AL256" s="7">
        <v>0.12404659031850317</v>
      </c>
    </row>
    <row r="257" spans="1:38" x14ac:dyDescent="0.3">
      <c r="A257">
        <v>79248</v>
      </c>
      <c r="B257">
        <v>15</v>
      </c>
      <c r="C257">
        <v>8</v>
      </c>
      <c r="D257">
        <v>1982</v>
      </c>
      <c r="E257">
        <v>7</v>
      </c>
      <c r="F257">
        <v>5</v>
      </c>
      <c r="G257">
        <v>1986</v>
      </c>
      <c r="H257">
        <v>66</v>
      </c>
      <c r="I257" s="32">
        <f t="shared" si="41"/>
        <v>14.248076809271922</v>
      </c>
      <c r="J257" s="1">
        <v>3.7287671232876698</v>
      </c>
      <c r="K257" s="32">
        <f t="shared" si="42"/>
        <v>15.249387690116446</v>
      </c>
      <c r="L257" s="32">
        <f t="shared" si="43"/>
        <v>74.385343920985193</v>
      </c>
      <c r="M257" s="1">
        <f t="shared" si="44"/>
        <v>0.29340994600946574</v>
      </c>
      <c r="N257">
        <v>0.4085336513526272</v>
      </c>
      <c r="O257" s="32">
        <f t="shared" si="51"/>
        <v>15.470679454446689</v>
      </c>
      <c r="P257" s="32">
        <f t="shared" si="45"/>
        <v>76.30616015000642</v>
      </c>
      <c r="Q257">
        <v>13</v>
      </c>
      <c r="R257">
        <v>79</v>
      </c>
      <c r="S257" s="32">
        <f t="shared" si="46"/>
        <v>8.5220073941514993</v>
      </c>
      <c r="T257" s="1">
        <f t="shared" si="47"/>
        <v>9.058026165860122</v>
      </c>
      <c r="U257" s="1">
        <f t="shared" si="48"/>
        <v>8.9545529082480435</v>
      </c>
      <c r="V257" s="1">
        <f t="shared" si="49"/>
        <v>3.1965941077208542</v>
      </c>
      <c r="W257" s="1">
        <f t="shared" si="52"/>
        <v>1.0706715040855557E-2</v>
      </c>
      <c r="X257" s="1">
        <f t="shared" si="53"/>
        <v>0.10347325761207848</v>
      </c>
      <c r="Y257" s="39">
        <f t="shared" si="50"/>
        <v>74.235455689687939</v>
      </c>
      <c r="AB257">
        <v>252</v>
      </c>
      <c r="AC257" s="7">
        <v>0.41308856054400767</v>
      </c>
      <c r="AD257">
        <v>0.78728339573858963</v>
      </c>
      <c r="AE257">
        <v>0.9482608948708493</v>
      </c>
      <c r="AF257" s="7">
        <v>5.3125609029251335E-2</v>
      </c>
      <c r="AG257" s="10">
        <v>122.42328721737526</v>
      </c>
      <c r="AH257" s="1">
        <v>0.37695686981500304</v>
      </c>
      <c r="AI257" s="10">
        <v>11.370708237120974</v>
      </c>
      <c r="AJ257" s="32">
        <v>1735.294180951566</v>
      </c>
      <c r="AK257">
        <v>320</v>
      </c>
      <c r="AL257" s="7">
        <v>0.18850321811842641</v>
      </c>
    </row>
    <row r="258" spans="1:38" x14ac:dyDescent="0.3">
      <c r="A258">
        <v>79037</v>
      </c>
      <c r="B258">
        <v>2</v>
      </c>
      <c r="C258">
        <v>8</v>
      </c>
      <c r="D258">
        <v>1982</v>
      </c>
      <c r="E258">
        <v>10</v>
      </c>
      <c r="F258">
        <v>6</v>
      </c>
      <c r="G258">
        <v>1985</v>
      </c>
      <c r="H258">
        <v>80</v>
      </c>
      <c r="I258" s="32">
        <f t="shared" si="41"/>
        <v>15.888543819998318</v>
      </c>
      <c r="J258" s="1">
        <v>2.8575342465753399</v>
      </c>
      <c r="K258" s="32">
        <f t="shared" si="42"/>
        <v>16.449086401281999</v>
      </c>
      <c r="L258" s="32">
        <f t="shared" si="43"/>
        <v>85.0921972604921</v>
      </c>
      <c r="M258" s="1">
        <f t="shared" si="44"/>
        <v>0.23454073286128943</v>
      </c>
      <c r="N258">
        <v>-0.62068579609331209</v>
      </c>
      <c r="O258" s="32">
        <f t="shared" si="51"/>
        <v>16.148491959472242</v>
      </c>
      <c r="P258" s="32">
        <f t="shared" si="45"/>
        <v>82.341940100757157</v>
      </c>
      <c r="Q258">
        <v>3</v>
      </c>
      <c r="R258">
        <v>83</v>
      </c>
      <c r="S258" s="32">
        <f t="shared" si="46"/>
        <v>9.237873101814575</v>
      </c>
      <c r="T258" s="1">
        <f t="shared" si="47"/>
        <v>9.3489339184696298</v>
      </c>
      <c r="U258" s="1">
        <f t="shared" si="48"/>
        <v>9.4663348182613145</v>
      </c>
      <c r="V258" s="1">
        <f t="shared" si="49"/>
        <v>2.5707376667724779</v>
      </c>
      <c r="W258" s="1">
        <f t="shared" si="52"/>
        <v>1.3782971271897185E-2</v>
      </c>
      <c r="X258" s="1">
        <f t="shared" si="53"/>
        <v>-0.11740089979168467</v>
      </c>
      <c r="Y258" s="39">
        <f t="shared" si="50"/>
        <v>84.868814873245881</v>
      </c>
      <c r="AB258">
        <v>253</v>
      </c>
      <c r="AC258" s="7">
        <v>0.55104852299358287</v>
      </c>
      <c r="AD258">
        <v>1.1773963452804423</v>
      </c>
      <c r="AE258">
        <v>0.94967297242092152</v>
      </c>
      <c r="AF258" s="7">
        <v>5.1637593208512599E-2</v>
      </c>
      <c r="AG258" s="10">
        <v>118.51829284715126</v>
      </c>
      <c r="AH258" s="1">
        <v>0.69912954462390875</v>
      </c>
      <c r="AI258" s="10">
        <v>49.640833763991317</v>
      </c>
      <c r="AJ258" s="32">
        <v>1817.3714265969998</v>
      </c>
      <c r="AK258">
        <v>320</v>
      </c>
      <c r="AL258" s="7">
        <v>0.39386241952295076</v>
      </c>
    </row>
    <row r="259" spans="1:38" x14ac:dyDescent="0.3">
      <c r="A259">
        <v>79140</v>
      </c>
      <c r="B259">
        <v>9</v>
      </c>
      <c r="C259">
        <v>8</v>
      </c>
      <c r="D259">
        <v>1982</v>
      </c>
      <c r="E259">
        <v>14</v>
      </c>
      <c r="F259">
        <v>6</v>
      </c>
      <c r="G259">
        <v>1986</v>
      </c>
      <c r="H259">
        <v>79</v>
      </c>
      <c r="I259" s="32">
        <f t="shared" si="41"/>
        <v>15.776388834631177</v>
      </c>
      <c r="J259" s="1">
        <v>3.8493150684931501</v>
      </c>
      <c r="K259" s="32">
        <f t="shared" si="42"/>
        <v>16.53314987235531</v>
      </c>
      <c r="L259" s="32">
        <f t="shared" si="43"/>
        <v>85.869411047795907</v>
      </c>
      <c r="M259" s="1">
        <f t="shared" si="44"/>
        <v>0.30114883669153852</v>
      </c>
      <c r="N259">
        <v>0.94245933723868802</v>
      </c>
      <c r="O259" s="32">
        <f t="shared" si="51"/>
        <v>17.050343560892017</v>
      </c>
      <c r="P259" s="32">
        <f t="shared" si="45"/>
        <v>90.728897447004982</v>
      </c>
      <c r="Q259">
        <v>10</v>
      </c>
      <c r="R259">
        <v>89</v>
      </c>
      <c r="S259" s="32">
        <f t="shared" si="46"/>
        <v>9.1897631511801485</v>
      </c>
      <c r="T259" s="1">
        <f t="shared" si="47"/>
        <v>9.7295604388018084</v>
      </c>
      <c r="U259" s="1">
        <f t="shared" si="48"/>
        <v>9.4987089977870838</v>
      </c>
      <c r="V259" s="1">
        <f t="shared" si="49"/>
        <v>3.2782180044536151</v>
      </c>
      <c r="W259" s="1">
        <f t="shared" si="52"/>
        <v>5.3292387818574899E-2</v>
      </c>
      <c r="X259" s="1">
        <f t="shared" si="53"/>
        <v>0.23085144101472466</v>
      </c>
      <c r="Y259" s="39">
        <f t="shared" si="50"/>
        <v>85.574963671361402</v>
      </c>
      <c r="AB259">
        <v>254</v>
      </c>
      <c r="AC259" s="7">
        <v>0.33327827940433025</v>
      </c>
      <c r="AD259">
        <v>0.54139832883109429</v>
      </c>
      <c r="AE259">
        <v>0.95535468092168552</v>
      </c>
      <c r="AF259" s="7">
        <v>4.5672613815679088E-2</v>
      </c>
      <c r="AG259" s="10">
        <v>128.24501300503172</v>
      </c>
      <c r="AH259" s="1">
        <v>0.22508162258352138</v>
      </c>
      <c r="AI259" s="10">
        <v>6.0902107190331254</v>
      </c>
      <c r="AJ259" s="32">
        <v>1763.0217251718993</v>
      </c>
      <c r="AK259">
        <v>320</v>
      </c>
      <c r="AL259" s="7">
        <v>0.1379561832502571</v>
      </c>
    </row>
    <row r="260" spans="1:38" x14ac:dyDescent="0.3">
      <c r="A260">
        <v>77017</v>
      </c>
      <c r="B260">
        <v>31</v>
      </c>
      <c r="C260">
        <v>7</v>
      </c>
      <c r="D260">
        <v>1982</v>
      </c>
      <c r="E260">
        <v>23</v>
      </c>
      <c r="F260">
        <v>8</v>
      </c>
      <c r="G260">
        <v>1988</v>
      </c>
      <c r="H260">
        <v>42</v>
      </c>
      <c r="I260" s="32">
        <f t="shared" si="41"/>
        <v>10.961481396815721</v>
      </c>
      <c r="J260" s="1">
        <v>6.0684931506849296</v>
      </c>
      <c r="K260" s="32">
        <f t="shared" si="42"/>
        <v>13.379159775799728</v>
      </c>
      <c r="L260" s="32">
        <f t="shared" si="43"/>
        <v>59.129638852394088</v>
      </c>
      <c r="M260" s="1">
        <f t="shared" si="44"/>
        <v>0.42777547661031157</v>
      </c>
      <c r="N260">
        <v>1.0637904779287055</v>
      </c>
      <c r="O260" s="32">
        <f t="shared" si="51"/>
        <v>14.07492711874149</v>
      </c>
      <c r="P260" s="32">
        <f t="shared" si="45"/>
        <v>64.60082046821266</v>
      </c>
      <c r="Q260">
        <v>45</v>
      </c>
      <c r="R260">
        <v>87</v>
      </c>
      <c r="S260" s="32">
        <f t="shared" si="46"/>
        <v>6.9972423670565522</v>
      </c>
      <c r="T260" s="1">
        <f t="shared" si="47"/>
        <v>8.4448515109852131</v>
      </c>
      <c r="U260" s="1">
        <f t="shared" si="48"/>
        <v>8.1164133710730635</v>
      </c>
      <c r="V260" s="1">
        <f t="shared" si="49"/>
        <v>4.5902679017413348</v>
      </c>
      <c r="W260" s="1">
        <f t="shared" si="52"/>
        <v>0.10787161174895279</v>
      </c>
      <c r="X260" s="1">
        <f t="shared" si="53"/>
        <v>0.32843813991214965</v>
      </c>
      <c r="Y260" s="39">
        <f t="shared" si="50"/>
        <v>58.874331187722554</v>
      </c>
      <c r="AB260">
        <v>255</v>
      </c>
      <c r="AC260" s="7">
        <v>0.68650978582662792</v>
      </c>
      <c r="AD260">
        <v>1.7536623378453708</v>
      </c>
      <c r="AE260">
        <v>0.95312611897775845</v>
      </c>
      <c r="AF260" s="7">
        <v>4.8008045177598269E-2</v>
      </c>
      <c r="AG260" s="10">
        <v>119.54678408407275</v>
      </c>
      <c r="AH260" s="1">
        <v>1.2507802369886907</v>
      </c>
      <c r="AI260" s="10">
        <v>179.12027321883599</v>
      </c>
      <c r="AJ260" s="32">
        <v>1848.6672970423797</v>
      </c>
      <c r="AK260">
        <v>320</v>
      </c>
      <c r="AL260" s="7">
        <v>0.74816499103397138</v>
      </c>
    </row>
    <row r="261" spans="1:38" x14ac:dyDescent="0.3">
      <c r="A261">
        <v>77028</v>
      </c>
      <c r="B261">
        <v>31</v>
      </c>
      <c r="C261">
        <v>7</v>
      </c>
      <c r="D261">
        <v>1982</v>
      </c>
      <c r="E261">
        <v>23</v>
      </c>
      <c r="F261">
        <v>8</v>
      </c>
      <c r="G261">
        <v>1988</v>
      </c>
      <c r="H261">
        <v>49</v>
      </c>
      <c r="I261" s="32">
        <f t="shared" si="41"/>
        <v>12</v>
      </c>
      <c r="J261" s="1">
        <v>6.0684931506849296</v>
      </c>
      <c r="K261" s="32">
        <f t="shared" si="42"/>
        <v>14.13988905494514</v>
      </c>
      <c r="L261" s="32">
        <f t="shared" si="43"/>
        <v>65.124004676484489</v>
      </c>
      <c r="M261" s="1">
        <f t="shared" si="44"/>
        <v>0.42777547661031157</v>
      </c>
      <c r="N261">
        <v>0.11072756933572236</v>
      </c>
      <c r="O261" s="32">
        <f t="shared" si="51"/>
        <v>14.212309920054894</v>
      </c>
      <c r="P261" s="32">
        <f t="shared" si="45"/>
        <v>65.709748235977571</v>
      </c>
      <c r="Q261">
        <v>43</v>
      </c>
      <c r="R261">
        <v>92</v>
      </c>
      <c r="S261" s="32">
        <f t="shared" si="46"/>
        <v>7.4937089906386829</v>
      </c>
      <c r="T261" s="1">
        <f t="shared" si="47"/>
        <v>8.5060957576389011</v>
      </c>
      <c r="U261" s="1">
        <f t="shared" si="48"/>
        <v>8.4630677216166976</v>
      </c>
      <c r="V261" s="1">
        <f t="shared" si="49"/>
        <v>4.5902679017413348</v>
      </c>
      <c r="W261" s="1">
        <f t="shared" si="52"/>
        <v>1.8514118839280428E-3</v>
      </c>
      <c r="X261" s="1">
        <f t="shared" si="53"/>
        <v>4.3028036022203509E-2</v>
      </c>
      <c r="Y261" s="39">
        <f t="shared" si="50"/>
        <v>64.929288052935803</v>
      </c>
      <c r="AB261">
        <v>256</v>
      </c>
      <c r="AC261" s="7">
        <v>0.51375944669538698</v>
      </c>
      <c r="AD261">
        <v>1.0987191289536791</v>
      </c>
      <c r="AE261">
        <v>0.94793850472342422</v>
      </c>
      <c r="AF261" s="7">
        <v>5.3465647266369695E-2</v>
      </c>
      <c r="AG261" s="10">
        <v>122.85416685663604</v>
      </c>
      <c r="AH261" s="1">
        <v>0.61653882704145546</v>
      </c>
      <c r="AI261" s="10">
        <v>33.841991442471574</v>
      </c>
      <c r="AJ261" s="32">
        <v>1801.2705945315497</v>
      </c>
      <c r="AK261">
        <v>320</v>
      </c>
      <c r="AL261" s="7">
        <v>0.3252018192718541</v>
      </c>
    </row>
    <row r="262" spans="1:38" x14ac:dyDescent="0.3">
      <c r="A262">
        <v>79431</v>
      </c>
      <c r="B262">
        <v>3</v>
      </c>
      <c r="C262">
        <v>9</v>
      </c>
      <c r="D262">
        <v>1982</v>
      </c>
      <c r="E262">
        <v>20</v>
      </c>
      <c r="F262">
        <v>6</v>
      </c>
      <c r="G262">
        <v>1983</v>
      </c>
      <c r="H262">
        <v>96</v>
      </c>
      <c r="I262" s="32">
        <f t="shared" si="41"/>
        <v>17.595917942265423</v>
      </c>
      <c r="J262" s="1">
        <v>0.79452054794520499</v>
      </c>
      <c r="K262" s="32">
        <f t="shared" si="42"/>
        <v>17.691923315622574</v>
      </c>
      <c r="L262" s="32">
        <f t="shared" si="43"/>
        <v>96.942960967089988</v>
      </c>
      <c r="M262" s="1">
        <f t="shared" si="44"/>
        <v>7.2252815098634751E-2</v>
      </c>
      <c r="N262">
        <v>1.6869307728484273</v>
      </c>
      <c r="O262" s="32">
        <f t="shared" si="51"/>
        <v>18.145368346486958</v>
      </c>
      <c r="P262" s="32">
        <f t="shared" si="45"/>
        <v>101.45896645390967</v>
      </c>
      <c r="Q262">
        <v>4</v>
      </c>
      <c r="R262">
        <v>100</v>
      </c>
      <c r="S262" s="32">
        <f t="shared" si="46"/>
        <v>9.9564369191438562</v>
      </c>
      <c r="T262" s="1">
        <f t="shared" si="47"/>
        <v>10.182468645450681</v>
      </c>
      <c r="U262" s="1">
        <f t="shared" si="48"/>
        <v>9.9908747173711294</v>
      </c>
      <c r="V262" s="1">
        <f t="shared" si="49"/>
        <v>0.80406950323361581</v>
      </c>
      <c r="W262" s="1">
        <f t="shared" si="52"/>
        <v>3.6708233276952544E-2</v>
      </c>
      <c r="X262" s="1">
        <f t="shared" si="53"/>
        <v>0.191593928079552</v>
      </c>
      <c r="Y262" s="39">
        <f t="shared" si="50"/>
        <v>96.818234146498455</v>
      </c>
      <c r="AB262">
        <v>257</v>
      </c>
      <c r="AC262" s="7">
        <v>0.74946303793846214</v>
      </c>
      <c r="AD262">
        <v>1.9639810345414008</v>
      </c>
      <c r="AE262">
        <v>0.96210133677064003</v>
      </c>
      <c r="AF262" s="7">
        <v>3.8635494185844901E-2</v>
      </c>
      <c r="AG262" s="10">
        <v>136.54241083451015</v>
      </c>
      <c r="AH262" s="1">
        <v>1.5098298558302821</v>
      </c>
      <c r="AI262" s="10">
        <v>241.63773063118916</v>
      </c>
      <c r="AJ262" s="32">
        <v>1774.4737435379132</v>
      </c>
      <c r="AK262">
        <v>320</v>
      </c>
      <c r="AL262" s="7">
        <v>0.8689752057581771</v>
      </c>
    </row>
    <row r="263" spans="1:38" x14ac:dyDescent="0.3">
      <c r="A263">
        <v>78982</v>
      </c>
      <c r="B263">
        <v>30</v>
      </c>
      <c r="C263">
        <v>7</v>
      </c>
      <c r="D263">
        <v>1982</v>
      </c>
      <c r="E263">
        <v>28</v>
      </c>
      <c r="F263">
        <v>5</v>
      </c>
      <c r="G263">
        <v>1984</v>
      </c>
      <c r="H263">
        <v>82</v>
      </c>
      <c r="I263" s="32">
        <f t="shared" si="41"/>
        <v>16.110770276274835</v>
      </c>
      <c r="J263" s="1">
        <v>1.8301369863013699</v>
      </c>
      <c r="K263" s="32">
        <f t="shared" si="42"/>
        <v>16.459254251602246</v>
      </c>
      <c r="L263" s="32">
        <f t="shared" si="43"/>
        <v>85.186016881323894</v>
      </c>
      <c r="M263" s="1">
        <f t="shared" si="44"/>
        <v>0.15800866132587904</v>
      </c>
      <c r="N263">
        <v>-0.24685959942871705</v>
      </c>
      <c r="O263" s="32">
        <f t="shared" si="51"/>
        <v>16.361126812078805</v>
      </c>
      <c r="P263" s="32">
        <f t="shared" si="45"/>
        <v>84.282744452309799</v>
      </c>
      <c r="Q263">
        <v>5</v>
      </c>
      <c r="R263">
        <v>87</v>
      </c>
      <c r="S263" s="32">
        <f t="shared" si="46"/>
        <v>9.332855979925947</v>
      </c>
      <c r="T263" s="1">
        <f t="shared" si="47"/>
        <v>9.4393236235193552</v>
      </c>
      <c r="U263" s="1">
        <f t="shared" si="48"/>
        <v>9.4738366567606338</v>
      </c>
      <c r="V263" s="1">
        <f t="shared" si="49"/>
        <v>1.7447773099577195</v>
      </c>
      <c r="W263" s="1">
        <f t="shared" si="52"/>
        <v>1.1911494635136041E-3</v>
      </c>
      <c r="X263" s="1">
        <f t="shared" si="53"/>
        <v>-3.4513033241278634E-2</v>
      </c>
      <c r="Y263" s="39">
        <f t="shared" si="50"/>
        <v>85.032084656632392</v>
      </c>
      <c r="AB263">
        <v>258</v>
      </c>
      <c r="AC263" s="7">
        <v>0.36192744692778378</v>
      </c>
      <c r="AD263">
        <v>0.83609354134719205</v>
      </c>
      <c r="AE263">
        <v>0.93301824357964902</v>
      </c>
      <c r="AF263" s="7">
        <v>6.9330524650027064E-2</v>
      </c>
      <c r="AG263" s="10">
        <v>112.06547192110381</v>
      </c>
      <c r="AH263" s="1">
        <v>0.3695869572329496</v>
      </c>
      <c r="AI263" s="10">
        <v>9.6718654754676461</v>
      </c>
      <c r="AJ263" s="32">
        <v>1818.5075693903248</v>
      </c>
      <c r="AK263">
        <v>320</v>
      </c>
      <c r="AL263" s="7">
        <v>0.17385217746935583</v>
      </c>
    </row>
    <row r="264" spans="1:38" x14ac:dyDescent="0.3">
      <c r="A264">
        <v>79493</v>
      </c>
      <c r="B264">
        <v>5</v>
      </c>
      <c r="C264">
        <v>9</v>
      </c>
      <c r="D264">
        <v>1982</v>
      </c>
      <c r="E264">
        <v>29</v>
      </c>
      <c r="F264">
        <v>11</v>
      </c>
      <c r="G264">
        <v>1982</v>
      </c>
      <c r="H264">
        <v>64</v>
      </c>
      <c r="I264" s="32">
        <f t="shared" ref="I264:I327" si="54">(H264^gamma_T-1)/gamma_T</f>
        <v>14</v>
      </c>
      <c r="J264" s="1">
        <v>0.232876712328767</v>
      </c>
      <c r="K264" s="32">
        <f t="shared" ref="K264:K327" si="55">alpha_T*(1-rho_T^J264)/(1-rho_T)+I264*rho_T^J264</f>
        <v>14.071243731784744</v>
      </c>
      <c r="L264" s="32">
        <f t="shared" ref="L264:L327" si="56">(gamma_T*K264+1)^(1/gamma_T)</f>
        <v>64.571218771607604</v>
      </c>
      <c r="M264" s="1">
        <f t="shared" ref="M264:M327" si="57">sigma_eps_T^2*(1-rho_T^(2*J264))/(1-rho_T^2)</f>
        <v>2.1791002874315783E-2</v>
      </c>
      <c r="N264">
        <v>-0.75802063292940147</v>
      </c>
      <c r="O264" s="32">
        <f t="shared" si="51"/>
        <v>13.959346424413715</v>
      </c>
      <c r="P264" s="32">
        <f t="shared" ref="P264:P327" si="58">(gamma_T*O264+1)^(1/gamma_T)</f>
        <v>63.675184573611709</v>
      </c>
      <c r="Q264">
        <v>-1</v>
      </c>
      <c r="R264">
        <v>63</v>
      </c>
      <c r="S264" s="32">
        <f t="shared" ref="S264:S327" si="59">(H264^gamma-1)/gamma</f>
        <v>8.411364229409374</v>
      </c>
      <c r="T264" s="1">
        <f t="shared" ref="T264:T327" si="60">(P264^gamma-1)/gamma</f>
        <v>8.3931694845100697</v>
      </c>
      <c r="U264" s="1">
        <f t="shared" ref="U264:U327" si="61">alpha*(1-rho^J264)/(1-rho)+(rho^J264)*S264</f>
        <v>8.4427771588963534</v>
      </c>
      <c r="V264" s="1">
        <f t="shared" ref="V264:V327" si="62">(1-rho^(2*J264))/(1-rho^2)</f>
        <v>0.24355974964430244</v>
      </c>
      <c r="W264" s="1">
        <f t="shared" si="52"/>
        <v>2.4609213580155443E-3</v>
      </c>
      <c r="X264" s="1">
        <f t="shared" si="53"/>
        <v>-4.9607674386283662E-2</v>
      </c>
      <c r="Y264" s="39">
        <f t="shared" ref="Y264:Y327" si="63">(U264*gamma+1)^(1/gamma)</f>
        <v>64.563489795051254</v>
      </c>
      <c r="AB264">
        <v>259</v>
      </c>
      <c r="AC264" s="7">
        <v>1.1776389882008624</v>
      </c>
      <c r="AD264">
        <v>9.0155590368050866</v>
      </c>
      <c r="AE264">
        <v>0.96744768132869163</v>
      </c>
      <c r="AF264" s="7">
        <v>3.3093931686422835E-2</v>
      </c>
      <c r="AG264" s="10">
        <v>136.58996658201931</v>
      </c>
      <c r="AH264" s="1">
        <v>10.649626140839594</v>
      </c>
      <c r="AI264" s="10">
        <v>10722.424127481241</v>
      </c>
      <c r="AJ264" s="32">
        <v>1784.408902412953</v>
      </c>
      <c r="AK264">
        <v>320</v>
      </c>
      <c r="AL264" s="7">
        <v>5.7885728291504526</v>
      </c>
    </row>
    <row r="265" spans="1:38" x14ac:dyDescent="0.3">
      <c r="A265">
        <v>22561</v>
      </c>
      <c r="B265">
        <v>24</v>
      </c>
      <c r="C265">
        <v>7</v>
      </c>
      <c r="D265">
        <v>1982</v>
      </c>
      <c r="E265">
        <v>2</v>
      </c>
      <c r="F265">
        <v>5</v>
      </c>
      <c r="G265">
        <v>1984</v>
      </c>
      <c r="H265">
        <v>61</v>
      </c>
      <c r="I265" s="32">
        <f t="shared" si="54"/>
        <v>13.620499351813308</v>
      </c>
      <c r="J265" s="1">
        <v>1.77534246575342</v>
      </c>
      <c r="K265" s="32">
        <f t="shared" si="55"/>
        <v>14.175770813197451</v>
      </c>
      <c r="L265" s="32">
        <f t="shared" si="56"/>
        <v>65.413890350272638</v>
      </c>
      <c r="M265" s="1">
        <f t="shared" si="57"/>
        <v>0.15369596278213893</v>
      </c>
      <c r="N265">
        <v>-1.0319990906282328</v>
      </c>
      <c r="O265" s="32">
        <f t="shared" ref="O265:O327" si="64">K265+N265*SQRT(M265)</f>
        <v>13.771185098437773</v>
      </c>
      <c r="P265" s="32">
        <f t="shared" si="58"/>
        <v>62.18256985229641</v>
      </c>
      <c r="Q265">
        <v>14</v>
      </c>
      <c r="R265">
        <v>75</v>
      </c>
      <c r="S265" s="32">
        <f t="shared" si="59"/>
        <v>8.2408125112790831</v>
      </c>
      <c r="T265" s="1">
        <f t="shared" si="60"/>
        <v>8.3087221215609048</v>
      </c>
      <c r="U265" s="1">
        <f t="shared" si="61"/>
        <v>8.486719562846627</v>
      </c>
      <c r="V265" s="1">
        <f t="shared" si="62"/>
        <v>1.6978409617910575</v>
      </c>
      <c r="W265" s="1">
        <f t="shared" ref="W265:W327" si="65">(T265-U265)^2</f>
        <v>3.1683089104264102E-2</v>
      </c>
      <c r="X265" s="1">
        <f t="shared" ref="X265:X327" si="66">T265-U265</f>
        <v>-0.17799744128572215</v>
      </c>
      <c r="Y265" s="39">
        <f t="shared" si="63"/>
        <v>65.357494476802543</v>
      </c>
      <c r="AB265">
        <v>260</v>
      </c>
      <c r="AC265" s="7">
        <v>0.52650393619180735</v>
      </c>
      <c r="AD265">
        <v>1.1844551194810391</v>
      </c>
      <c r="AE265">
        <v>0.94420099333871532</v>
      </c>
      <c r="AF265" s="7">
        <v>5.7416218827806217E-2</v>
      </c>
      <c r="AG265" s="10">
        <v>115.27487056423263</v>
      </c>
      <c r="AH265" s="1">
        <v>0.67941928931058926</v>
      </c>
      <c r="AI265" s="10">
        <v>35.096045506067931</v>
      </c>
      <c r="AJ265" s="32">
        <v>1772.6696721874455</v>
      </c>
      <c r="AK265">
        <v>320</v>
      </c>
      <c r="AL265" s="7">
        <v>0.33117237536736405</v>
      </c>
    </row>
    <row r="266" spans="1:38" x14ac:dyDescent="0.3">
      <c r="A266">
        <v>78795</v>
      </c>
      <c r="B266">
        <v>25</v>
      </c>
      <c r="C266">
        <v>7</v>
      </c>
      <c r="D266">
        <v>1982</v>
      </c>
      <c r="E266">
        <v>7</v>
      </c>
      <c r="F266">
        <v>5</v>
      </c>
      <c r="G266">
        <v>1983</v>
      </c>
      <c r="H266">
        <v>84</v>
      </c>
      <c r="I266" s="32">
        <f t="shared" si="54"/>
        <v>16.330302779823359</v>
      </c>
      <c r="J266" s="1">
        <v>0.783561643835616</v>
      </c>
      <c r="K266" s="32">
        <f t="shared" si="55"/>
        <v>16.474868645419495</v>
      </c>
      <c r="L266" s="32">
        <f t="shared" si="56"/>
        <v>85.330192866376095</v>
      </c>
      <c r="M266" s="1">
        <f t="shared" si="57"/>
        <v>7.1295749622163299E-2</v>
      </c>
      <c r="N266">
        <v>-2.086562744807452</v>
      </c>
      <c r="O266" s="32">
        <f t="shared" si="64"/>
        <v>15.917730019565628</v>
      </c>
      <c r="P266" s="32">
        <f t="shared" si="58"/>
        <v>80.261262263510815</v>
      </c>
      <c r="Q266">
        <v>1</v>
      </c>
      <c r="R266">
        <v>85</v>
      </c>
      <c r="S266" s="32">
        <f t="shared" si="59"/>
        <v>9.4262457208818446</v>
      </c>
      <c r="T266" s="1">
        <f t="shared" si="60"/>
        <v>9.2503736484902319</v>
      </c>
      <c r="U266" s="1">
        <f t="shared" si="61"/>
        <v>9.4842472870215264</v>
      </c>
      <c r="V266" s="1">
        <f t="shared" si="62"/>
        <v>0.7934854080039061</v>
      </c>
      <c r="W266" s="1">
        <f t="shared" si="65"/>
        <v>5.4696878799866601E-2</v>
      </c>
      <c r="X266" s="1">
        <f t="shared" si="66"/>
        <v>-0.2338736385312945</v>
      </c>
      <c r="Y266" s="39">
        <f t="shared" si="63"/>
        <v>85.259021971357271</v>
      </c>
      <c r="AB266">
        <v>261</v>
      </c>
      <c r="AC266" s="7">
        <v>0.61019747111621625</v>
      </c>
      <c r="AD266">
        <v>1.4466364292130409</v>
      </c>
      <c r="AE266">
        <v>0.95014833515076824</v>
      </c>
      <c r="AF266" s="7">
        <v>5.1137164312518475E-2</v>
      </c>
      <c r="AG266" s="10">
        <v>121.50267976486403</v>
      </c>
      <c r="AH266" s="1">
        <v>0.93258555557962253</v>
      </c>
      <c r="AI266" s="10">
        <v>77.540767056896485</v>
      </c>
      <c r="AJ266" s="32">
        <v>1795.2095188431283</v>
      </c>
      <c r="AK266">
        <v>320</v>
      </c>
      <c r="AL266" s="7">
        <v>0.49225491064366389</v>
      </c>
    </row>
    <row r="267" spans="1:38" x14ac:dyDescent="0.3">
      <c r="A267">
        <v>78991</v>
      </c>
      <c r="B267">
        <v>31</v>
      </c>
      <c r="C267">
        <v>7</v>
      </c>
      <c r="D267">
        <v>1982</v>
      </c>
      <c r="E267">
        <v>11</v>
      </c>
      <c r="F267">
        <v>6</v>
      </c>
      <c r="G267">
        <v>1986</v>
      </c>
      <c r="H267">
        <v>99</v>
      </c>
      <c r="I267" s="32">
        <f t="shared" si="54"/>
        <v>17.899748742132399</v>
      </c>
      <c r="J267" s="1">
        <v>3.8657534246575298</v>
      </c>
      <c r="K267" s="32">
        <f t="shared" si="55"/>
        <v>18.277512002631699</v>
      </c>
      <c r="L267" s="32">
        <f t="shared" si="56"/>
        <v>102.79437325421816</v>
      </c>
      <c r="M267" s="1">
        <f t="shared" si="57"/>
        <v>0.30219674433707111</v>
      </c>
      <c r="N267">
        <v>3.4810909710358828E-3</v>
      </c>
      <c r="O267" s="32">
        <f t="shared" si="64"/>
        <v>18.279425642733717</v>
      </c>
      <c r="P267" s="32">
        <f t="shared" si="58"/>
        <v>102.81377609979145</v>
      </c>
      <c r="Q267">
        <v>24</v>
      </c>
      <c r="R267">
        <v>123</v>
      </c>
      <c r="S267" s="32">
        <f t="shared" si="59"/>
        <v>10.081724832589135</v>
      </c>
      <c r="T267" s="1">
        <f t="shared" si="60"/>
        <v>10.237253352503037</v>
      </c>
      <c r="U267" s="1">
        <f t="shared" si="61"/>
        <v>10.209420473276863</v>
      </c>
      <c r="V267" s="1">
        <f t="shared" si="62"/>
        <v>3.2892585614949903</v>
      </c>
      <c r="W267" s="1">
        <f t="shared" si="65"/>
        <v>7.7466916601882224E-4</v>
      </c>
      <c r="X267" s="1">
        <f t="shared" si="66"/>
        <v>2.7832879226174612E-2</v>
      </c>
      <c r="Y267" s="39">
        <f t="shared" si="63"/>
        <v>102.12391989864334</v>
      </c>
      <c r="AB267">
        <v>262</v>
      </c>
      <c r="AC267" s="7">
        <v>0.29782828961142765</v>
      </c>
      <c r="AD267">
        <v>0.5118882790243181</v>
      </c>
      <c r="AE267">
        <v>0.95228852532325481</v>
      </c>
      <c r="AF267" s="7">
        <v>4.8887217289516158E-2</v>
      </c>
      <c r="AG267" s="10">
        <v>123.31919333326337</v>
      </c>
      <c r="AH267" s="1">
        <v>0.20016628529069508</v>
      </c>
      <c r="AI267" s="10">
        <v>4.4203738485839903</v>
      </c>
      <c r="AJ267" s="32">
        <v>1757.5133921118745</v>
      </c>
      <c r="AK267">
        <v>320</v>
      </c>
      <c r="AL267" s="7">
        <v>0.11753156289620662</v>
      </c>
    </row>
    <row r="268" spans="1:38" x14ac:dyDescent="0.3">
      <c r="A268">
        <v>78706</v>
      </c>
      <c r="B268">
        <v>24</v>
      </c>
      <c r="C268">
        <v>7</v>
      </c>
      <c r="D268">
        <v>1982</v>
      </c>
      <c r="E268">
        <v>29</v>
      </c>
      <c r="F268">
        <v>5</v>
      </c>
      <c r="G268">
        <v>1984</v>
      </c>
      <c r="H268">
        <v>83</v>
      </c>
      <c r="I268" s="32">
        <f t="shared" si="54"/>
        <v>16.220867158288598</v>
      </c>
      <c r="J268" s="1">
        <v>1.8493150684931501</v>
      </c>
      <c r="K268" s="32">
        <f t="shared" si="55"/>
        <v>16.562868991890845</v>
      </c>
      <c r="L268" s="32">
        <f t="shared" si="56"/>
        <v>86.145026302525665</v>
      </c>
      <c r="M268" s="1">
        <f t="shared" si="57"/>
        <v>0.1595123876477787</v>
      </c>
      <c r="N268">
        <v>-0.80441850514034741</v>
      </c>
      <c r="O268" s="32">
        <f t="shared" si="64"/>
        <v>16.241592269465315</v>
      </c>
      <c r="P268" s="32">
        <f t="shared" si="58"/>
        <v>83.18892213135419</v>
      </c>
      <c r="Q268">
        <v>9</v>
      </c>
      <c r="R268">
        <v>92</v>
      </c>
      <c r="S268" s="32">
        <f t="shared" si="59"/>
        <v>9.3797459131381409</v>
      </c>
      <c r="T268" s="1">
        <f t="shared" si="60"/>
        <v>9.3885604041823321</v>
      </c>
      <c r="U268" s="1">
        <f t="shared" si="61"/>
        <v>9.5172629629174015</v>
      </c>
      <c r="V268" s="1">
        <f t="shared" si="62"/>
        <v>1.7611332373253443</v>
      </c>
      <c r="W268" s="1">
        <f t="shared" si="65"/>
        <v>1.6564348624953994E-2</v>
      </c>
      <c r="X268" s="1">
        <f t="shared" si="66"/>
        <v>-0.12870255873506942</v>
      </c>
      <c r="Y268" s="39">
        <f t="shared" si="63"/>
        <v>85.981495679309916</v>
      </c>
      <c r="AB268">
        <v>263</v>
      </c>
      <c r="AC268" s="7">
        <v>0.41671780747913856</v>
      </c>
      <c r="AD268">
        <v>0.82361645364645786</v>
      </c>
      <c r="AE268">
        <v>0.94557613447293454</v>
      </c>
      <c r="AF268" s="7">
        <v>5.5960871150349409E-2</v>
      </c>
      <c r="AG268" s="10">
        <v>118.20230725405835</v>
      </c>
      <c r="AH268" s="1">
        <v>0.39763950829436095</v>
      </c>
      <c r="AI268" s="10">
        <v>13.422272713719266</v>
      </c>
      <c r="AJ268" s="32">
        <v>1775.5023665581393</v>
      </c>
      <c r="AK268">
        <v>320</v>
      </c>
      <c r="AL268" s="7">
        <v>0.20480381400348163</v>
      </c>
    </row>
    <row r="269" spans="1:38" x14ac:dyDescent="0.3">
      <c r="A269">
        <v>78716</v>
      </c>
      <c r="B269">
        <v>24</v>
      </c>
      <c r="C269">
        <v>7</v>
      </c>
      <c r="D269">
        <v>1982</v>
      </c>
      <c r="E269">
        <v>25</v>
      </c>
      <c r="F269">
        <v>5</v>
      </c>
      <c r="G269">
        <v>1984</v>
      </c>
      <c r="H269">
        <v>76</v>
      </c>
      <c r="I269" s="32">
        <f t="shared" si="54"/>
        <v>15.435595774162696</v>
      </c>
      <c r="J269" s="1">
        <v>1.83835616438356</v>
      </c>
      <c r="K269" s="32">
        <f t="shared" si="55"/>
        <v>15.846328456170621</v>
      </c>
      <c r="L269" s="32">
        <f t="shared" si="56"/>
        <v>79.622859841381313</v>
      </c>
      <c r="M269" s="1">
        <f t="shared" si="57"/>
        <v>0.15865347774023775</v>
      </c>
      <c r="N269">
        <v>1.1193083082616795</v>
      </c>
      <c r="O269" s="32">
        <f t="shared" si="64"/>
        <v>16.292163832011916</v>
      </c>
      <c r="P269" s="32">
        <f t="shared" si="58"/>
        <v>83.650814414291219</v>
      </c>
      <c r="Q269">
        <v>8</v>
      </c>
      <c r="R269">
        <v>84</v>
      </c>
      <c r="S269" s="32">
        <f t="shared" si="59"/>
        <v>9.0428509961318699</v>
      </c>
      <c r="T269" s="1">
        <f t="shared" si="60"/>
        <v>9.4100524921839881</v>
      </c>
      <c r="U269" s="1">
        <f t="shared" si="61"/>
        <v>9.21433040231625</v>
      </c>
      <c r="V269" s="1">
        <f t="shared" si="62"/>
        <v>1.7517915401680622</v>
      </c>
      <c r="W269" s="1">
        <f t="shared" si="65"/>
        <v>3.8307136462194948E-2</v>
      </c>
      <c r="X269" s="1">
        <f t="shared" si="66"/>
        <v>0.19572208986773809</v>
      </c>
      <c r="Y269" s="39">
        <f t="shared" si="63"/>
        <v>79.509558190418858</v>
      </c>
      <c r="AB269">
        <v>264</v>
      </c>
      <c r="AC269" s="7">
        <v>0.41926439487093642</v>
      </c>
      <c r="AD269">
        <v>0.76194888817758577</v>
      </c>
      <c r="AE269">
        <v>0.95064004148537318</v>
      </c>
      <c r="AF269" s="7">
        <v>5.0619793360952424E-2</v>
      </c>
      <c r="AG269" s="10">
        <v>121.13269395273007</v>
      </c>
      <c r="AH269" s="1">
        <v>0.36881799803898513</v>
      </c>
      <c r="AI269" s="10">
        <v>16.298890264860091</v>
      </c>
      <c r="AJ269" s="32">
        <v>1832.5962538157412</v>
      </c>
      <c r="AK269">
        <v>320</v>
      </c>
      <c r="AL269" s="7">
        <v>0.22568569311697137</v>
      </c>
    </row>
    <row r="270" spans="1:38" x14ac:dyDescent="0.3">
      <c r="A270">
        <v>22660</v>
      </c>
      <c r="B270">
        <v>26</v>
      </c>
      <c r="C270">
        <v>7</v>
      </c>
      <c r="D270">
        <v>1982</v>
      </c>
      <c r="E270">
        <v>8</v>
      </c>
      <c r="F270">
        <v>6</v>
      </c>
      <c r="G270">
        <v>1986</v>
      </c>
      <c r="H270">
        <v>68</v>
      </c>
      <c r="I270" s="32">
        <f t="shared" si="54"/>
        <v>14.492422502470642</v>
      </c>
      <c r="J270" s="1">
        <v>3.8712328767123299</v>
      </c>
      <c r="K270" s="32">
        <f t="shared" si="55"/>
        <v>15.484316393461333</v>
      </c>
      <c r="L270" s="32">
        <f t="shared" si="56"/>
        <v>76.425329936665193</v>
      </c>
      <c r="M270" s="1">
        <f t="shared" si="57"/>
        <v>0.3025456543707879</v>
      </c>
      <c r="N270">
        <v>-0.64216237660730258</v>
      </c>
      <c r="O270" s="32">
        <f t="shared" si="64"/>
        <v>15.131100435042629</v>
      </c>
      <c r="P270" s="32">
        <f t="shared" si="58"/>
        <v>73.368650528879442</v>
      </c>
      <c r="Q270">
        <v>45</v>
      </c>
      <c r="R270">
        <v>113</v>
      </c>
      <c r="S270" s="32">
        <f t="shared" si="59"/>
        <v>8.6303494035856811</v>
      </c>
      <c r="T270" s="1">
        <f t="shared" si="60"/>
        <v>8.9106439844494325</v>
      </c>
      <c r="U270" s="1">
        <f t="shared" si="61"/>
        <v>9.0554164011902092</v>
      </c>
      <c r="V270" s="1">
        <f t="shared" si="62"/>
        <v>3.2929339754752442</v>
      </c>
      <c r="W270" s="1">
        <f t="shared" si="65"/>
        <v>2.0959052648965117E-2</v>
      </c>
      <c r="X270" s="1">
        <f t="shared" si="66"/>
        <v>-0.14477241674077668</v>
      </c>
      <c r="Y270" s="39">
        <f t="shared" si="63"/>
        <v>76.253447177680229</v>
      </c>
      <c r="AB270">
        <v>265</v>
      </c>
      <c r="AC270" s="7">
        <v>0.64349788499071303</v>
      </c>
      <c r="AD270">
        <v>1.3522155586652991</v>
      </c>
      <c r="AE270">
        <v>0.96012748147795368</v>
      </c>
      <c r="AF270" s="7">
        <v>4.0689210130290705E-2</v>
      </c>
      <c r="AG270" s="10">
        <v>129.10040340783539</v>
      </c>
      <c r="AH270" s="1">
        <v>0.91002037057470175</v>
      </c>
      <c r="AI270" s="10">
        <v>93.289380172706558</v>
      </c>
      <c r="AJ270" s="32">
        <v>1765.6830142315498</v>
      </c>
      <c r="AK270">
        <v>320</v>
      </c>
      <c r="AL270" s="7">
        <v>0.53993454514386086</v>
      </c>
    </row>
    <row r="271" spans="1:38" x14ac:dyDescent="0.3">
      <c r="A271">
        <v>22887</v>
      </c>
      <c r="B271">
        <v>28</v>
      </c>
      <c r="C271">
        <v>7</v>
      </c>
      <c r="D271">
        <v>1982</v>
      </c>
      <c r="E271">
        <v>28</v>
      </c>
      <c r="F271">
        <v>4</v>
      </c>
      <c r="G271">
        <v>1985</v>
      </c>
      <c r="H271">
        <v>59</v>
      </c>
      <c r="I271" s="32">
        <f t="shared" si="54"/>
        <v>13.362291495737216</v>
      </c>
      <c r="J271" s="1">
        <v>2.75342465753425</v>
      </c>
      <c r="K271" s="32">
        <f t="shared" si="55"/>
        <v>14.236559660247307</v>
      </c>
      <c r="L271" s="32">
        <f t="shared" si="56"/>
        <v>65.906467400192554</v>
      </c>
      <c r="M271" s="1">
        <f t="shared" si="57"/>
        <v>0.22714758582528416</v>
      </c>
      <c r="N271">
        <v>-0.46372861106647179</v>
      </c>
      <c r="O271" s="32">
        <f t="shared" si="64"/>
        <v>14.015546591649112</v>
      </c>
      <c r="P271" s="32">
        <f t="shared" si="58"/>
        <v>64.12443315732088</v>
      </c>
      <c r="Q271">
        <v>10</v>
      </c>
      <c r="R271">
        <v>69</v>
      </c>
      <c r="S271" s="32">
        <f t="shared" si="59"/>
        <v>8.123853654943634</v>
      </c>
      <c r="T271" s="1">
        <f t="shared" si="60"/>
        <v>8.4183174687049043</v>
      </c>
      <c r="U271" s="1">
        <f t="shared" si="61"/>
        <v>8.5121845149836055</v>
      </c>
      <c r="V271" s="1">
        <f t="shared" si="62"/>
        <v>2.4915398672724622</v>
      </c>
      <c r="W271" s="1">
        <f t="shared" si="65"/>
        <v>8.8110223770878401E-3</v>
      </c>
      <c r="X271" s="1">
        <f t="shared" si="66"/>
        <v>-9.3867046278701238E-2</v>
      </c>
      <c r="Y271" s="39">
        <f t="shared" si="63"/>
        <v>65.820711396435598</v>
      </c>
      <c r="AB271">
        <v>266</v>
      </c>
      <c r="AC271" s="7">
        <v>0.5975078040401085</v>
      </c>
      <c r="AD271">
        <v>1.4890742539101021</v>
      </c>
      <c r="AE271">
        <v>0.94419716433182421</v>
      </c>
      <c r="AF271" s="7">
        <v>5.7420274123958212E-2</v>
      </c>
      <c r="AG271" s="10">
        <v>114.00230543295578</v>
      </c>
      <c r="AH271" s="1">
        <v>0.94553632317466385</v>
      </c>
      <c r="AI271" s="10">
        <v>59.763445708770249</v>
      </c>
      <c r="AJ271" s="32">
        <v>1742.758243152573</v>
      </c>
      <c r="AK271">
        <v>320</v>
      </c>
      <c r="AL271" s="7">
        <v>0.43215826711970584</v>
      </c>
    </row>
    <row r="272" spans="1:38" x14ac:dyDescent="0.3">
      <c r="A272">
        <v>79186</v>
      </c>
      <c r="B272">
        <v>13</v>
      </c>
      <c r="C272">
        <v>8</v>
      </c>
      <c r="D272">
        <v>1982</v>
      </c>
      <c r="E272">
        <v>7</v>
      </c>
      <c r="F272">
        <v>5</v>
      </c>
      <c r="G272">
        <v>1987</v>
      </c>
      <c r="H272">
        <v>92</v>
      </c>
      <c r="I272" s="32">
        <f t="shared" si="54"/>
        <v>17.183326093250876</v>
      </c>
      <c r="J272" s="1">
        <v>4.7342465753424703</v>
      </c>
      <c r="K272" s="32">
        <f t="shared" si="55"/>
        <v>17.790598598372071</v>
      </c>
      <c r="L272" s="32">
        <f t="shared" si="56"/>
        <v>97.916948220471653</v>
      </c>
      <c r="M272" s="1">
        <f t="shared" si="57"/>
        <v>0.35512182397247721</v>
      </c>
      <c r="N272">
        <v>1.4573333828593604</v>
      </c>
      <c r="O272" s="32">
        <f t="shared" si="64"/>
        <v>18.659054147772064</v>
      </c>
      <c r="P272" s="32">
        <f t="shared" si="58"/>
        <v>106.69912957014454</v>
      </c>
      <c r="Q272">
        <v>48</v>
      </c>
      <c r="R272">
        <v>140</v>
      </c>
      <c r="S272" s="32">
        <f t="shared" si="59"/>
        <v>9.7850902466069272</v>
      </c>
      <c r="T272" s="1">
        <f t="shared" si="60"/>
        <v>10.391639785352119</v>
      </c>
      <c r="U272" s="1">
        <f t="shared" si="61"/>
        <v>10.010163499702621</v>
      </c>
      <c r="V272" s="1">
        <f t="shared" si="62"/>
        <v>3.843045377433115</v>
      </c>
      <c r="W272" s="1">
        <f t="shared" si="65"/>
        <v>0.14552415651293737</v>
      </c>
      <c r="X272" s="1">
        <f t="shared" si="66"/>
        <v>0.38147628564949798</v>
      </c>
      <c r="Y272" s="39">
        <f t="shared" si="63"/>
        <v>97.278637552354212</v>
      </c>
      <c r="AB272">
        <v>267</v>
      </c>
      <c r="AC272" s="7">
        <v>0.477179575926929</v>
      </c>
      <c r="AD272">
        <v>1.0132608507998819</v>
      </c>
      <c r="AE272">
        <v>0.94392404930380858</v>
      </c>
      <c r="AF272" s="7">
        <v>5.7709572319379225E-2</v>
      </c>
      <c r="AG272" s="10">
        <v>114.97722841885215</v>
      </c>
      <c r="AH272" s="1">
        <v>0.53958333378423839</v>
      </c>
      <c r="AI272" s="10">
        <v>23.607661722584634</v>
      </c>
      <c r="AJ272" s="32">
        <v>1784.2031080271349</v>
      </c>
      <c r="AK272">
        <v>320</v>
      </c>
      <c r="AL272" s="7">
        <v>0.27161359112363465</v>
      </c>
    </row>
    <row r="273" spans="1:38" x14ac:dyDescent="0.3">
      <c r="A273">
        <v>22702</v>
      </c>
      <c r="B273">
        <v>27</v>
      </c>
      <c r="C273">
        <v>7</v>
      </c>
      <c r="D273">
        <v>1982</v>
      </c>
      <c r="E273">
        <v>8</v>
      </c>
      <c r="F273">
        <v>5</v>
      </c>
      <c r="G273">
        <v>1988</v>
      </c>
      <c r="H273">
        <v>84</v>
      </c>
      <c r="I273" s="32">
        <f t="shared" si="54"/>
        <v>16.330302779823359</v>
      </c>
      <c r="J273" s="1">
        <v>5.7863013698630104</v>
      </c>
      <c r="K273" s="32">
        <f t="shared" si="55"/>
        <v>17.272703848338846</v>
      </c>
      <c r="L273" s="32">
        <f t="shared" si="56"/>
        <v>92.85927840644375</v>
      </c>
      <c r="M273" s="1">
        <f t="shared" si="57"/>
        <v>0.41322738839670492</v>
      </c>
      <c r="N273">
        <v>0.65395852288929746</v>
      </c>
      <c r="O273" s="32">
        <f t="shared" si="64"/>
        <v>17.693086469208193</v>
      </c>
      <c r="P273" s="32">
        <f t="shared" si="58"/>
        <v>96.954413670927707</v>
      </c>
      <c r="Q273">
        <v>20</v>
      </c>
      <c r="R273">
        <v>104</v>
      </c>
      <c r="S273" s="32">
        <f t="shared" si="59"/>
        <v>9.4262457208818446</v>
      </c>
      <c r="T273" s="1">
        <f t="shared" si="60"/>
        <v>9.9965866244470032</v>
      </c>
      <c r="U273" s="1">
        <f t="shared" si="61"/>
        <v>9.7973964299894991</v>
      </c>
      <c r="V273" s="1">
        <f t="shared" si="62"/>
        <v>4.441919276230192</v>
      </c>
      <c r="W273" s="1">
        <f t="shared" si="65"/>
        <v>3.9676733568018291E-2</v>
      </c>
      <c r="X273" s="1">
        <f t="shared" si="66"/>
        <v>0.19919019445750408</v>
      </c>
      <c r="Y273" s="39">
        <f t="shared" si="63"/>
        <v>92.283356222687232</v>
      </c>
      <c r="AB273">
        <v>268</v>
      </c>
      <c r="AC273" s="7">
        <v>0.6410754496099309</v>
      </c>
      <c r="AD273">
        <v>1.7089244300205464</v>
      </c>
      <c r="AE273">
        <v>0.94478824991365828</v>
      </c>
      <c r="AF273" s="7">
        <v>5.6794450762201902E-2</v>
      </c>
      <c r="AG273" s="10">
        <v>114.13213243878826</v>
      </c>
      <c r="AH273" s="1">
        <v>1.1507612474111584</v>
      </c>
      <c r="AI273" s="10">
        <v>97.854117251704409</v>
      </c>
      <c r="AJ273" s="32">
        <v>1778.2736159363403</v>
      </c>
      <c r="AK273">
        <v>320</v>
      </c>
      <c r="AL273" s="7">
        <v>0.55298654270386749</v>
      </c>
    </row>
    <row r="274" spans="1:38" x14ac:dyDescent="0.3">
      <c r="A274">
        <v>22701</v>
      </c>
      <c r="B274">
        <v>27</v>
      </c>
      <c r="C274">
        <v>7</v>
      </c>
      <c r="D274">
        <v>1982</v>
      </c>
      <c r="E274">
        <v>7</v>
      </c>
      <c r="F274">
        <v>5</v>
      </c>
      <c r="G274">
        <v>1986</v>
      </c>
      <c r="H274">
        <v>73</v>
      </c>
      <c r="I274" s="32">
        <f t="shared" si="54"/>
        <v>15.088007490635061</v>
      </c>
      <c r="J274" s="1">
        <v>3.7808219178082201</v>
      </c>
      <c r="K274" s="32">
        <f t="shared" si="55"/>
        <v>15.953918611970934</v>
      </c>
      <c r="L274" s="32">
        <f t="shared" si="56"/>
        <v>80.58579838131908</v>
      </c>
      <c r="M274" s="1">
        <f t="shared" si="57"/>
        <v>0.2967634834972549</v>
      </c>
      <c r="N274">
        <v>1.2210875866003335</v>
      </c>
      <c r="O274" s="32">
        <f t="shared" si="64"/>
        <v>16.619118314671869</v>
      </c>
      <c r="P274" s="32">
        <f t="shared" si="58"/>
        <v>86.667891703937357</v>
      </c>
      <c r="Q274">
        <v>14</v>
      </c>
      <c r="R274">
        <v>87</v>
      </c>
      <c r="S274" s="32">
        <f t="shared" si="59"/>
        <v>8.8918605482504951</v>
      </c>
      <c r="T274" s="1">
        <f t="shared" si="60"/>
        <v>9.5484522296205991</v>
      </c>
      <c r="U274" s="1">
        <f t="shared" si="61"/>
        <v>9.2556345716922728</v>
      </c>
      <c r="V274" s="1">
        <f t="shared" si="62"/>
        <v>3.2319837276652086</v>
      </c>
      <c r="W274" s="1">
        <f t="shared" si="65"/>
        <v>8.5742180794630349E-2</v>
      </c>
      <c r="X274" s="1">
        <f t="shared" si="66"/>
        <v>0.29281765792832637</v>
      </c>
      <c r="Y274" s="39">
        <f t="shared" si="63"/>
        <v>80.371392587156834</v>
      </c>
      <c r="AB274">
        <v>269</v>
      </c>
      <c r="AC274" s="7">
        <v>0.70522633413809355</v>
      </c>
      <c r="AD274">
        <v>1.7675418831747052</v>
      </c>
      <c r="AE274">
        <v>0.95666198590882656</v>
      </c>
      <c r="AF274" s="7">
        <v>4.4305151686779704E-2</v>
      </c>
      <c r="AG274" s="10">
        <v>122.92604664376427</v>
      </c>
      <c r="AH274" s="1">
        <v>1.2898550967980131</v>
      </c>
      <c r="AI274" s="10">
        <v>173.70897416012951</v>
      </c>
      <c r="AJ274" s="32">
        <v>1788.4698825098299</v>
      </c>
      <c r="AK274">
        <v>320</v>
      </c>
      <c r="AL274" s="7">
        <v>0.73677713336558204</v>
      </c>
    </row>
    <row r="275" spans="1:38" x14ac:dyDescent="0.3">
      <c r="A275">
        <v>22635</v>
      </c>
      <c r="B275">
        <v>26</v>
      </c>
      <c r="C275">
        <v>7</v>
      </c>
      <c r="D275">
        <v>1982</v>
      </c>
      <c r="E275">
        <v>6</v>
      </c>
      <c r="F275">
        <v>10</v>
      </c>
      <c r="G275">
        <v>1983</v>
      </c>
      <c r="H275">
        <v>72</v>
      </c>
      <c r="I275" s="32">
        <f t="shared" si="54"/>
        <v>14.970562748477139</v>
      </c>
      <c r="J275" s="1">
        <v>1.1972602739725999</v>
      </c>
      <c r="K275" s="32">
        <f t="shared" si="55"/>
        <v>15.270134929684888</v>
      </c>
      <c r="L275" s="32">
        <f t="shared" si="56"/>
        <v>74.564390122380502</v>
      </c>
      <c r="M275" s="1">
        <f t="shared" si="57"/>
        <v>0.10668892979149837</v>
      </c>
      <c r="N275">
        <v>0.48263814278470818</v>
      </c>
      <c r="O275" s="32">
        <f t="shared" si="64"/>
        <v>15.427780336095656</v>
      </c>
      <c r="P275" s="32">
        <f t="shared" si="58"/>
        <v>75.93188186080063</v>
      </c>
      <c r="Q275">
        <v>8</v>
      </c>
      <c r="R275">
        <v>80</v>
      </c>
      <c r="S275" s="32">
        <f t="shared" si="59"/>
        <v>8.8405752459119533</v>
      </c>
      <c r="T275" s="1">
        <f t="shared" si="60"/>
        <v>9.0394688816131588</v>
      </c>
      <c r="U275" s="1">
        <f t="shared" si="61"/>
        <v>8.9681989545342962</v>
      </c>
      <c r="V275" s="1">
        <f t="shared" si="62"/>
        <v>1.1836622175532481</v>
      </c>
      <c r="W275" s="1">
        <f t="shared" si="65"/>
        <v>5.0794025058263914E-3</v>
      </c>
      <c r="X275" s="1">
        <f t="shared" si="66"/>
        <v>7.1269927078862594E-2</v>
      </c>
      <c r="Y275" s="39">
        <f t="shared" si="63"/>
        <v>74.506281692551582</v>
      </c>
      <c r="AB275">
        <v>270</v>
      </c>
      <c r="AC275" s="7">
        <v>-2.4570259482465155E-2</v>
      </c>
      <c r="AD275">
        <v>0.26049363248032276</v>
      </c>
      <c r="AE275">
        <v>0.94211401951754303</v>
      </c>
      <c r="AF275" s="7">
        <v>5.9628971902962492E-2</v>
      </c>
      <c r="AG275" s="10">
        <v>117.79084273836658</v>
      </c>
      <c r="AH275" s="1">
        <v>5.1485584338885525E-2</v>
      </c>
      <c r="AI275" s="10">
        <v>0.32179117256988549</v>
      </c>
      <c r="AJ275" s="32">
        <v>1820.4758183823922</v>
      </c>
      <c r="AK275">
        <v>320</v>
      </c>
      <c r="AL275" s="7">
        <v>3.171115599092679E-2</v>
      </c>
    </row>
    <row r="276" spans="1:38" x14ac:dyDescent="0.3">
      <c r="A276">
        <v>79387</v>
      </c>
      <c r="B276">
        <v>31</v>
      </c>
      <c r="C276">
        <v>8</v>
      </c>
      <c r="D276">
        <v>1982</v>
      </c>
      <c r="E276">
        <v>16</v>
      </c>
      <c r="F276">
        <v>6</v>
      </c>
      <c r="G276">
        <v>1984</v>
      </c>
      <c r="H276">
        <v>94</v>
      </c>
      <c r="I276" s="32">
        <f t="shared" si="54"/>
        <v>17.390719429665317</v>
      </c>
      <c r="J276" s="1">
        <v>1.79452054794521</v>
      </c>
      <c r="K276" s="32">
        <f t="shared" si="55"/>
        <v>17.620173302066732</v>
      </c>
      <c r="L276" s="32">
        <f t="shared" si="56"/>
        <v>96.237800100783048</v>
      </c>
      <c r="M276" s="1">
        <f t="shared" si="57"/>
        <v>0.15520816562651832</v>
      </c>
      <c r="N276">
        <v>-1.573757799633313</v>
      </c>
      <c r="O276" s="32">
        <f t="shared" si="64"/>
        <v>17.000168321049429</v>
      </c>
      <c r="P276" s="32">
        <f t="shared" si="58"/>
        <v>90.251599057052573</v>
      </c>
      <c r="Q276">
        <v>2</v>
      </c>
      <c r="R276">
        <v>96</v>
      </c>
      <c r="S276" s="32">
        <f t="shared" si="59"/>
        <v>9.871395639049501</v>
      </c>
      <c r="T276" s="1">
        <f t="shared" si="60"/>
        <v>9.708569715288851</v>
      </c>
      <c r="U276" s="1">
        <f t="shared" si="61"/>
        <v>9.9555074825722887</v>
      </c>
      <c r="V276" s="1">
        <f t="shared" si="62"/>
        <v>1.7143033261604221</v>
      </c>
      <c r="W276" s="1">
        <f t="shared" si="65"/>
        <v>6.0978260910929206E-2</v>
      </c>
      <c r="X276" s="1">
        <f t="shared" si="66"/>
        <v>-0.24693776728343764</v>
      </c>
      <c r="Y276" s="39">
        <f t="shared" si="63"/>
        <v>95.977983498949101</v>
      </c>
      <c r="AB276">
        <v>271</v>
      </c>
      <c r="AC276" s="7">
        <v>0.51830681594547057</v>
      </c>
      <c r="AD276">
        <v>1.0944376787883421</v>
      </c>
      <c r="AE276">
        <v>0.94868264419301551</v>
      </c>
      <c r="AF276" s="7">
        <v>5.2680947055470592E-2</v>
      </c>
      <c r="AG276" s="10">
        <v>121.86532070822648</v>
      </c>
      <c r="AH276" s="1">
        <v>0.61857186435052169</v>
      </c>
      <c r="AI276" s="10">
        <v>32.118557454765998</v>
      </c>
      <c r="AJ276" s="32">
        <v>1771.4631217353774</v>
      </c>
      <c r="AK276">
        <v>320</v>
      </c>
      <c r="AL276" s="7">
        <v>0.31681302379501974</v>
      </c>
    </row>
    <row r="277" spans="1:38" x14ac:dyDescent="0.3">
      <c r="A277">
        <v>20627</v>
      </c>
      <c r="B277">
        <v>21</v>
      </c>
      <c r="C277">
        <v>1</v>
      </c>
      <c r="D277">
        <v>1982</v>
      </c>
      <c r="E277">
        <v>7</v>
      </c>
      <c r="F277">
        <v>5</v>
      </c>
      <c r="G277">
        <v>1986</v>
      </c>
      <c r="H277">
        <v>130</v>
      </c>
      <c r="I277" s="32">
        <f t="shared" si="54"/>
        <v>20.803508501982758</v>
      </c>
      <c r="J277" s="1">
        <v>4.2931506849315104</v>
      </c>
      <c r="K277" s="32">
        <f t="shared" si="55"/>
        <v>20.644695378844652</v>
      </c>
      <c r="L277" s="32">
        <f t="shared" si="56"/>
        <v>128.19555720016709</v>
      </c>
      <c r="M277" s="1">
        <f t="shared" si="57"/>
        <v>0.32883121283114991</v>
      </c>
      <c r="N277">
        <v>0.75364368967711926</v>
      </c>
      <c r="O277" s="32">
        <f t="shared" si="64"/>
        <v>21.076863356927575</v>
      </c>
      <c r="P277" s="32">
        <f t="shared" si="58"/>
        <v>133.13540559857665</v>
      </c>
      <c r="Q277">
        <v>7</v>
      </c>
      <c r="R277">
        <v>137</v>
      </c>
      <c r="S277" s="32">
        <f t="shared" si="59"/>
        <v>11.243967227230616</v>
      </c>
      <c r="T277" s="1">
        <f t="shared" si="60"/>
        <v>11.350339292591585</v>
      </c>
      <c r="U277" s="1">
        <f t="shared" si="61"/>
        <v>11.123272411839405</v>
      </c>
      <c r="V277" s="1">
        <f t="shared" si="62"/>
        <v>3.5689000384040952</v>
      </c>
      <c r="W277" s="1">
        <f t="shared" si="65"/>
        <v>5.1559368334524458E-2</v>
      </c>
      <c r="X277" s="1">
        <f t="shared" si="66"/>
        <v>0.2270668807521794</v>
      </c>
      <c r="Y277" s="39">
        <f t="shared" si="63"/>
        <v>126.50485427750732</v>
      </c>
      <c r="AB277">
        <v>272</v>
      </c>
      <c r="AC277" s="7">
        <v>0.23115478599133302</v>
      </c>
      <c r="AD277">
        <v>0.45951117334586178</v>
      </c>
      <c r="AE277">
        <v>0.94838420562543513</v>
      </c>
      <c r="AF277" s="7">
        <v>5.2995578635344424E-2</v>
      </c>
      <c r="AG277" s="10">
        <v>125.88363835375613</v>
      </c>
      <c r="AH277" s="1">
        <v>0.1578340013099539</v>
      </c>
      <c r="AI277" s="10">
        <v>2.6109845417114159</v>
      </c>
      <c r="AJ277" s="32">
        <v>1777.974831703963</v>
      </c>
      <c r="AK277">
        <v>320</v>
      </c>
      <c r="AL277" s="7">
        <v>9.0328991430482466E-2</v>
      </c>
    </row>
    <row r="278" spans="1:38" x14ac:dyDescent="0.3">
      <c r="A278">
        <v>79299</v>
      </c>
      <c r="B278">
        <v>23</v>
      </c>
      <c r="C278">
        <v>8</v>
      </c>
      <c r="D278">
        <v>1982</v>
      </c>
      <c r="E278">
        <v>30</v>
      </c>
      <c r="F278">
        <v>5</v>
      </c>
      <c r="G278">
        <v>1985</v>
      </c>
      <c r="H278">
        <v>88</v>
      </c>
      <c r="I278" s="32">
        <f t="shared" si="54"/>
        <v>16.761663039293719</v>
      </c>
      <c r="J278" s="1">
        <v>2.7698630136986302</v>
      </c>
      <c r="K278" s="32">
        <f t="shared" si="55"/>
        <v>17.190561853969339</v>
      </c>
      <c r="L278" s="32">
        <f t="shared" si="56"/>
        <v>92.069416067755768</v>
      </c>
      <c r="M278" s="1">
        <f t="shared" si="57"/>
        <v>0.22832018067864554</v>
      </c>
      <c r="N278">
        <v>-0.62384287957684137</v>
      </c>
      <c r="O278" s="32">
        <f t="shared" si="64"/>
        <v>16.892471877868662</v>
      </c>
      <c r="P278" s="32">
        <f t="shared" si="58"/>
        <v>89.231373414014556</v>
      </c>
      <c r="Q278">
        <v>8</v>
      </c>
      <c r="R278">
        <v>96</v>
      </c>
      <c r="S278" s="32">
        <f t="shared" si="59"/>
        <v>9.6084967093666851</v>
      </c>
      <c r="T278" s="1">
        <f t="shared" si="60"/>
        <v>9.6634425472082128</v>
      </c>
      <c r="U278" s="1">
        <f t="shared" si="61"/>
        <v>9.7744657807092015</v>
      </c>
      <c r="V278" s="1">
        <f t="shared" si="62"/>
        <v>2.5041097642436214</v>
      </c>
      <c r="W278" s="1">
        <f t="shared" si="65"/>
        <v>1.2326158377015046E-2</v>
      </c>
      <c r="X278" s="1">
        <f t="shared" si="66"/>
        <v>-0.11102323350098864</v>
      </c>
      <c r="Y278" s="39">
        <f t="shared" si="63"/>
        <v>91.755851951731884</v>
      </c>
      <c r="AB278">
        <v>273</v>
      </c>
      <c r="AC278" s="7">
        <v>1.0330468828139274</v>
      </c>
      <c r="AD278">
        <v>5.6395131209668197</v>
      </c>
      <c r="AE278">
        <v>0.96029435400008434</v>
      </c>
      <c r="AF278" s="7">
        <v>4.0515422768089511E-2</v>
      </c>
      <c r="AG278" s="10">
        <v>125.90959406367902</v>
      </c>
      <c r="AH278" s="1">
        <v>5.8655870962029315</v>
      </c>
      <c r="AI278" s="10">
        <v>2630.1105402681596</v>
      </c>
      <c r="AJ278" s="32">
        <v>1737.747318849063</v>
      </c>
      <c r="AK278">
        <v>320</v>
      </c>
      <c r="AL278" s="7">
        <v>2.8668964819710525</v>
      </c>
    </row>
    <row r="279" spans="1:38" x14ac:dyDescent="0.3">
      <c r="A279">
        <v>76750</v>
      </c>
      <c r="B279">
        <v>30</v>
      </c>
      <c r="C279">
        <v>7</v>
      </c>
      <c r="D279">
        <v>1982</v>
      </c>
      <c r="E279">
        <v>23</v>
      </c>
      <c r="F279">
        <v>8</v>
      </c>
      <c r="G279">
        <v>1988</v>
      </c>
      <c r="H279">
        <v>72</v>
      </c>
      <c r="I279" s="32">
        <f t="shared" si="54"/>
        <v>14.970562748477139</v>
      </c>
      <c r="J279" s="1">
        <v>6.0712328767123296</v>
      </c>
      <c r="K279" s="32">
        <f t="shared" si="55"/>
        <v>16.316385157558631</v>
      </c>
      <c r="L279" s="32">
        <f t="shared" si="56"/>
        <v>83.872491310008527</v>
      </c>
      <c r="M279" s="1">
        <f t="shared" si="57"/>
        <v>0.42791466605137746</v>
      </c>
      <c r="N279">
        <v>1.4964916772441939</v>
      </c>
      <c r="O279" s="32">
        <f t="shared" si="64"/>
        <v>17.295317983266582</v>
      </c>
      <c r="P279" s="32">
        <f t="shared" si="58"/>
        <v>93.077324018842688</v>
      </c>
      <c r="Q279">
        <v>13</v>
      </c>
      <c r="R279">
        <v>85</v>
      </c>
      <c r="S279" s="32">
        <f t="shared" si="59"/>
        <v>8.8405752459119533</v>
      </c>
      <c r="T279" s="1">
        <f t="shared" si="60"/>
        <v>9.8317395272032364</v>
      </c>
      <c r="U279" s="1">
        <f t="shared" si="61"/>
        <v>9.4037188842448565</v>
      </c>
      <c r="V279" s="1">
        <f t="shared" si="62"/>
        <v>4.591684027478534</v>
      </c>
      <c r="W279" s="1">
        <f t="shared" si="65"/>
        <v>0.18320167079850497</v>
      </c>
      <c r="X279" s="1">
        <f t="shared" si="66"/>
        <v>0.42802064295837994</v>
      </c>
      <c r="Y279" s="39">
        <f t="shared" si="63"/>
        <v>83.514512800346694</v>
      </c>
      <c r="AB279">
        <v>274</v>
      </c>
      <c r="AC279" s="7">
        <v>0.64712153794198291</v>
      </c>
      <c r="AD279">
        <v>1.6857690615288092</v>
      </c>
      <c r="AE279">
        <v>0.94796487881833802</v>
      </c>
      <c r="AF279" s="7">
        <v>5.3437825073377743E-2</v>
      </c>
      <c r="AG279" s="10">
        <v>118.40568901345816</v>
      </c>
      <c r="AH279" s="1">
        <v>1.1429325888931983</v>
      </c>
      <c r="AI279" s="10">
        <v>97.706525743470678</v>
      </c>
      <c r="AJ279" s="32">
        <v>1763.4899932172241</v>
      </c>
      <c r="AK279">
        <v>320</v>
      </c>
      <c r="AL279" s="7">
        <v>0.55256935578110544</v>
      </c>
    </row>
    <row r="280" spans="1:38" x14ac:dyDescent="0.3">
      <c r="A280">
        <v>79412</v>
      </c>
      <c r="B280">
        <v>2</v>
      </c>
      <c r="C280">
        <v>9</v>
      </c>
      <c r="D280">
        <v>1982</v>
      </c>
      <c r="E280">
        <v>10</v>
      </c>
      <c r="F280">
        <v>7</v>
      </c>
      <c r="G280">
        <v>1984</v>
      </c>
      <c r="H280">
        <v>80</v>
      </c>
      <c r="I280" s="32">
        <f t="shared" si="54"/>
        <v>15.888543819998318</v>
      </c>
      <c r="J280" s="1">
        <v>1.8547945205479499</v>
      </c>
      <c r="K280" s="32">
        <f t="shared" si="55"/>
        <v>16.261670902993153</v>
      </c>
      <c r="L280" s="32">
        <f t="shared" si="56"/>
        <v>83.372156042306685</v>
      </c>
      <c r="M280" s="1">
        <f t="shared" si="57"/>
        <v>0.15994148063048946</v>
      </c>
      <c r="N280">
        <v>0.85481815403909422</v>
      </c>
      <c r="O280" s="32">
        <f t="shared" si="64"/>
        <v>16.603535629616012</v>
      </c>
      <c r="P280" s="32">
        <f t="shared" si="58"/>
        <v>86.522884480598108</v>
      </c>
      <c r="Q280">
        <v>4</v>
      </c>
      <c r="R280">
        <v>84</v>
      </c>
      <c r="S280" s="32">
        <f t="shared" si="59"/>
        <v>9.237873101814575</v>
      </c>
      <c r="T280" s="1">
        <f t="shared" si="60"/>
        <v>9.5418775303779668</v>
      </c>
      <c r="U280" s="1">
        <f t="shared" si="61"/>
        <v>9.3905264319470323</v>
      </c>
      <c r="V280" s="1">
        <f t="shared" si="62"/>
        <v>1.7657995432733138</v>
      </c>
      <c r="W280" s="1">
        <f t="shared" si="65"/>
        <v>2.2907154996250432E-2</v>
      </c>
      <c r="X280" s="1">
        <f t="shared" si="66"/>
        <v>0.15135109843093453</v>
      </c>
      <c r="Y280" s="39">
        <f t="shared" si="63"/>
        <v>83.231100894025815</v>
      </c>
      <c r="AB280">
        <v>275</v>
      </c>
      <c r="AC280" s="7">
        <v>0.81273761511519516</v>
      </c>
      <c r="AD280">
        <v>2.7357111173611326</v>
      </c>
      <c r="AE280">
        <v>0.95474665308912654</v>
      </c>
      <c r="AF280" s="7">
        <v>4.6309258419051216E-2</v>
      </c>
      <c r="AG280" s="10">
        <v>123.55037880331668</v>
      </c>
      <c r="AH280" s="1">
        <v>2.2686686760790864</v>
      </c>
      <c r="AI280" s="10">
        <v>462.71759119279108</v>
      </c>
      <c r="AJ280" s="32">
        <v>1798.855995954741</v>
      </c>
      <c r="AK280">
        <v>320</v>
      </c>
      <c r="AL280" s="7">
        <v>1.2024942712867583</v>
      </c>
    </row>
    <row r="281" spans="1:38" x14ac:dyDescent="0.3">
      <c r="A281">
        <v>20575</v>
      </c>
      <c r="B281">
        <v>18</v>
      </c>
      <c r="C281">
        <v>1</v>
      </c>
      <c r="D281">
        <v>1982</v>
      </c>
      <c r="E281">
        <v>5</v>
      </c>
      <c r="F281">
        <v>5</v>
      </c>
      <c r="G281">
        <v>1983</v>
      </c>
      <c r="H281">
        <v>118</v>
      </c>
      <c r="I281" s="32">
        <f t="shared" si="54"/>
        <v>19.725560982400431</v>
      </c>
      <c r="J281" s="1">
        <v>1.29315068493151</v>
      </c>
      <c r="K281" s="32">
        <f t="shared" si="55"/>
        <v>19.743173921258354</v>
      </c>
      <c r="L281" s="32">
        <f t="shared" si="56"/>
        <v>118.19140304252234</v>
      </c>
      <c r="M281" s="1">
        <f t="shared" si="57"/>
        <v>0.11468042486426373</v>
      </c>
      <c r="N281">
        <v>-0.87214402810786851</v>
      </c>
      <c r="O281" s="32">
        <f t="shared" si="64"/>
        <v>19.447826721231408</v>
      </c>
      <c r="P281" s="32">
        <f t="shared" si="58"/>
        <v>115.002317765992</v>
      </c>
      <c r="Q281">
        <v>19</v>
      </c>
      <c r="R281">
        <v>137</v>
      </c>
      <c r="S281" s="32">
        <f t="shared" si="59"/>
        <v>10.819599370205324</v>
      </c>
      <c r="T281" s="1">
        <f t="shared" si="60"/>
        <v>10.708950322189553</v>
      </c>
      <c r="U281" s="1">
        <f t="shared" si="61"/>
        <v>10.811235574347918</v>
      </c>
      <c r="V281" s="1">
        <f t="shared" si="62"/>
        <v>1.2714051739192209</v>
      </c>
      <c r="W281" s="1">
        <f t="shared" si="65"/>
        <v>1.046227280910041E-2</v>
      </c>
      <c r="X281" s="1">
        <f t="shared" si="66"/>
        <v>-0.10228525215836548</v>
      </c>
      <c r="Y281" s="39">
        <f t="shared" si="63"/>
        <v>117.77153830149203</v>
      </c>
      <c r="AB281">
        <v>276</v>
      </c>
      <c r="AC281" s="7">
        <v>0.21298434522926232</v>
      </c>
      <c r="AD281">
        <v>0.43157019385978629</v>
      </c>
      <c r="AE281">
        <v>0.9484105983040374</v>
      </c>
      <c r="AF281" s="7">
        <v>5.2967749922877165E-2</v>
      </c>
      <c r="AG281" s="10">
        <v>121.9352635482164</v>
      </c>
      <c r="AH281" s="1">
        <v>0.14350709685565499</v>
      </c>
      <c r="AI281" s="10">
        <v>2.2607027992464039</v>
      </c>
      <c r="AJ281" s="32">
        <v>1780.2534675906591</v>
      </c>
      <c r="AK281">
        <v>320</v>
      </c>
      <c r="AL281" s="7">
        <v>8.4051747439568517E-2</v>
      </c>
    </row>
    <row r="282" spans="1:38" x14ac:dyDescent="0.3">
      <c r="A282">
        <v>79619</v>
      </c>
      <c r="B282">
        <v>6</v>
      </c>
      <c r="C282">
        <v>9</v>
      </c>
      <c r="D282">
        <v>1982</v>
      </c>
      <c r="E282">
        <v>7</v>
      </c>
      <c r="F282">
        <v>5</v>
      </c>
      <c r="G282">
        <v>1986</v>
      </c>
      <c r="H282">
        <v>75</v>
      </c>
      <c r="I282" s="32">
        <f t="shared" si="54"/>
        <v>15.320508075688775</v>
      </c>
      <c r="J282" s="1">
        <v>3.6684931506849301</v>
      </c>
      <c r="K282" s="32">
        <f t="shared" si="55"/>
        <v>16.123159794902644</v>
      </c>
      <c r="L282" s="32">
        <f t="shared" si="56"/>
        <v>82.112230237893911</v>
      </c>
      <c r="M282" s="1">
        <f t="shared" si="57"/>
        <v>0.28950446346431746</v>
      </c>
      <c r="N282">
        <v>0.50510834626038559</v>
      </c>
      <c r="O282" s="32">
        <f t="shared" si="64"/>
        <v>16.394936467166282</v>
      </c>
      <c r="P282" s="32">
        <f t="shared" si="58"/>
        <v>84.593421907770988</v>
      </c>
      <c r="Q282">
        <v>32</v>
      </c>
      <c r="R282">
        <v>107</v>
      </c>
      <c r="S282" s="32">
        <f t="shared" si="59"/>
        <v>8.9929875760017879</v>
      </c>
      <c r="T282" s="1">
        <f t="shared" si="60"/>
        <v>9.4536584915250099</v>
      </c>
      <c r="U282" s="1">
        <f t="shared" si="61"/>
        <v>9.3273481271784604</v>
      </c>
      <c r="V282" s="1">
        <f t="shared" si="62"/>
        <v>3.1553432792525986</v>
      </c>
      <c r="W282" s="1">
        <f t="shared" si="65"/>
        <v>1.5954308141358089E-2</v>
      </c>
      <c r="X282" s="1">
        <f t="shared" si="66"/>
        <v>0.12631036434654952</v>
      </c>
      <c r="Y282" s="39">
        <f t="shared" si="63"/>
        <v>81.88308767262923</v>
      </c>
      <c r="AB282">
        <v>277</v>
      </c>
      <c r="AC282" s="7">
        <v>0.41935254336287719</v>
      </c>
      <c r="AD282">
        <v>0.81713788228710837</v>
      </c>
      <c r="AE282">
        <v>0.94652897123617785</v>
      </c>
      <c r="AF282" s="7">
        <v>5.4953699993827231E-2</v>
      </c>
      <c r="AG282" s="10">
        <v>118.5722188061966</v>
      </c>
      <c r="AH282" s="1">
        <v>0.3961398779790764</v>
      </c>
      <c r="AI282" s="10">
        <v>14.603808651343458</v>
      </c>
      <c r="AJ282" s="32">
        <v>1795.4761563726263</v>
      </c>
      <c r="AK282">
        <v>320</v>
      </c>
      <c r="AL282" s="7">
        <v>0.21362795237386026</v>
      </c>
    </row>
    <row r="283" spans="1:38" x14ac:dyDescent="0.3">
      <c r="A283">
        <v>79394</v>
      </c>
      <c r="B283">
        <v>31</v>
      </c>
      <c r="C283">
        <v>8</v>
      </c>
      <c r="D283">
        <v>1982</v>
      </c>
      <c r="E283">
        <v>28</v>
      </c>
      <c r="F283">
        <v>5</v>
      </c>
      <c r="G283">
        <v>1985</v>
      </c>
      <c r="H283">
        <v>78</v>
      </c>
      <c r="I283" s="32">
        <f t="shared" si="54"/>
        <v>15.663521732655695</v>
      </c>
      <c r="J283" s="1">
        <v>2.7424657534246601</v>
      </c>
      <c r="K283" s="32">
        <f t="shared" si="55"/>
        <v>16.23257231719489</v>
      </c>
      <c r="L283" s="32">
        <f t="shared" si="56"/>
        <v>83.106673325435366</v>
      </c>
      <c r="M283" s="1">
        <f t="shared" si="57"/>
        <v>0.22636475664061292</v>
      </c>
      <c r="N283">
        <v>0.49461959861218929</v>
      </c>
      <c r="O283" s="32">
        <f t="shared" si="64"/>
        <v>16.467901467278608</v>
      </c>
      <c r="P283" s="32">
        <f t="shared" si="58"/>
        <v>85.265846151277842</v>
      </c>
      <c r="Q283">
        <v>24</v>
      </c>
      <c r="R283">
        <v>102</v>
      </c>
      <c r="S283" s="32">
        <f t="shared" si="59"/>
        <v>9.1412290377968759</v>
      </c>
      <c r="T283" s="1">
        <f t="shared" si="60"/>
        <v>9.4845600449410075</v>
      </c>
      <c r="U283" s="1">
        <f t="shared" si="61"/>
        <v>9.3756987962460414</v>
      </c>
      <c r="V283" s="1">
        <f t="shared" si="62"/>
        <v>2.4831463366340971</v>
      </c>
      <c r="W283" s="1">
        <f t="shared" si="65"/>
        <v>1.1850771467427247E-2</v>
      </c>
      <c r="X283" s="1">
        <f t="shared" si="66"/>
        <v>0.10886124869496605</v>
      </c>
      <c r="Y283" s="39">
        <f t="shared" si="63"/>
        <v>82.913357362701859</v>
      </c>
      <c r="AB283">
        <v>278</v>
      </c>
      <c r="AC283" s="7">
        <v>0.80510107165380629</v>
      </c>
      <c r="AD283">
        <v>2.5721798595120653</v>
      </c>
      <c r="AE283">
        <v>0.95776744893694898</v>
      </c>
      <c r="AF283" s="7">
        <v>4.3150276891326327E-2</v>
      </c>
      <c r="AG283" s="10">
        <v>129.01259776973788</v>
      </c>
      <c r="AH283" s="1">
        <v>2.1130973124425516</v>
      </c>
      <c r="AI283" s="10">
        <v>428.03119043794527</v>
      </c>
      <c r="AJ283" s="32">
        <v>1797.7244285052629</v>
      </c>
      <c r="AK283">
        <v>320</v>
      </c>
      <c r="AL283" s="7">
        <v>1.1565454898613279</v>
      </c>
    </row>
    <row r="284" spans="1:38" x14ac:dyDescent="0.3">
      <c r="A284">
        <v>79383</v>
      </c>
      <c r="B284">
        <v>30</v>
      </c>
      <c r="C284">
        <v>8</v>
      </c>
      <c r="D284">
        <v>1982</v>
      </c>
      <c r="E284">
        <v>24</v>
      </c>
      <c r="F284">
        <v>8</v>
      </c>
      <c r="G284">
        <v>1987</v>
      </c>
      <c r="H284">
        <v>82</v>
      </c>
      <c r="I284" s="32">
        <f t="shared" si="54"/>
        <v>16.110770276274835</v>
      </c>
      <c r="J284" s="1">
        <v>4.9863013698630096</v>
      </c>
      <c r="K284" s="32">
        <f t="shared" si="55"/>
        <v>16.988472878353154</v>
      </c>
      <c r="L284" s="32">
        <f t="shared" si="56"/>
        <v>90.14052556298833</v>
      </c>
      <c r="M284" s="1">
        <f t="shared" si="57"/>
        <v>0.36961944628324417</v>
      </c>
      <c r="N284">
        <v>-0.82757651398424059</v>
      </c>
      <c r="O284" s="32">
        <f t="shared" si="64"/>
        <v>16.485336680811798</v>
      </c>
      <c r="P284" s="32">
        <f t="shared" si="58"/>
        <v>85.426918050741534</v>
      </c>
      <c r="Q284">
        <v>8</v>
      </c>
      <c r="R284">
        <v>90</v>
      </c>
      <c r="S284" s="32">
        <f t="shared" si="59"/>
        <v>9.332855979925947</v>
      </c>
      <c r="T284" s="1">
        <f t="shared" si="60"/>
        <v>9.4919370713627202</v>
      </c>
      <c r="U284" s="1">
        <f t="shared" si="61"/>
        <v>9.6838113852701309</v>
      </c>
      <c r="V284" s="1">
        <f t="shared" si="62"/>
        <v>3.9933913624084783</v>
      </c>
      <c r="W284" s="1">
        <f t="shared" si="65"/>
        <v>3.6815752337439542E-2</v>
      </c>
      <c r="X284" s="1">
        <f t="shared" si="66"/>
        <v>-0.19187431390741061</v>
      </c>
      <c r="Y284" s="39">
        <f t="shared" si="63"/>
        <v>89.690872113707698</v>
      </c>
      <c r="AB284">
        <v>279</v>
      </c>
      <c r="AC284" s="7">
        <v>0.74423754632638439</v>
      </c>
      <c r="AD284">
        <v>2.0730781879690738</v>
      </c>
      <c r="AE284">
        <v>0.95658946902734399</v>
      </c>
      <c r="AF284" s="7">
        <v>4.4380956549052469E-2</v>
      </c>
      <c r="AG284" s="10">
        <v>125.84737907231252</v>
      </c>
      <c r="AH284" s="1">
        <v>1.5862731549295066</v>
      </c>
      <c r="AI284" s="10">
        <v>249.22136977493537</v>
      </c>
      <c r="AJ284" s="32">
        <v>1794.9924266415765</v>
      </c>
      <c r="AK284">
        <v>320</v>
      </c>
      <c r="AL284" s="7">
        <v>0.88250596629522737</v>
      </c>
    </row>
    <row r="285" spans="1:38" x14ac:dyDescent="0.3">
      <c r="A285">
        <v>79190</v>
      </c>
      <c r="B285">
        <v>13</v>
      </c>
      <c r="C285">
        <v>8</v>
      </c>
      <c r="D285">
        <v>1982</v>
      </c>
      <c r="E285">
        <v>20</v>
      </c>
      <c r="F285">
        <v>6</v>
      </c>
      <c r="G285">
        <v>1987</v>
      </c>
      <c r="H285">
        <v>101</v>
      </c>
      <c r="I285" s="32">
        <f t="shared" si="54"/>
        <v>18.09975124224178</v>
      </c>
      <c r="J285" s="1">
        <v>4.8547945205479497</v>
      </c>
      <c r="K285" s="32">
        <f t="shared" si="55"/>
        <v>18.518631388151718</v>
      </c>
      <c r="L285" s="32">
        <f t="shared" si="56"/>
        <v>105.25355851071123</v>
      </c>
      <c r="M285" s="1">
        <f t="shared" si="57"/>
        <v>0.36210224788602835</v>
      </c>
      <c r="N285">
        <v>0.32860498322406784</v>
      </c>
      <c r="O285" s="32">
        <f t="shared" si="64"/>
        <v>18.716369214383569</v>
      </c>
      <c r="P285" s="32">
        <f t="shared" si="58"/>
        <v>107.29198835666482</v>
      </c>
      <c r="Q285">
        <v>5</v>
      </c>
      <c r="R285">
        <v>106</v>
      </c>
      <c r="S285" s="32">
        <f t="shared" si="59"/>
        <v>10.163794332447125</v>
      </c>
      <c r="T285" s="1">
        <f t="shared" si="60"/>
        <v>10.414852832807618</v>
      </c>
      <c r="U285" s="1">
        <f t="shared" si="61"/>
        <v>10.299233614289065</v>
      </c>
      <c r="V285" s="1">
        <f t="shared" si="62"/>
        <v>3.9155097777385275</v>
      </c>
      <c r="W285" s="1">
        <f t="shared" si="65"/>
        <v>1.3367803690840948E-2</v>
      </c>
      <c r="X285" s="1">
        <f t="shared" si="66"/>
        <v>0.11561921851855317</v>
      </c>
      <c r="Y285" s="39">
        <f t="shared" si="63"/>
        <v>104.36159613403962</v>
      </c>
      <c r="AB285">
        <v>280</v>
      </c>
      <c r="AC285" s="7">
        <v>0.86331396220703094</v>
      </c>
      <c r="AD285">
        <v>3.0640152697143512</v>
      </c>
      <c r="AE285">
        <v>0.9576166798808502</v>
      </c>
      <c r="AF285" s="7">
        <v>4.3307706468132139E-2</v>
      </c>
      <c r="AG285" s="10">
        <v>122.32078499392611</v>
      </c>
      <c r="AH285" s="1">
        <v>2.6875904828790911</v>
      </c>
      <c r="AI285" s="10">
        <v>688.3168867657414</v>
      </c>
      <c r="AJ285" s="32">
        <v>1784.8381117255558</v>
      </c>
      <c r="AK285">
        <v>320</v>
      </c>
      <c r="AL285" s="7">
        <v>1.4666254706444117</v>
      </c>
    </row>
    <row r="286" spans="1:38" x14ac:dyDescent="0.3">
      <c r="A286">
        <v>20603</v>
      </c>
      <c r="B286">
        <v>19</v>
      </c>
      <c r="C286">
        <v>1</v>
      </c>
      <c r="D286">
        <v>1982</v>
      </c>
      <c r="E286">
        <v>12</v>
      </c>
      <c r="F286">
        <v>6</v>
      </c>
      <c r="G286">
        <v>1985</v>
      </c>
      <c r="H286">
        <v>77</v>
      </c>
      <c r="I286" s="32">
        <f t="shared" si="54"/>
        <v>15.549928774784245</v>
      </c>
      <c r="J286" s="1">
        <v>3.3972602739725999</v>
      </c>
      <c r="K286" s="32">
        <f t="shared" si="55"/>
        <v>16.261578623885686</v>
      </c>
      <c r="L286" s="32">
        <f t="shared" si="56"/>
        <v>83.371313459089663</v>
      </c>
      <c r="M286" s="1">
        <f t="shared" si="57"/>
        <v>0.27162784750228869</v>
      </c>
      <c r="N286">
        <v>4.0746499507804401E-2</v>
      </c>
      <c r="O286" s="32">
        <f t="shared" si="64"/>
        <v>16.282814855380629</v>
      </c>
      <c r="P286" s="32">
        <f t="shared" si="58"/>
        <v>83.565329759031655</v>
      </c>
      <c r="Q286">
        <v>22</v>
      </c>
      <c r="R286">
        <v>99</v>
      </c>
      <c r="S286" s="32">
        <f t="shared" si="59"/>
        <v>9.0922615112669138</v>
      </c>
      <c r="T286" s="1">
        <f t="shared" si="60"/>
        <v>9.406081063444141</v>
      </c>
      <c r="U286" s="1">
        <f t="shared" si="61"/>
        <v>9.3862260079311692</v>
      </c>
      <c r="V286" s="1">
        <f t="shared" si="62"/>
        <v>2.9660285265405175</v>
      </c>
      <c r="W286" s="1">
        <f t="shared" si="65"/>
        <v>3.9422322942318913E-4</v>
      </c>
      <c r="X286" s="1">
        <f t="shared" si="66"/>
        <v>1.9855055512971731E-2</v>
      </c>
      <c r="Y286" s="39">
        <f t="shared" si="63"/>
        <v>83.13885971607229</v>
      </c>
      <c r="AB286">
        <v>281</v>
      </c>
      <c r="AC286" s="7">
        <v>0.73481566614320482</v>
      </c>
      <c r="AD286">
        <v>2.0920972330109482</v>
      </c>
      <c r="AE286">
        <v>0.95394832668068164</v>
      </c>
      <c r="AF286" s="7">
        <v>4.7145773905767838E-2</v>
      </c>
      <c r="AG286" s="10">
        <v>123.24636110697472</v>
      </c>
      <c r="AH286" s="1">
        <v>1.5833574952306138</v>
      </c>
      <c r="AI286" s="10">
        <v>212.78124326758208</v>
      </c>
      <c r="AJ286" s="32">
        <v>1769.2776335672199</v>
      </c>
      <c r="AK286">
        <v>320</v>
      </c>
      <c r="AL286" s="7">
        <v>0.81543938169013763</v>
      </c>
    </row>
    <row r="287" spans="1:38" x14ac:dyDescent="0.3">
      <c r="A287">
        <v>79526</v>
      </c>
      <c r="B287">
        <v>5</v>
      </c>
      <c r="C287">
        <v>9</v>
      </c>
      <c r="D287">
        <v>1982</v>
      </c>
      <c r="E287">
        <v>15</v>
      </c>
      <c r="F287">
        <v>6</v>
      </c>
      <c r="G287">
        <v>1985</v>
      </c>
      <c r="H287">
        <v>81</v>
      </c>
      <c r="I287" s="32">
        <f t="shared" si="54"/>
        <v>16</v>
      </c>
      <c r="J287" s="1">
        <v>2.7780821917808201</v>
      </c>
      <c r="K287" s="32">
        <f t="shared" si="55"/>
        <v>16.531239333884479</v>
      </c>
      <c r="L287" s="32">
        <f t="shared" si="56"/>
        <v>85.85170781242681</v>
      </c>
      <c r="M287" s="1">
        <f t="shared" si="57"/>
        <v>0.22890573699287478</v>
      </c>
      <c r="N287">
        <v>0.44059675019525457</v>
      </c>
      <c r="O287" s="32">
        <f t="shared" si="64"/>
        <v>16.742038859016013</v>
      </c>
      <c r="P287" s="32">
        <f t="shared" si="58"/>
        <v>87.816005148216561</v>
      </c>
      <c r="Q287">
        <v>11</v>
      </c>
      <c r="R287">
        <v>92</v>
      </c>
      <c r="S287" s="32">
        <f t="shared" si="59"/>
        <v>9.2855678299812343</v>
      </c>
      <c r="T287" s="1">
        <f t="shared" si="60"/>
        <v>9.6002408679580586</v>
      </c>
      <c r="U287" s="1">
        <f t="shared" si="61"/>
        <v>9.5009539402340728</v>
      </c>
      <c r="V287" s="1">
        <f t="shared" si="62"/>
        <v>2.5103855460775528</v>
      </c>
      <c r="W287" s="1">
        <f t="shared" si="65"/>
        <v>9.8578940168679886E-3</v>
      </c>
      <c r="X287" s="1">
        <f t="shared" si="66"/>
        <v>9.9286927723985841E-2</v>
      </c>
      <c r="Y287" s="39">
        <f t="shared" si="63"/>
        <v>85.624081100459733</v>
      </c>
      <c r="AB287">
        <v>282</v>
      </c>
      <c r="AC287" s="7">
        <v>0.12499329944695396</v>
      </c>
      <c r="AD287">
        <v>0.33898317390740845</v>
      </c>
      <c r="AE287">
        <v>0.94911862265117941</v>
      </c>
      <c r="AF287" s="7">
        <v>5.2221490658796908E-2</v>
      </c>
      <c r="AG287" s="10">
        <v>127.3231284029433</v>
      </c>
      <c r="AH287" s="1">
        <v>9.3252002712508164E-2</v>
      </c>
      <c r="AI287" s="10">
        <v>1.0753596685722</v>
      </c>
      <c r="AJ287" s="32">
        <v>1793.0730333032011</v>
      </c>
      <c r="AK287">
        <v>320</v>
      </c>
      <c r="AL287" s="7">
        <v>5.796981080086535E-2</v>
      </c>
    </row>
    <row r="288" spans="1:38" x14ac:dyDescent="0.3">
      <c r="A288">
        <v>78702</v>
      </c>
      <c r="B288">
        <v>24</v>
      </c>
      <c r="C288">
        <v>7</v>
      </c>
      <c r="D288">
        <v>1982</v>
      </c>
      <c r="E288">
        <v>11</v>
      </c>
      <c r="F288">
        <v>5</v>
      </c>
      <c r="G288">
        <v>1988</v>
      </c>
      <c r="H288">
        <v>74</v>
      </c>
      <c r="I288" s="32">
        <f t="shared" si="54"/>
        <v>15.204650534085253</v>
      </c>
      <c r="J288" s="1">
        <v>5.8027397260273998</v>
      </c>
      <c r="K288" s="32">
        <f t="shared" si="55"/>
        <v>16.439129811469069</v>
      </c>
      <c r="L288" s="32">
        <f t="shared" si="56"/>
        <v>85.000377051051842</v>
      </c>
      <c r="M288" s="1">
        <f t="shared" si="57"/>
        <v>0.41408645110372638</v>
      </c>
      <c r="N288">
        <v>-0.37959580367896706</v>
      </c>
      <c r="O288" s="32">
        <f t="shared" si="64"/>
        <v>16.194861622170261</v>
      </c>
      <c r="P288" s="32">
        <f t="shared" si="58"/>
        <v>82.763247362481053</v>
      </c>
      <c r="Q288">
        <v>12</v>
      </c>
      <c r="R288">
        <v>86</v>
      </c>
      <c r="S288" s="32">
        <f t="shared" si="59"/>
        <v>8.9426609766862715</v>
      </c>
      <c r="T288" s="1">
        <f t="shared" si="60"/>
        <v>9.3686801428227433</v>
      </c>
      <c r="U288" s="1">
        <f t="shared" si="61"/>
        <v>9.4552671930947625</v>
      </c>
      <c r="V288" s="1">
        <f t="shared" si="62"/>
        <v>4.4506975423330637</v>
      </c>
      <c r="W288" s="1">
        <f t="shared" si="65"/>
        <v>7.497317274809177E-3</v>
      </c>
      <c r="X288" s="1">
        <f t="shared" si="66"/>
        <v>-8.6587050272019184E-2</v>
      </c>
      <c r="Y288" s="39">
        <f t="shared" si="63"/>
        <v>84.62833653950949</v>
      </c>
      <c r="AB288">
        <v>283</v>
      </c>
      <c r="AC288" s="7">
        <v>0.36098022636727584</v>
      </c>
      <c r="AD288">
        <v>0.60082683217554622</v>
      </c>
      <c r="AE288">
        <v>0.95417900241350373</v>
      </c>
      <c r="AF288" s="7">
        <v>4.6903991577692962E-2</v>
      </c>
      <c r="AG288" s="10">
        <v>126.17361587177793</v>
      </c>
      <c r="AH288" s="1">
        <v>0.26270760347275823</v>
      </c>
      <c r="AI288" s="10">
        <v>8.2464835872603004</v>
      </c>
      <c r="AJ288" s="32">
        <v>1781.1821857025866</v>
      </c>
      <c r="AK288">
        <v>320</v>
      </c>
      <c r="AL288" s="7">
        <v>0.16053118454116147</v>
      </c>
    </row>
    <row r="289" spans="1:38" x14ac:dyDescent="0.3">
      <c r="A289">
        <v>22667</v>
      </c>
      <c r="B289">
        <v>26</v>
      </c>
      <c r="C289">
        <v>7</v>
      </c>
      <c r="D289">
        <v>1982</v>
      </c>
      <c r="E289">
        <v>16</v>
      </c>
      <c r="F289">
        <v>6</v>
      </c>
      <c r="G289">
        <v>1986</v>
      </c>
      <c r="H289">
        <v>57</v>
      </c>
      <c r="I289" s="32">
        <f t="shared" si="54"/>
        <v>13.0996688705415</v>
      </c>
      <c r="J289" s="1">
        <v>3.8931506849315101</v>
      </c>
      <c r="K289" s="32">
        <f t="shared" si="55"/>
        <v>14.348749342056729</v>
      </c>
      <c r="L289" s="32">
        <f t="shared" si="56"/>
        <v>66.820401262350074</v>
      </c>
      <c r="M289" s="1">
        <f t="shared" si="57"/>
        <v>0.30393933487120284</v>
      </c>
      <c r="N289">
        <v>0.24102746465359814</v>
      </c>
      <c r="O289" s="32">
        <f t="shared" si="64"/>
        <v>14.481629454472387</v>
      </c>
      <c r="P289" s="32">
        <f t="shared" si="58"/>
        <v>67.911027368632929</v>
      </c>
      <c r="Q289">
        <v>14</v>
      </c>
      <c r="R289">
        <v>71</v>
      </c>
      <c r="S289" s="32">
        <f t="shared" si="59"/>
        <v>8.0041122654507237</v>
      </c>
      <c r="T289" s="1">
        <f t="shared" si="60"/>
        <v>8.6255769697845288</v>
      </c>
      <c r="U289" s="1">
        <f t="shared" si="61"/>
        <v>8.5602047367045309</v>
      </c>
      <c r="V289" s="1">
        <f t="shared" si="62"/>
        <v>3.3076118141259339</v>
      </c>
      <c r="W289" s="1">
        <f t="shared" si="65"/>
        <v>4.2735288578655784E-3</v>
      </c>
      <c r="X289" s="1">
        <f t="shared" si="66"/>
        <v>6.5372233079997955E-2</v>
      </c>
      <c r="Y289" s="39">
        <f t="shared" si="63"/>
        <v>66.700402764865927</v>
      </c>
      <c r="AB289">
        <v>284</v>
      </c>
      <c r="AC289" s="7">
        <v>0.4474896881982397</v>
      </c>
      <c r="AD289">
        <v>0.82670122491185039</v>
      </c>
      <c r="AE289">
        <v>0.95134431346060455</v>
      </c>
      <c r="AF289" s="7">
        <v>4.9879227850424028E-2</v>
      </c>
      <c r="AG289" s="10">
        <v>122.65267317923568</v>
      </c>
      <c r="AH289" s="1">
        <v>0.41859595990830223</v>
      </c>
      <c r="AI289" s="10">
        <v>21.050705535436602</v>
      </c>
      <c r="AJ289" s="32">
        <v>1836.1288089119209</v>
      </c>
      <c r="AK289">
        <v>320</v>
      </c>
      <c r="AL289" s="7">
        <v>0.25648285478417343</v>
      </c>
    </row>
    <row r="290" spans="1:38" x14ac:dyDescent="0.3">
      <c r="A290">
        <v>22742</v>
      </c>
      <c r="B290">
        <v>28</v>
      </c>
      <c r="C290">
        <v>7</v>
      </c>
      <c r="D290">
        <v>1982</v>
      </c>
      <c r="E290">
        <v>10</v>
      </c>
      <c r="F290">
        <v>5</v>
      </c>
      <c r="G290">
        <v>1984</v>
      </c>
      <c r="H290">
        <v>56</v>
      </c>
      <c r="I290" s="32">
        <f t="shared" si="54"/>
        <v>12.966629547095765</v>
      </c>
      <c r="J290" s="1">
        <v>1.7863013698630099</v>
      </c>
      <c r="K290" s="32">
        <f t="shared" si="55"/>
        <v>13.58242226004122</v>
      </c>
      <c r="L290" s="32">
        <f t="shared" si="56"/>
        <v>60.702970872557032</v>
      </c>
      <c r="M290" s="1">
        <f t="shared" si="57"/>
        <v>0.15456044297764038</v>
      </c>
      <c r="N290">
        <v>-0.41494558900012635</v>
      </c>
      <c r="O290" s="32">
        <f t="shared" si="64"/>
        <v>13.419289821129864</v>
      </c>
      <c r="P290" s="32">
        <f t="shared" si="58"/>
        <v>59.438624646999756</v>
      </c>
      <c r="Q290">
        <v>4</v>
      </c>
      <c r="R290">
        <v>60</v>
      </c>
      <c r="S290" s="32">
        <f t="shared" si="59"/>
        <v>7.9431464222722967</v>
      </c>
      <c r="T290" s="1">
        <f t="shared" si="60"/>
        <v>8.149736847693422</v>
      </c>
      <c r="U290" s="1">
        <f t="shared" si="61"/>
        <v>8.2203580105634249</v>
      </c>
      <c r="V290" s="1">
        <f t="shared" si="62"/>
        <v>1.7072526032931918</v>
      </c>
      <c r="W290" s="1">
        <f t="shared" si="65"/>
        <v>4.9873486451114711E-3</v>
      </c>
      <c r="X290" s="1">
        <f t="shared" si="66"/>
        <v>-7.0621162870002863E-2</v>
      </c>
      <c r="Y290" s="39">
        <f t="shared" si="63"/>
        <v>60.646887096771422</v>
      </c>
      <c r="AB290">
        <v>285</v>
      </c>
      <c r="AC290" s="7">
        <v>0.90697240871359919</v>
      </c>
      <c r="AD290">
        <v>3.8579927689770663</v>
      </c>
      <c r="AE290">
        <v>0.95689706150476461</v>
      </c>
      <c r="AF290" s="7">
        <v>4.4059457050454442E-2</v>
      </c>
      <c r="AG290" s="10">
        <v>129.1701068367056</v>
      </c>
      <c r="AH290" s="1">
        <v>3.5421959329740136</v>
      </c>
      <c r="AI290" s="10">
        <v>966.18104666211582</v>
      </c>
      <c r="AJ290" s="32">
        <v>1770.709397528313</v>
      </c>
      <c r="AK290">
        <v>320</v>
      </c>
      <c r="AL290" s="7">
        <v>1.73761784372143</v>
      </c>
    </row>
    <row r="291" spans="1:38" x14ac:dyDescent="0.3">
      <c r="A291">
        <v>22716</v>
      </c>
      <c r="B291">
        <v>28</v>
      </c>
      <c r="C291">
        <v>7</v>
      </c>
      <c r="D291">
        <v>1982</v>
      </c>
      <c r="E291">
        <v>18</v>
      </c>
      <c r="F291">
        <v>6</v>
      </c>
      <c r="G291">
        <v>1987</v>
      </c>
      <c r="H291">
        <v>66</v>
      </c>
      <c r="I291" s="32">
        <f t="shared" si="54"/>
        <v>14.248076809271922</v>
      </c>
      <c r="J291" s="1">
        <v>4.8931506849315101</v>
      </c>
      <c r="K291" s="32">
        <f t="shared" si="55"/>
        <v>15.524811613980837</v>
      </c>
      <c r="L291" s="32">
        <f t="shared" si="56"/>
        <v>76.779755526379418</v>
      </c>
      <c r="M291" s="1">
        <f t="shared" si="57"/>
        <v>0.36430524972126055</v>
      </c>
      <c r="N291">
        <v>-0.95554014478693716</v>
      </c>
      <c r="O291" s="32">
        <f t="shared" si="64"/>
        <v>14.948069516639171</v>
      </c>
      <c r="P291" s="32">
        <f t="shared" si="58"/>
        <v>71.809265085208494</v>
      </c>
      <c r="Q291">
        <v>23</v>
      </c>
      <c r="R291">
        <v>89</v>
      </c>
      <c r="S291" s="32">
        <f t="shared" si="59"/>
        <v>8.5220073941514993</v>
      </c>
      <c r="T291" s="1">
        <f t="shared" si="60"/>
        <v>8.8307373440173738</v>
      </c>
      <c r="U291" s="1">
        <f t="shared" si="61"/>
        <v>9.0712008697576731</v>
      </c>
      <c r="V291" s="1">
        <f t="shared" si="62"/>
        <v>3.9383506164282438</v>
      </c>
      <c r="W291" s="1">
        <f t="shared" si="65"/>
        <v>5.7822707211455625E-2</v>
      </c>
      <c r="X291" s="1">
        <f t="shared" si="66"/>
        <v>-0.24046352574029939</v>
      </c>
      <c r="Y291" s="39">
        <f t="shared" si="63"/>
        <v>76.572653408234743</v>
      </c>
      <c r="AB291">
        <v>286</v>
      </c>
      <c r="AC291" s="7">
        <v>0.79166327885447096</v>
      </c>
      <c r="AD291">
        <v>2.8234840067608755</v>
      </c>
      <c r="AE291">
        <v>0.94822188121686191</v>
      </c>
      <c r="AF291" s="7">
        <v>5.3166752196471004E-2</v>
      </c>
      <c r="AG291" s="10">
        <v>119.69099826295975</v>
      </c>
      <c r="AH291" s="1">
        <v>2.2870267253686123</v>
      </c>
      <c r="AI291" s="10">
        <v>391.07958084477002</v>
      </c>
      <c r="AJ291" s="32">
        <v>1800.7561035050317</v>
      </c>
      <c r="AK291">
        <v>320</v>
      </c>
      <c r="AL291" s="7">
        <v>1.1054970330760308</v>
      </c>
    </row>
    <row r="292" spans="1:38" x14ac:dyDescent="0.3">
      <c r="A292">
        <v>76681</v>
      </c>
      <c r="B292">
        <v>30</v>
      </c>
      <c r="C292">
        <v>7</v>
      </c>
      <c r="D292">
        <v>1982</v>
      </c>
      <c r="E292">
        <v>29</v>
      </c>
      <c r="F292">
        <v>7</v>
      </c>
      <c r="G292">
        <v>1984</v>
      </c>
      <c r="H292">
        <v>58</v>
      </c>
      <c r="I292" s="32">
        <f t="shared" si="54"/>
        <v>13.231546211727817</v>
      </c>
      <c r="J292" s="1">
        <v>2</v>
      </c>
      <c r="K292" s="32">
        <f t="shared" si="55"/>
        <v>13.891470456084354</v>
      </c>
      <c r="L292" s="32">
        <f t="shared" si="56"/>
        <v>63.134708314150465</v>
      </c>
      <c r="M292" s="1">
        <f t="shared" si="57"/>
        <v>0.17122499999999993</v>
      </c>
      <c r="N292">
        <v>0.11480778994155116</v>
      </c>
      <c r="O292" s="32">
        <f t="shared" si="64"/>
        <v>13.93897716489888</v>
      </c>
      <c r="P292" s="32">
        <f t="shared" si="58"/>
        <v>63.512748265791984</v>
      </c>
      <c r="Q292">
        <v>9</v>
      </c>
      <c r="R292">
        <v>67</v>
      </c>
      <c r="S292" s="32">
        <f t="shared" si="59"/>
        <v>8.0643408766899647</v>
      </c>
      <c r="T292" s="1">
        <f t="shared" si="60"/>
        <v>8.3840463617449608</v>
      </c>
      <c r="U292" s="1">
        <f t="shared" si="61"/>
        <v>8.3592653971511037</v>
      </c>
      <c r="V292" s="1">
        <f t="shared" si="62"/>
        <v>1.8883601769347074</v>
      </c>
      <c r="W292" s="1">
        <f t="shared" si="65"/>
        <v>6.1409620620199597E-4</v>
      </c>
      <c r="X292" s="1">
        <f t="shared" si="66"/>
        <v>2.4780964593857036E-2</v>
      </c>
      <c r="Y292" s="39">
        <f t="shared" si="63"/>
        <v>63.072976208172996</v>
      </c>
      <c r="AB292">
        <v>287</v>
      </c>
      <c r="AC292" s="7">
        <v>0.41157339863520087</v>
      </c>
      <c r="AD292">
        <v>0.74837642623153089</v>
      </c>
      <c r="AE292">
        <v>0.95083851432761368</v>
      </c>
      <c r="AF292" s="7">
        <v>5.0411037030406877E-2</v>
      </c>
      <c r="AG292" s="10">
        <v>123.76250594952505</v>
      </c>
      <c r="AH292" s="1">
        <v>0.35717331487496318</v>
      </c>
      <c r="AI292" s="10">
        <v>12.643200371744516</v>
      </c>
      <c r="AJ292" s="32">
        <v>1774.4997353289716</v>
      </c>
      <c r="AK292">
        <v>320</v>
      </c>
      <c r="AL292" s="7">
        <v>0.19877122820393703</v>
      </c>
    </row>
    <row r="293" spans="1:38" x14ac:dyDescent="0.3">
      <c r="A293">
        <v>22695</v>
      </c>
      <c r="B293">
        <v>27</v>
      </c>
      <c r="C293">
        <v>7</v>
      </c>
      <c r="D293">
        <v>1982</v>
      </c>
      <c r="E293">
        <v>4</v>
      </c>
      <c r="F293">
        <v>5</v>
      </c>
      <c r="G293">
        <v>1984</v>
      </c>
      <c r="H293">
        <v>67</v>
      </c>
      <c r="I293" s="32">
        <f t="shared" si="54"/>
        <v>14.370705543744901</v>
      </c>
      <c r="J293" s="1">
        <v>1.77260273972603</v>
      </c>
      <c r="K293" s="32">
        <f t="shared" si="55"/>
        <v>14.859956813200519</v>
      </c>
      <c r="L293" s="32">
        <f t="shared" si="56"/>
        <v>71.064535935746648</v>
      </c>
      <c r="M293" s="1">
        <f t="shared" si="57"/>
        <v>0.15347969083428695</v>
      </c>
      <c r="N293">
        <v>-1.0286180440743919</v>
      </c>
      <c r="O293" s="32">
        <f t="shared" si="64"/>
        <v>14.456980428463854</v>
      </c>
      <c r="P293" s="32">
        <f t="shared" si="58"/>
        <v>67.708051205710589</v>
      </c>
      <c r="Q293">
        <v>10</v>
      </c>
      <c r="R293">
        <v>77</v>
      </c>
      <c r="S293" s="32">
        <f t="shared" si="59"/>
        <v>8.5764587365829126</v>
      </c>
      <c r="T293" s="1">
        <f t="shared" si="60"/>
        <v>8.614673210202513</v>
      </c>
      <c r="U293" s="1">
        <f t="shared" si="61"/>
        <v>8.7885747648946086</v>
      </c>
      <c r="V293" s="1">
        <f t="shared" si="62"/>
        <v>1.6954861430374257</v>
      </c>
      <c r="W293" s="1">
        <f t="shared" si="65"/>
        <v>3.0241750724327943E-2</v>
      </c>
      <c r="X293" s="1">
        <f t="shared" si="66"/>
        <v>-0.17390155469209567</v>
      </c>
      <c r="Y293" s="39">
        <f t="shared" si="63"/>
        <v>70.995794260931859</v>
      </c>
      <c r="AB293">
        <v>288</v>
      </c>
      <c r="AC293" s="7">
        <v>0.44446133682500488</v>
      </c>
      <c r="AD293">
        <v>0.79374354822840465</v>
      </c>
      <c r="AE293">
        <v>0.95230481093151842</v>
      </c>
      <c r="AF293" s="7">
        <v>4.887011588739109E-2</v>
      </c>
      <c r="AG293" s="10">
        <v>119.99650946694405</v>
      </c>
      <c r="AH293" s="1">
        <v>0.40048350761030105</v>
      </c>
      <c r="AI293" s="10">
        <v>17.914599298883473</v>
      </c>
      <c r="AJ293" s="32">
        <v>1791.8240178062401</v>
      </c>
      <c r="AK293">
        <v>320</v>
      </c>
      <c r="AL293" s="7">
        <v>0.23660752906239238</v>
      </c>
    </row>
    <row r="294" spans="1:38" x14ac:dyDescent="0.3">
      <c r="A294">
        <v>79530</v>
      </c>
      <c r="B294">
        <v>5</v>
      </c>
      <c r="C294">
        <v>9</v>
      </c>
      <c r="D294">
        <v>1982</v>
      </c>
      <c r="E294">
        <v>13</v>
      </c>
      <c r="F294">
        <v>9</v>
      </c>
      <c r="G294">
        <v>1982</v>
      </c>
      <c r="H294">
        <v>57</v>
      </c>
      <c r="I294" s="32">
        <f t="shared" si="54"/>
        <v>13.0996688705415</v>
      </c>
      <c r="J294" s="1">
        <v>2.19178082191781E-2</v>
      </c>
      <c r="K294" s="32">
        <f t="shared" si="55"/>
        <v>13.10742211621778</v>
      </c>
      <c r="L294" s="32">
        <f t="shared" si="56"/>
        <v>57.058550749396524</v>
      </c>
      <c r="M294" s="1">
        <f t="shared" si="57"/>
        <v>2.0731820827621407E-3</v>
      </c>
      <c r="N294">
        <v>0.30127239369903691</v>
      </c>
      <c r="O294" s="32">
        <f t="shared" si="64"/>
        <v>13.121139713900765</v>
      </c>
      <c r="P294" s="32">
        <f t="shared" si="58"/>
        <v>57.162216561826732</v>
      </c>
      <c r="Q294">
        <v>0</v>
      </c>
      <c r="R294">
        <v>57</v>
      </c>
      <c r="S294" s="32">
        <f t="shared" si="59"/>
        <v>8.0041122654507237</v>
      </c>
      <c r="T294" s="1">
        <f t="shared" si="60"/>
        <v>8.0139318639684074</v>
      </c>
      <c r="U294" s="1">
        <f t="shared" si="61"/>
        <v>8.007615251714336</v>
      </c>
      <c r="V294" s="1">
        <f t="shared" si="62"/>
        <v>2.3210566776309411E-2</v>
      </c>
      <c r="W294" s="1">
        <f t="shared" si="65"/>
        <v>3.9899590368285351E-5</v>
      </c>
      <c r="X294" s="1">
        <f t="shared" si="66"/>
        <v>6.3166122540714298E-3</v>
      </c>
      <c r="Y294" s="39">
        <f t="shared" si="63"/>
        <v>57.057831513477105</v>
      </c>
      <c r="AB294">
        <v>289</v>
      </c>
      <c r="AC294" s="7">
        <v>0.6411095375295266</v>
      </c>
      <c r="AD294">
        <v>1.3428388506301547</v>
      </c>
      <c r="AE294">
        <v>0.95943255290489871</v>
      </c>
      <c r="AF294" s="7">
        <v>4.1413260007311596E-2</v>
      </c>
      <c r="AG294" s="10">
        <v>126.09418756004921</v>
      </c>
      <c r="AH294" s="1">
        <v>0.9014742415992808</v>
      </c>
      <c r="AI294" s="10">
        <v>107.47429491372472</v>
      </c>
      <c r="AJ294" s="32">
        <v>1816.6738396458018</v>
      </c>
      <c r="AK294">
        <v>320</v>
      </c>
      <c r="AL294" s="7">
        <v>0.57953185555704334</v>
      </c>
    </row>
    <row r="295" spans="1:38" x14ac:dyDescent="0.3">
      <c r="A295">
        <v>79330</v>
      </c>
      <c r="B295">
        <v>25</v>
      </c>
      <c r="C295">
        <v>8</v>
      </c>
      <c r="D295">
        <v>1982</v>
      </c>
      <c r="E295">
        <v>10</v>
      </c>
      <c r="F295">
        <v>6</v>
      </c>
      <c r="G295">
        <v>1985</v>
      </c>
      <c r="H295">
        <v>118</v>
      </c>
      <c r="I295" s="32">
        <f t="shared" si="54"/>
        <v>19.725560982400431</v>
      </c>
      <c r="J295" s="1">
        <v>2.79452054794521</v>
      </c>
      <c r="K295" s="32">
        <f t="shared" si="55"/>
        <v>19.762209766538618</v>
      </c>
      <c r="L295" s="32">
        <f t="shared" si="56"/>
        <v>118.3984434807072</v>
      </c>
      <c r="M295" s="1">
        <f t="shared" si="57"/>
        <v>0.23007536947793278</v>
      </c>
      <c r="N295">
        <v>-0.25190956876031123</v>
      </c>
      <c r="O295" s="32">
        <f t="shared" si="64"/>
        <v>19.641378388493038</v>
      </c>
      <c r="P295" s="32">
        <f t="shared" si="58"/>
        <v>117.08731463848338</v>
      </c>
      <c r="Q295">
        <v>13</v>
      </c>
      <c r="R295">
        <v>131</v>
      </c>
      <c r="S295" s="32">
        <f t="shared" si="59"/>
        <v>10.819599370205324</v>
      </c>
      <c r="T295" s="1">
        <f t="shared" si="60"/>
        <v>10.786119208891582</v>
      </c>
      <c r="U295" s="1">
        <f t="shared" si="61"/>
        <v>10.802295077574346</v>
      </c>
      <c r="V295" s="1">
        <f t="shared" si="62"/>
        <v>2.5229188061476302</v>
      </c>
      <c r="W295" s="1">
        <f t="shared" si="65"/>
        <v>2.6165872764201056E-4</v>
      </c>
      <c r="X295" s="1">
        <f t="shared" si="66"/>
        <v>-1.617586868276355E-2</v>
      </c>
      <c r="Y295" s="39">
        <f t="shared" si="63"/>
        <v>117.52766307085102</v>
      </c>
      <c r="AB295">
        <v>290</v>
      </c>
      <c r="AC295" s="7">
        <v>0.68905427172549905</v>
      </c>
      <c r="AD295">
        <v>1.6372678697430858</v>
      </c>
      <c r="AE295">
        <v>0.95851688006389602</v>
      </c>
      <c r="AF295" s="7">
        <v>4.2368105734558827E-2</v>
      </c>
      <c r="AG295" s="10">
        <v>127.23337501140637</v>
      </c>
      <c r="AH295" s="1">
        <v>1.1696495395414854</v>
      </c>
      <c r="AI295" s="10">
        <v>145.10332925511719</v>
      </c>
      <c r="AJ295" s="32">
        <v>1778.0906897710079</v>
      </c>
      <c r="AK295">
        <v>320</v>
      </c>
      <c r="AL295" s="7">
        <v>0.67338540518951051</v>
      </c>
    </row>
    <row r="296" spans="1:38" x14ac:dyDescent="0.3">
      <c r="A296">
        <v>77041</v>
      </c>
      <c r="B296">
        <v>1</v>
      </c>
      <c r="C296">
        <v>8</v>
      </c>
      <c r="D296">
        <v>1982</v>
      </c>
      <c r="E296">
        <v>8</v>
      </c>
      <c r="F296">
        <v>5</v>
      </c>
      <c r="G296">
        <v>1983</v>
      </c>
      <c r="H296">
        <v>82</v>
      </c>
      <c r="I296" s="32">
        <f t="shared" si="54"/>
        <v>16.110770276274835</v>
      </c>
      <c r="J296" s="1">
        <v>0.76712328767123295</v>
      </c>
      <c r="K296" s="32">
        <f t="shared" si="55"/>
        <v>16.260833061382215</v>
      </c>
      <c r="L296" s="32">
        <f t="shared" si="56"/>
        <v>83.364506023917443</v>
      </c>
      <c r="M296" s="1">
        <f t="shared" si="57"/>
        <v>6.9858132454555105E-2</v>
      </c>
      <c r="N296">
        <v>1.2754389899782836</v>
      </c>
      <c r="O296" s="32">
        <f t="shared" si="64"/>
        <v>16.597940375060034</v>
      </c>
      <c r="P296" s="32">
        <f t="shared" si="58"/>
        <v>86.470846548572041</v>
      </c>
      <c r="Q296">
        <v>3</v>
      </c>
      <c r="R296">
        <v>85</v>
      </c>
      <c r="S296" s="32">
        <f t="shared" si="59"/>
        <v>9.332855979925947</v>
      </c>
      <c r="T296" s="1">
        <f t="shared" si="60"/>
        <v>9.5395162418440584</v>
      </c>
      <c r="U296" s="1">
        <f t="shared" si="61"/>
        <v>9.3938137089430818</v>
      </c>
      <c r="V296" s="1">
        <f t="shared" si="62"/>
        <v>0.77758349786273828</v>
      </c>
      <c r="W296" s="1">
        <f t="shared" si="65"/>
        <v>2.122922809376019E-2</v>
      </c>
      <c r="X296" s="1">
        <f t="shared" si="66"/>
        <v>0.14570253290097668</v>
      </c>
      <c r="Y296" s="39">
        <f t="shared" si="63"/>
        <v>83.301658594315754</v>
      </c>
      <c r="AB296">
        <v>291</v>
      </c>
      <c r="AC296" s="7">
        <v>0.1313537243511137</v>
      </c>
      <c r="AD296">
        <v>0.39209117665222193</v>
      </c>
      <c r="AE296">
        <v>0.94038043708120267</v>
      </c>
      <c r="AF296" s="7">
        <v>6.1470765296105144E-2</v>
      </c>
      <c r="AG296" s="10">
        <v>114.4604096332211</v>
      </c>
      <c r="AH296" s="1">
        <v>0.11112219925727712</v>
      </c>
      <c r="AI296" s="10">
        <v>1.1235565618431138</v>
      </c>
      <c r="AJ296" s="32">
        <v>1780.3189097297418</v>
      </c>
      <c r="AK296">
        <v>320</v>
      </c>
      <c r="AL296" s="7">
        <v>5.9254655983810509E-2</v>
      </c>
    </row>
    <row r="297" spans="1:38" x14ac:dyDescent="0.3">
      <c r="A297">
        <v>79123</v>
      </c>
      <c r="B297">
        <v>9</v>
      </c>
      <c r="C297">
        <v>8</v>
      </c>
      <c r="D297">
        <v>1982</v>
      </c>
      <c r="E297">
        <v>12</v>
      </c>
      <c r="F297">
        <v>5</v>
      </c>
      <c r="G297">
        <v>1983</v>
      </c>
      <c r="H297">
        <v>92</v>
      </c>
      <c r="I297" s="32">
        <f t="shared" si="54"/>
        <v>17.183326093250876</v>
      </c>
      <c r="J297" s="1">
        <v>0.75616438356164395</v>
      </c>
      <c r="K297" s="32">
        <f t="shared" si="55"/>
        <v>17.290482537796862</v>
      </c>
      <c r="L297" s="32">
        <f t="shared" si="56"/>
        <v>93.030679135261423</v>
      </c>
      <c r="M297" s="1">
        <f t="shared" si="57"/>
        <v>6.889837327433887E-2</v>
      </c>
      <c r="N297">
        <v>-0.84581415649154224</v>
      </c>
      <c r="O297" s="32">
        <f t="shared" si="64"/>
        <v>17.06846901207302</v>
      </c>
      <c r="P297" s="32">
        <f t="shared" si="58"/>
        <v>90.901627616097258</v>
      </c>
      <c r="Q297">
        <v>1</v>
      </c>
      <c r="R297">
        <v>93</v>
      </c>
      <c r="S297" s="32">
        <f t="shared" si="59"/>
        <v>9.7850902466069272</v>
      </c>
      <c r="T297" s="1">
        <f t="shared" si="60"/>
        <v>9.7371379294836515</v>
      </c>
      <c r="U297" s="1">
        <f t="shared" si="61"/>
        <v>9.8254022836318615</v>
      </c>
      <c r="V297" s="1">
        <f t="shared" si="62"/>
        <v>0.7669650202185172</v>
      </c>
      <c r="W297" s="1">
        <f t="shared" si="65"/>
        <v>7.7905962132006337E-3</v>
      </c>
      <c r="X297" s="1">
        <f t="shared" si="66"/>
        <v>-8.8264354148209989E-2</v>
      </c>
      <c r="Y297" s="39">
        <f t="shared" si="63"/>
        <v>92.930460191679273</v>
      </c>
      <c r="AB297">
        <v>292</v>
      </c>
      <c r="AC297" s="7">
        <v>0.46364207106596089</v>
      </c>
      <c r="AD297">
        <v>0.84102675148196548</v>
      </c>
      <c r="AE297">
        <v>0.95283677398978484</v>
      </c>
      <c r="AF297" s="7">
        <v>4.8311665978678919E-2</v>
      </c>
      <c r="AG297" s="10">
        <v>121.78916948965276</v>
      </c>
      <c r="AH297" s="1">
        <v>0.43709861088919083</v>
      </c>
      <c r="AI297" s="10">
        <v>23.134855949516375</v>
      </c>
      <c r="AJ297" s="32">
        <v>1820.7832853712923</v>
      </c>
      <c r="AK297">
        <v>320</v>
      </c>
      <c r="AL297" s="7">
        <v>0.26887994503539803</v>
      </c>
    </row>
    <row r="298" spans="1:38" x14ac:dyDescent="0.3">
      <c r="A298">
        <v>76963</v>
      </c>
      <c r="B298">
        <v>31</v>
      </c>
      <c r="C298">
        <v>7</v>
      </c>
      <c r="D298">
        <v>1982</v>
      </c>
      <c r="E298">
        <v>27</v>
      </c>
      <c r="F298">
        <v>9</v>
      </c>
      <c r="G298">
        <v>1984</v>
      </c>
      <c r="H298">
        <v>59</v>
      </c>
      <c r="I298" s="32">
        <f t="shared" si="54"/>
        <v>13.362291495737216</v>
      </c>
      <c r="J298" s="1">
        <v>2.1616438356164398</v>
      </c>
      <c r="K298" s="32">
        <f t="shared" si="55"/>
        <v>14.058931700972119</v>
      </c>
      <c r="L298" s="32">
        <f t="shared" si="56"/>
        <v>64.472321844121808</v>
      </c>
      <c r="M298" s="1">
        <f t="shared" si="57"/>
        <v>0.1835897740590213</v>
      </c>
      <c r="N298">
        <v>-0.18818241187545937</v>
      </c>
      <c r="O298" s="32">
        <f t="shared" si="64"/>
        <v>13.978300472963328</v>
      </c>
      <c r="P298" s="32">
        <f t="shared" si="58"/>
        <v>63.826521501075028</v>
      </c>
      <c r="Q298">
        <v>6</v>
      </c>
      <c r="R298">
        <v>65</v>
      </c>
      <c r="S298" s="32">
        <f t="shared" si="59"/>
        <v>8.123853654943634</v>
      </c>
      <c r="T298" s="1">
        <f t="shared" si="60"/>
        <v>8.4016547077802475</v>
      </c>
      <c r="U298" s="1">
        <f t="shared" si="61"/>
        <v>8.4339770411386574</v>
      </c>
      <c r="V298" s="1">
        <f t="shared" si="62"/>
        <v>2.0223404061017765</v>
      </c>
      <c r="W298" s="1">
        <f t="shared" si="65"/>
        <v>1.0447332337321807E-3</v>
      </c>
      <c r="X298" s="1">
        <f t="shared" si="66"/>
        <v>-3.2322333358409949E-2</v>
      </c>
      <c r="Y298" s="39">
        <f t="shared" si="63"/>
        <v>64.405286519925909</v>
      </c>
      <c r="AB298">
        <v>293</v>
      </c>
      <c r="AC298" s="7">
        <v>0.27474458834141213</v>
      </c>
      <c r="AD298">
        <v>0.62354634306121837</v>
      </c>
      <c r="AE298">
        <v>0.93615780522959524</v>
      </c>
      <c r="AF298" s="7">
        <v>6.597122138437643E-2</v>
      </c>
      <c r="AG298" s="10">
        <v>115.08358958281532</v>
      </c>
      <c r="AH298" s="1">
        <v>0.23515817810655215</v>
      </c>
      <c r="AI298" s="10">
        <v>3.8988396337104523</v>
      </c>
      <c r="AJ298" s="32">
        <v>1775.9253316714462</v>
      </c>
      <c r="AK298">
        <v>320</v>
      </c>
      <c r="AL298" s="7">
        <v>0.11038058640605768</v>
      </c>
    </row>
    <row r="299" spans="1:38" x14ac:dyDescent="0.3">
      <c r="A299">
        <v>79466</v>
      </c>
      <c r="B299">
        <v>4</v>
      </c>
      <c r="C299">
        <v>9</v>
      </c>
      <c r="D299">
        <v>1982</v>
      </c>
      <c r="E299">
        <v>14</v>
      </c>
      <c r="F299">
        <v>5</v>
      </c>
      <c r="G299">
        <v>1988</v>
      </c>
      <c r="H299">
        <v>81</v>
      </c>
      <c r="I299" s="32">
        <f t="shared" si="54"/>
        <v>16</v>
      </c>
      <c r="J299" s="1">
        <v>5.6958904109589001</v>
      </c>
      <c r="K299" s="32">
        <f t="shared" si="55"/>
        <v>17.01340668749668</v>
      </c>
      <c r="L299" s="32">
        <f t="shared" si="56"/>
        <v>90.377408466035874</v>
      </c>
      <c r="M299" s="1">
        <f t="shared" si="57"/>
        <v>0.40847656071406563</v>
      </c>
      <c r="N299">
        <v>-0.43142676986462902</v>
      </c>
      <c r="O299" s="32">
        <f t="shared" si="64"/>
        <v>16.737672472425263</v>
      </c>
      <c r="P299" s="32">
        <f t="shared" si="58"/>
        <v>87.775092420970864</v>
      </c>
      <c r="Q299">
        <v>13</v>
      </c>
      <c r="R299">
        <v>94</v>
      </c>
      <c r="S299" s="32">
        <f t="shared" si="59"/>
        <v>9.2855678299812343</v>
      </c>
      <c r="T299" s="1">
        <f t="shared" si="60"/>
        <v>9.5984034857818745</v>
      </c>
      <c r="U299" s="1">
        <f t="shared" si="61"/>
        <v>9.6921029432199806</v>
      </c>
      <c r="V299" s="1">
        <f t="shared" si="62"/>
        <v>4.3933322804946462</v>
      </c>
      <c r="W299" s="1">
        <f t="shared" si="65"/>
        <v>8.7795883241954444E-3</v>
      </c>
      <c r="X299" s="1">
        <f t="shared" si="66"/>
        <v>-9.3699457438106037E-2</v>
      </c>
      <c r="Y299" s="39">
        <f t="shared" si="63"/>
        <v>89.878389567524991</v>
      </c>
      <c r="AB299">
        <v>294</v>
      </c>
      <c r="AC299" s="7">
        <v>1.0747451488447499</v>
      </c>
      <c r="AD299">
        <v>5.7627222718475872</v>
      </c>
      <c r="AE299">
        <v>0.96891532885848031</v>
      </c>
      <c r="AF299" s="7">
        <v>3.1578050828227316E-2</v>
      </c>
      <c r="AG299" s="10">
        <v>138.51436312968301</v>
      </c>
      <c r="AH299" s="1">
        <v>6.2245424769493107</v>
      </c>
      <c r="AI299" s="10">
        <v>4604.2594763035713</v>
      </c>
      <c r="AJ299" s="32">
        <v>1805.1049935315821</v>
      </c>
      <c r="AK299">
        <v>320</v>
      </c>
      <c r="AL299" s="7">
        <v>3.7931927005424679</v>
      </c>
    </row>
    <row r="300" spans="1:38" x14ac:dyDescent="0.3">
      <c r="A300">
        <v>76736</v>
      </c>
      <c r="B300">
        <v>30</v>
      </c>
      <c r="C300">
        <v>7</v>
      </c>
      <c r="D300">
        <v>1982</v>
      </c>
      <c r="E300">
        <v>8</v>
      </c>
      <c r="F300">
        <v>5</v>
      </c>
      <c r="G300">
        <v>1988</v>
      </c>
      <c r="H300">
        <v>65</v>
      </c>
      <c r="I300" s="32">
        <f t="shared" si="54"/>
        <v>14.124515496597098</v>
      </c>
      <c r="J300" s="1">
        <v>5.7780821917808201</v>
      </c>
      <c r="K300" s="32">
        <f t="shared" si="55"/>
        <v>15.631535150208794</v>
      </c>
      <c r="L300" s="32">
        <f t="shared" si="56"/>
        <v>77.717757938262068</v>
      </c>
      <c r="M300" s="1">
        <f t="shared" si="57"/>
        <v>0.41279731348100135</v>
      </c>
      <c r="N300">
        <v>-0.12821828931919299</v>
      </c>
      <c r="O300" s="32">
        <f t="shared" si="64"/>
        <v>15.549155791018785</v>
      </c>
      <c r="P300" s="32">
        <f t="shared" si="58"/>
        <v>76.993217244362029</v>
      </c>
      <c r="Q300">
        <v>13</v>
      </c>
      <c r="R300">
        <v>78</v>
      </c>
      <c r="S300" s="32">
        <f t="shared" si="59"/>
        <v>8.4669809135353606</v>
      </c>
      <c r="T300" s="1">
        <f t="shared" si="60"/>
        <v>9.0919278749823409</v>
      </c>
      <c r="U300" s="1">
        <f t="shared" si="61"/>
        <v>9.1155415042453285</v>
      </c>
      <c r="V300" s="1">
        <f t="shared" si="62"/>
        <v>4.4375237332801687</v>
      </c>
      <c r="W300" s="1">
        <f t="shared" si="65"/>
        <v>5.5760348696982432E-4</v>
      </c>
      <c r="X300" s="1">
        <f t="shared" si="66"/>
        <v>-2.3613629262987601E-2</v>
      </c>
      <c r="Y300" s="39">
        <f t="shared" si="63"/>
        <v>77.474301272024277</v>
      </c>
      <c r="AB300">
        <v>295</v>
      </c>
      <c r="AC300" s="7">
        <v>0.83211134448263202</v>
      </c>
      <c r="AD300">
        <v>3.0262986548338873</v>
      </c>
      <c r="AE300">
        <v>0.95278219100565664</v>
      </c>
      <c r="AF300" s="7">
        <v>4.8368952335653491E-2</v>
      </c>
      <c r="AG300" s="10">
        <v>121.65329326531966</v>
      </c>
      <c r="AH300" s="1">
        <v>2.5654352514741499</v>
      </c>
      <c r="AI300" s="10">
        <v>482.23227147721997</v>
      </c>
      <c r="AJ300" s="32">
        <v>1756.336759381134</v>
      </c>
      <c r="AK300">
        <v>320</v>
      </c>
      <c r="AL300" s="7">
        <v>1.2275894461774721</v>
      </c>
    </row>
    <row r="301" spans="1:38" x14ac:dyDescent="0.3">
      <c r="A301">
        <v>79583</v>
      </c>
      <c r="B301">
        <v>5</v>
      </c>
      <c r="C301">
        <v>9</v>
      </c>
      <c r="D301">
        <v>1982</v>
      </c>
      <c r="E301">
        <v>7</v>
      </c>
      <c r="F301">
        <v>5</v>
      </c>
      <c r="G301">
        <v>1986</v>
      </c>
      <c r="H301">
        <v>77</v>
      </c>
      <c r="I301" s="32">
        <f t="shared" si="54"/>
        <v>15.549928774784245</v>
      </c>
      <c r="J301" s="1">
        <v>3.6712328767123301</v>
      </c>
      <c r="K301" s="32">
        <f t="shared" si="55"/>
        <v>16.313747081009662</v>
      </c>
      <c r="L301" s="32">
        <f t="shared" si="56"/>
        <v>83.848333036797484</v>
      </c>
      <c r="M301" s="1">
        <f t="shared" si="57"/>
        <v>0.28968250977764304</v>
      </c>
      <c r="N301">
        <v>-0.57973920775111765</v>
      </c>
      <c r="O301" s="32">
        <f t="shared" si="64"/>
        <v>16.001718906760026</v>
      </c>
      <c r="P301" s="32">
        <f t="shared" si="58"/>
        <v>81.015470899500343</v>
      </c>
      <c r="Q301">
        <v>4</v>
      </c>
      <c r="R301">
        <v>81</v>
      </c>
      <c r="S301" s="32">
        <f t="shared" si="59"/>
        <v>9.0922615112669138</v>
      </c>
      <c r="T301" s="1">
        <f t="shared" si="60"/>
        <v>9.286302494695212</v>
      </c>
      <c r="U301" s="1">
        <f t="shared" si="61"/>
        <v>9.4074565543847868</v>
      </c>
      <c r="V301" s="1">
        <f t="shared" si="62"/>
        <v>3.1572247090557073</v>
      </c>
      <c r="W301" s="1">
        <f t="shared" si="65"/>
        <v>1.467830617926506E-2</v>
      </c>
      <c r="X301" s="1">
        <f t="shared" si="66"/>
        <v>-0.12115405968957482</v>
      </c>
      <c r="Y301" s="39">
        <f t="shared" si="63"/>
        <v>83.594930220474041</v>
      </c>
      <c r="AB301">
        <v>296</v>
      </c>
      <c r="AC301" s="7">
        <v>0.35642775948550354</v>
      </c>
      <c r="AD301">
        <v>0.74470851883609301</v>
      </c>
      <c r="AE301">
        <v>0.93963190430334076</v>
      </c>
      <c r="AF301" s="7">
        <v>6.2267071576589027E-2</v>
      </c>
      <c r="AG301" s="10">
        <v>113.27283703854165</v>
      </c>
      <c r="AH301" s="1">
        <v>0.32580288453517581</v>
      </c>
      <c r="AI301" s="10">
        <v>8.5159770787550144</v>
      </c>
      <c r="AJ301" s="32">
        <v>1795.3275228618877</v>
      </c>
      <c r="AK301">
        <v>320</v>
      </c>
      <c r="AL301" s="7">
        <v>0.16313316146973128</v>
      </c>
    </row>
    <row r="302" spans="1:38" x14ac:dyDescent="0.3">
      <c r="A302">
        <v>79331</v>
      </c>
      <c r="B302">
        <v>25</v>
      </c>
      <c r="C302">
        <v>8</v>
      </c>
      <c r="D302">
        <v>1982</v>
      </c>
      <c r="E302">
        <v>10</v>
      </c>
      <c r="F302">
        <v>6</v>
      </c>
      <c r="G302">
        <v>1986</v>
      </c>
      <c r="H302">
        <v>79</v>
      </c>
      <c r="I302" s="32">
        <f t="shared" si="54"/>
        <v>15.776388834631177</v>
      </c>
      <c r="J302" s="1">
        <v>3.79452054794521</v>
      </c>
      <c r="K302" s="32">
        <f t="shared" si="55"/>
        <v>16.52339226704953</v>
      </c>
      <c r="L302" s="32">
        <f t="shared" si="56"/>
        <v>85.779015269747589</v>
      </c>
      <c r="M302" s="1">
        <f t="shared" si="57"/>
        <v>0.29764302095383433</v>
      </c>
      <c r="N302">
        <v>0.399486452806741</v>
      </c>
      <c r="O302" s="32">
        <f t="shared" si="64"/>
        <v>16.741338771632233</v>
      </c>
      <c r="P302" s="32">
        <f t="shared" si="58"/>
        <v>87.809444738271395</v>
      </c>
      <c r="Q302">
        <v>4</v>
      </c>
      <c r="R302">
        <v>83</v>
      </c>
      <c r="S302" s="32">
        <f t="shared" si="59"/>
        <v>9.1897631511801485</v>
      </c>
      <c r="T302" s="1">
        <f t="shared" si="60"/>
        <v>9.5999462812608698</v>
      </c>
      <c r="U302" s="1">
        <f t="shared" si="61"/>
        <v>9.4947868193827141</v>
      </c>
      <c r="V302" s="1">
        <f t="shared" si="62"/>
        <v>3.2412605970212103</v>
      </c>
      <c r="W302" s="1">
        <f t="shared" si="65"/>
        <v>1.1058512422503287E-2</v>
      </c>
      <c r="X302" s="1">
        <f t="shared" si="66"/>
        <v>0.10515946187815572</v>
      </c>
      <c r="Y302" s="39">
        <f t="shared" si="63"/>
        <v>85.489196639729172</v>
      </c>
      <c r="AB302">
        <v>297</v>
      </c>
      <c r="AC302" s="7">
        <v>0.23520711184672707</v>
      </c>
      <c r="AD302">
        <v>0.54315546955182692</v>
      </c>
      <c r="AE302">
        <v>0.93666834040320379</v>
      </c>
      <c r="AF302" s="7">
        <v>6.5426018416716802E-2</v>
      </c>
      <c r="AG302" s="10">
        <v>109.41704946385764</v>
      </c>
      <c r="AH302" s="1">
        <v>0.19108568887383431</v>
      </c>
      <c r="AI302" s="10">
        <v>2.7422710606660781</v>
      </c>
      <c r="AJ302" s="32">
        <v>1769.6875506956924</v>
      </c>
      <c r="AK302">
        <v>320</v>
      </c>
      <c r="AL302" s="7">
        <v>9.2572118181348181E-2</v>
      </c>
    </row>
    <row r="303" spans="1:38" x14ac:dyDescent="0.3">
      <c r="A303">
        <v>79443</v>
      </c>
      <c r="B303">
        <v>4</v>
      </c>
      <c r="C303">
        <v>9</v>
      </c>
      <c r="D303">
        <v>1982</v>
      </c>
      <c r="E303">
        <v>21</v>
      </c>
      <c r="F303">
        <v>5</v>
      </c>
      <c r="G303">
        <v>1984</v>
      </c>
      <c r="H303">
        <v>76</v>
      </c>
      <c r="I303" s="32">
        <f t="shared" si="54"/>
        <v>15.435595774162696</v>
      </c>
      <c r="J303" s="1">
        <v>1.7123287671232901</v>
      </c>
      <c r="K303" s="32">
        <f t="shared" si="55"/>
        <v>15.819390652345815</v>
      </c>
      <c r="L303" s="32">
        <f t="shared" si="56"/>
        <v>79.382670805227363</v>
      </c>
      <c r="M303" s="1">
        <f t="shared" si="57"/>
        <v>0.14870629685495482</v>
      </c>
      <c r="N303">
        <v>-0.86890395323280245</v>
      </c>
      <c r="O303" s="32">
        <f t="shared" si="64"/>
        <v>15.48431995267808</v>
      </c>
      <c r="P303" s="32">
        <f t="shared" si="58"/>
        <v>76.42536105190419</v>
      </c>
      <c r="Q303">
        <v>1</v>
      </c>
      <c r="R303">
        <v>77</v>
      </c>
      <c r="S303" s="32">
        <f t="shared" si="59"/>
        <v>9.0428509961318699</v>
      </c>
      <c r="T303" s="1">
        <f t="shared" si="60"/>
        <v>9.0639230725906863</v>
      </c>
      <c r="U303" s="1">
        <f t="shared" si="61"/>
        <v>9.2031611020808946</v>
      </c>
      <c r="V303" s="1">
        <f t="shared" si="62"/>
        <v>1.6434864377716971</v>
      </c>
      <c r="W303" s="1">
        <f t="shared" si="65"/>
        <v>1.9387228856316101E-2</v>
      </c>
      <c r="X303" s="1">
        <f t="shared" si="66"/>
        <v>-0.13923802949020825</v>
      </c>
      <c r="Y303" s="39">
        <f t="shared" si="63"/>
        <v>79.277610072408194</v>
      </c>
      <c r="AB303">
        <v>298</v>
      </c>
      <c r="AC303" s="7">
        <v>0.70839888016710728</v>
      </c>
      <c r="AD303">
        <v>2.3466675605423579</v>
      </c>
      <c r="AE303">
        <v>0.93815504382035608</v>
      </c>
      <c r="AF303" s="7">
        <v>6.3840051715760363E-2</v>
      </c>
      <c r="AG303" s="10">
        <v>109.70310649676075</v>
      </c>
      <c r="AH303" s="1">
        <v>1.7242216281923277</v>
      </c>
      <c r="AI303" s="10">
        <v>167.89438939296113</v>
      </c>
      <c r="AJ303" s="32">
        <v>1757.4400970154088</v>
      </c>
      <c r="AK303">
        <v>320</v>
      </c>
      <c r="AL303" s="7">
        <v>0.72434105699801632</v>
      </c>
    </row>
    <row r="304" spans="1:38" x14ac:dyDescent="0.3">
      <c r="A304">
        <v>79285</v>
      </c>
      <c r="B304">
        <v>18</v>
      </c>
      <c r="C304">
        <v>8</v>
      </c>
      <c r="D304">
        <v>1982</v>
      </c>
      <c r="E304">
        <v>12</v>
      </c>
      <c r="F304">
        <v>9</v>
      </c>
      <c r="G304">
        <v>1984</v>
      </c>
      <c r="H304">
        <v>86</v>
      </c>
      <c r="I304" s="32">
        <f t="shared" si="54"/>
        <v>16.547236990991408</v>
      </c>
      <c r="J304" s="1">
        <v>2.07123287671233</v>
      </c>
      <c r="K304" s="32">
        <f t="shared" si="55"/>
        <v>16.895246186879415</v>
      </c>
      <c r="L304" s="32">
        <f t="shared" si="56"/>
        <v>89.257582115695271</v>
      </c>
      <c r="M304" s="1">
        <f t="shared" si="57"/>
        <v>0.17669916069264122</v>
      </c>
      <c r="N304">
        <v>-0.55833311307651456</v>
      </c>
      <c r="O304" s="32">
        <f t="shared" si="64"/>
        <v>16.660547516812535</v>
      </c>
      <c r="P304" s="32">
        <f t="shared" si="58"/>
        <v>87.054008406804613</v>
      </c>
      <c r="Q304">
        <v>7</v>
      </c>
      <c r="R304">
        <v>93</v>
      </c>
      <c r="S304" s="32">
        <f t="shared" si="59"/>
        <v>9.5181060442442096</v>
      </c>
      <c r="T304" s="1">
        <f t="shared" si="60"/>
        <v>9.565921834168341</v>
      </c>
      <c r="U304" s="1">
        <f t="shared" si="61"/>
        <v>9.6551727177228592</v>
      </c>
      <c r="V304" s="1">
        <f t="shared" si="62"/>
        <v>1.9477183832289353</v>
      </c>
      <c r="W304" s="1">
        <f t="shared" si="65"/>
        <v>7.9657202152621787E-3</v>
      </c>
      <c r="X304" s="1">
        <f t="shared" si="66"/>
        <v>-8.9250883554518268E-2</v>
      </c>
      <c r="Y304" s="39">
        <f t="shared" si="63"/>
        <v>89.045281943732022</v>
      </c>
      <c r="AB304">
        <v>299</v>
      </c>
      <c r="AC304" s="7">
        <v>0.5800089565447486</v>
      </c>
      <c r="AD304">
        <v>1.3677016813918126</v>
      </c>
      <c r="AE304">
        <v>0.94775194013385533</v>
      </c>
      <c r="AF304" s="7">
        <v>5.3662477493242801E-2</v>
      </c>
      <c r="AG304" s="10">
        <v>121.49254634876327</v>
      </c>
      <c r="AH304" s="1">
        <v>0.84552728495470808</v>
      </c>
      <c r="AI304" s="10">
        <v>54.220055503122992</v>
      </c>
      <c r="AJ304" s="32">
        <v>1764.9985247648806</v>
      </c>
      <c r="AK304">
        <v>320</v>
      </c>
      <c r="AL304" s="7">
        <v>0.41162807660223977</v>
      </c>
    </row>
    <row r="305" spans="1:38" x14ac:dyDescent="0.3">
      <c r="A305">
        <v>78899</v>
      </c>
      <c r="B305">
        <v>27</v>
      </c>
      <c r="C305">
        <v>7</v>
      </c>
      <c r="D305">
        <v>1982</v>
      </c>
      <c r="E305">
        <v>7</v>
      </c>
      <c r="F305">
        <v>5</v>
      </c>
      <c r="G305">
        <v>1988</v>
      </c>
      <c r="H305">
        <v>74</v>
      </c>
      <c r="I305" s="32">
        <f t="shared" si="54"/>
        <v>15.204650534085253</v>
      </c>
      <c r="J305" s="1">
        <v>5.7835616438356201</v>
      </c>
      <c r="K305" s="32">
        <f t="shared" si="55"/>
        <v>16.435625235027182</v>
      </c>
      <c r="L305" s="32">
        <f t="shared" si="56"/>
        <v>84.968069451592754</v>
      </c>
      <c r="M305" s="1">
        <f t="shared" si="57"/>
        <v>0.41308407038174577</v>
      </c>
      <c r="N305">
        <v>-0.47560206439811736</v>
      </c>
      <c r="O305" s="32">
        <f t="shared" si="64"/>
        <v>16.12994809952826</v>
      </c>
      <c r="P305" s="32">
        <f t="shared" si="58"/>
        <v>82.173754522897099</v>
      </c>
      <c r="Q305">
        <v>15</v>
      </c>
      <c r="R305">
        <v>89</v>
      </c>
      <c r="S305" s="32">
        <f t="shared" si="59"/>
        <v>8.9426609766862715</v>
      </c>
      <c r="T305" s="1">
        <f t="shared" si="60"/>
        <v>9.3410316720325444</v>
      </c>
      <c r="U305" s="1">
        <f t="shared" si="61"/>
        <v>9.4538465372142948</v>
      </c>
      <c r="V305" s="1">
        <f t="shared" si="62"/>
        <v>4.440454570413527</v>
      </c>
      <c r="W305" s="1">
        <f t="shared" si="65"/>
        <v>1.2727193805976526E-2</v>
      </c>
      <c r="X305" s="1">
        <f t="shared" si="66"/>
        <v>-0.11281486518175043</v>
      </c>
      <c r="Y305" s="39">
        <f t="shared" si="63"/>
        <v>84.597502662456691</v>
      </c>
      <c r="AB305">
        <v>300</v>
      </c>
      <c r="AC305" s="7">
        <v>0.60322353328096068</v>
      </c>
      <c r="AD305">
        <v>1.2610311971184449</v>
      </c>
      <c r="AE305">
        <v>0.95785474306427076</v>
      </c>
      <c r="AF305" s="7">
        <v>4.3059137701410163E-2</v>
      </c>
      <c r="AG305" s="10">
        <v>132.35025485149569</v>
      </c>
      <c r="AH305" s="1">
        <v>0.80282895123903719</v>
      </c>
      <c r="AI305" s="10">
        <v>56.675675464182383</v>
      </c>
      <c r="AJ305" s="32">
        <v>1720.016587643096</v>
      </c>
      <c r="AK305">
        <v>320</v>
      </c>
      <c r="AL305" s="7">
        <v>0.42084615458094654</v>
      </c>
    </row>
    <row r="306" spans="1:38" x14ac:dyDescent="0.3">
      <c r="A306">
        <v>78930</v>
      </c>
      <c r="B306">
        <v>28</v>
      </c>
      <c r="C306">
        <v>7</v>
      </c>
      <c r="D306">
        <v>1982</v>
      </c>
      <c r="E306">
        <v>7</v>
      </c>
      <c r="F306">
        <v>5</v>
      </c>
      <c r="G306">
        <v>1983</v>
      </c>
      <c r="H306">
        <v>74</v>
      </c>
      <c r="I306" s="32">
        <f t="shared" si="54"/>
        <v>15.204650534085253</v>
      </c>
      <c r="J306" s="1">
        <v>0.77534246575342503</v>
      </c>
      <c r="K306" s="32">
        <f t="shared" si="55"/>
        <v>15.391618468274336</v>
      </c>
      <c r="L306" s="32">
        <f t="shared" si="56"/>
        <v>75.617098236505257</v>
      </c>
      <c r="M306" s="1">
        <f t="shared" si="57"/>
        <v>7.0577244079932724E-2</v>
      </c>
      <c r="N306">
        <v>-8.8970182332559489E-2</v>
      </c>
      <c r="O306" s="32">
        <f t="shared" si="64"/>
        <v>15.367982313315846</v>
      </c>
      <c r="P306" s="32">
        <f t="shared" si="58"/>
        <v>75.411702408913015</v>
      </c>
      <c r="Q306">
        <v>0</v>
      </c>
      <c r="R306">
        <v>74</v>
      </c>
      <c r="S306" s="32">
        <f t="shared" si="59"/>
        <v>8.9426609766862715</v>
      </c>
      <c r="T306" s="1">
        <f t="shared" si="60"/>
        <v>9.0135719642122112</v>
      </c>
      <c r="U306" s="1">
        <f t="shared" si="61"/>
        <v>9.0217590137156236</v>
      </c>
      <c r="V306" s="1">
        <f t="shared" si="62"/>
        <v>0.78553832095329401</v>
      </c>
      <c r="W306" s="1">
        <f t="shared" si="65"/>
        <v>6.7027779571325632E-5</v>
      </c>
      <c r="X306" s="1">
        <f t="shared" si="66"/>
        <v>-8.1870495034124247E-3</v>
      </c>
      <c r="Y306" s="39">
        <f t="shared" si="63"/>
        <v>75.575883909833223</v>
      </c>
      <c r="AB306">
        <v>301</v>
      </c>
      <c r="AC306" s="7">
        <v>0.60296535162640774</v>
      </c>
      <c r="AD306">
        <v>1.3412949445253242</v>
      </c>
      <c r="AE306">
        <v>0.95251337405507108</v>
      </c>
      <c r="AF306" s="7">
        <v>4.8651131077155678E-2</v>
      </c>
      <c r="AG306" s="10">
        <v>121.08195085585373</v>
      </c>
      <c r="AH306" s="1">
        <v>0.85624100380536405</v>
      </c>
      <c r="AI306" s="10">
        <v>72.997161917811965</v>
      </c>
      <c r="AJ306" s="32">
        <v>1796.6333528120422</v>
      </c>
      <c r="AK306">
        <v>320</v>
      </c>
      <c r="AL306" s="7">
        <v>0.47761504477263106</v>
      </c>
    </row>
    <row r="307" spans="1:38" x14ac:dyDescent="0.3">
      <c r="A307">
        <v>79486</v>
      </c>
      <c r="B307">
        <v>4</v>
      </c>
      <c r="C307">
        <v>9</v>
      </c>
      <c r="D307">
        <v>1982</v>
      </c>
      <c r="E307">
        <v>9</v>
      </c>
      <c r="F307">
        <v>6</v>
      </c>
      <c r="G307">
        <v>1985</v>
      </c>
      <c r="H307">
        <v>81</v>
      </c>
      <c r="I307" s="32">
        <f t="shared" si="54"/>
        <v>16</v>
      </c>
      <c r="J307" s="1">
        <v>2.7643835616438399</v>
      </c>
      <c r="K307" s="32">
        <f t="shared" si="55"/>
        <v>16.528801160108223</v>
      </c>
      <c r="L307" s="32">
        <f t="shared" si="56"/>
        <v>85.829118107706961</v>
      </c>
      <c r="M307" s="1">
        <f t="shared" si="57"/>
        <v>0.22792953541926947</v>
      </c>
      <c r="N307">
        <v>-0.60931824918952771</v>
      </c>
      <c r="O307" s="32">
        <f t="shared" si="64"/>
        <v>16.237900646409749</v>
      </c>
      <c r="P307" s="32">
        <f t="shared" si="58"/>
        <v>83.155254997078288</v>
      </c>
      <c r="Q307">
        <v>13</v>
      </c>
      <c r="R307">
        <v>94</v>
      </c>
      <c r="S307" s="32">
        <f t="shared" si="59"/>
        <v>9.2855678299812343</v>
      </c>
      <c r="T307" s="1">
        <f t="shared" si="60"/>
        <v>9.386990622555162</v>
      </c>
      <c r="U307" s="1">
        <f t="shared" si="61"/>
        <v>9.4999764088171634</v>
      </c>
      <c r="V307" s="1">
        <f t="shared" si="62"/>
        <v>2.4999225160997498</v>
      </c>
      <c r="W307" s="1">
        <f t="shared" si="65"/>
        <v>1.2765787897242665E-2</v>
      </c>
      <c r="X307" s="1">
        <f t="shared" si="66"/>
        <v>-0.1129857862620014</v>
      </c>
      <c r="Y307" s="39">
        <f t="shared" si="63"/>
        <v>85.602691143245451</v>
      </c>
      <c r="AB307">
        <v>302</v>
      </c>
      <c r="AC307" s="7">
        <v>0.30664495383765805</v>
      </c>
      <c r="AD307">
        <v>0.60550364609763319</v>
      </c>
      <c r="AE307">
        <v>0.94464732116260397</v>
      </c>
      <c r="AF307" s="7">
        <v>5.6943626265694075E-2</v>
      </c>
      <c r="AG307" s="10">
        <v>121.22917814107525</v>
      </c>
      <c r="AH307" s="1">
        <v>0.24102731644353839</v>
      </c>
      <c r="AI307" s="10">
        <v>4.5593627376712327</v>
      </c>
      <c r="AJ307" s="32">
        <v>1741.1931467466095</v>
      </c>
      <c r="AK307">
        <v>320</v>
      </c>
      <c r="AL307" s="7">
        <v>0.11936502232740796</v>
      </c>
    </row>
    <row r="308" spans="1:38" x14ac:dyDescent="0.3">
      <c r="A308">
        <v>76933</v>
      </c>
      <c r="B308">
        <v>31</v>
      </c>
      <c r="C308">
        <v>7</v>
      </c>
      <c r="D308">
        <v>1982</v>
      </c>
      <c r="E308">
        <v>24</v>
      </c>
      <c r="F308">
        <v>8</v>
      </c>
      <c r="G308">
        <v>1987</v>
      </c>
      <c r="H308">
        <v>65</v>
      </c>
      <c r="I308" s="32">
        <f t="shared" si="54"/>
        <v>14.124515496597098</v>
      </c>
      <c r="J308" s="1">
        <v>5.0684931506849296</v>
      </c>
      <c r="K308" s="32">
        <f t="shared" si="55"/>
        <v>15.469606441330058</v>
      </c>
      <c r="L308" s="32">
        <f t="shared" si="56"/>
        <v>76.29678730374016</v>
      </c>
      <c r="M308" s="1">
        <f t="shared" si="57"/>
        <v>0.37426645607790759</v>
      </c>
      <c r="N308">
        <v>0.68390704655030277</v>
      </c>
      <c r="O308" s="32">
        <f t="shared" si="64"/>
        <v>15.888002448082705</v>
      </c>
      <c r="P308" s="32">
        <f t="shared" si="58"/>
        <v>79.995157895653222</v>
      </c>
      <c r="Q308">
        <v>32</v>
      </c>
      <c r="R308">
        <v>97</v>
      </c>
      <c r="S308" s="32">
        <f t="shared" si="59"/>
        <v>8.4669809135353606</v>
      </c>
      <c r="T308" s="1">
        <f t="shared" si="60"/>
        <v>9.2376411559145257</v>
      </c>
      <c r="U308" s="1">
        <f t="shared" si="61"/>
        <v>9.0473159258168341</v>
      </c>
      <c r="V308" s="1">
        <f t="shared" si="62"/>
        <v>4.0414552508753561</v>
      </c>
      <c r="W308" s="1">
        <f t="shared" si="65"/>
        <v>3.6223693211739266E-2</v>
      </c>
      <c r="X308" s="1">
        <f t="shared" si="66"/>
        <v>0.19032523009769164</v>
      </c>
      <c r="Y308" s="39">
        <f t="shared" si="63"/>
        <v>76.089991670351495</v>
      </c>
      <c r="AB308">
        <v>303</v>
      </c>
      <c r="AC308" s="7">
        <v>0.55574470751078808</v>
      </c>
      <c r="AD308">
        <v>1.0537764400915495</v>
      </c>
      <c r="AE308">
        <v>0.95808628551469965</v>
      </c>
      <c r="AF308" s="7">
        <v>4.2817436680238512E-2</v>
      </c>
      <c r="AG308" s="10">
        <v>130.2563527197874</v>
      </c>
      <c r="AH308" s="1">
        <v>0.62754439396573802</v>
      </c>
      <c r="AI308" s="10">
        <v>44.103983959432583</v>
      </c>
      <c r="AJ308" s="32">
        <v>1772.6457706679789</v>
      </c>
      <c r="AK308">
        <v>320</v>
      </c>
      <c r="AL308" s="7">
        <v>0.37124782810573698</v>
      </c>
    </row>
    <row r="309" spans="1:38" x14ac:dyDescent="0.3">
      <c r="A309">
        <v>22982</v>
      </c>
      <c r="B309">
        <v>29</v>
      </c>
      <c r="C309">
        <v>7</v>
      </c>
      <c r="D309">
        <v>1982</v>
      </c>
      <c r="E309">
        <v>21</v>
      </c>
      <c r="F309">
        <v>5</v>
      </c>
      <c r="G309">
        <v>1984</v>
      </c>
      <c r="H309">
        <v>66</v>
      </c>
      <c r="I309" s="32">
        <f t="shared" si="54"/>
        <v>14.248076809271922</v>
      </c>
      <c r="J309" s="1">
        <v>1.81369863013699</v>
      </c>
      <c r="K309" s="32">
        <f t="shared" si="55"/>
        <v>14.75904523354412</v>
      </c>
      <c r="L309" s="32">
        <f t="shared" si="56"/>
        <v>70.21639928499448</v>
      </c>
      <c r="M309" s="1">
        <f t="shared" si="57"/>
        <v>0.15671739626653966</v>
      </c>
      <c r="N309">
        <v>-0.99920043794554658</v>
      </c>
      <c r="O309" s="32">
        <f t="shared" si="64"/>
        <v>14.363486279797355</v>
      </c>
      <c r="P309" s="32">
        <f t="shared" si="58"/>
        <v>66.940920807279085</v>
      </c>
      <c r="Q309">
        <v>5</v>
      </c>
      <c r="R309">
        <v>71</v>
      </c>
      <c r="S309" s="32">
        <f t="shared" si="59"/>
        <v>8.5220073941514993</v>
      </c>
      <c r="T309" s="1">
        <f t="shared" si="60"/>
        <v>8.5732575180137331</v>
      </c>
      <c r="U309" s="1">
        <f t="shared" si="61"/>
        <v>8.7443245530993003</v>
      </c>
      <c r="V309" s="1">
        <f t="shared" si="62"/>
        <v>1.7307283590207596</v>
      </c>
      <c r="W309" s="1">
        <f t="shared" si="65"/>
        <v>2.9263930492966678E-2</v>
      </c>
      <c r="X309" s="1">
        <f t="shared" si="66"/>
        <v>-0.1710670350855672</v>
      </c>
      <c r="Y309" s="39">
        <f t="shared" si="63"/>
        <v>70.148941312166556</v>
      </c>
      <c r="AB309">
        <v>304</v>
      </c>
      <c r="AC309" s="7">
        <v>9.3021490708326521E-2</v>
      </c>
      <c r="AD309">
        <v>0.33491840562264019</v>
      </c>
      <c r="AE309">
        <v>0.94454637724009149</v>
      </c>
      <c r="AF309" s="7">
        <v>5.7050490821397272E-2</v>
      </c>
      <c r="AG309" s="10">
        <v>120.65739230515952</v>
      </c>
      <c r="AH309" s="1">
        <v>8.6608232116582459E-2</v>
      </c>
      <c r="AI309" s="10">
        <v>0.79239814443548162</v>
      </c>
      <c r="AJ309" s="32">
        <v>1780.9817515865129</v>
      </c>
      <c r="AK309">
        <v>320</v>
      </c>
      <c r="AL309" s="7">
        <v>4.9761874978349441E-2</v>
      </c>
    </row>
    <row r="310" spans="1:38" x14ac:dyDescent="0.3">
      <c r="A310">
        <v>22654</v>
      </c>
      <c r="B310">
        <v>26</v>
      </c>
      <c r="C310">
        <v>7</v>
      </c>
      <c r="D310">
        <v>1982</v>
      </c>
      <c r="E310">
        <v>8</v>
      </c>
      <c r="F310">
        <v>5</v>
      </c>
      <c r="G310">
        <v>1986</v>
      </c>
      <c r="H310">
        <v>72</v>
      </c>
      <c r="I310" s="32">
        <f t="shared" si="54"/>
        <v>14.970562748477139</v>
      </c>
      <c r="J310" s="1">
        <v>3.7863013698630099</v>
      </c>
      <c r="K310" s="32">
        <f t="shared" si="55"/>
        <v>15.858341843169981</v>
      </c>
      <c r="L310" s="32">
        <f t="shared" si="56"/>
        <v>79.730093346878945</v>
      </c>
      <c r="M310" s="1">
        <f t="shared" si="57"/>
        <v>0.29711544680805679</v>
      </c>
      <c r="N310">
        <v>-0.77639924711547792</v>
      </c>
      <c r="O310" s="32">
        <f t="shared" si="64"/>
        <v>15.435139833777715</v>
      </c>
      <c r="P310" s="32">
        <f t="shared" si="58"/>
        <v>75.996025255845595</v>
      </c>
      <c r="Q310">
        <v>6</v>
      </c>
      <c r="R310">
        <v>78</v>
      </c>
      <c r="S310" s="32">
        <f t="shared" si="59"/>
        <v>8.8405752459119533</v>
      </c>
      <c r="T310" s="1">
        <f t="shared" si="60"/>
        <v>9.0426537049928211</v>
      </c>
      <c r="U310" s="1">
        <f t="shared" si="61"/>
        <v>9.2151161970908877</v>
      </c>
      <c r="V310" s="1">
        <f t="shared" si="62"/>
        <v>3.235696280728158</v>
      </c>
      <c r="W310" s="1">
        <f t="shared" si="65"/>
        <v>2.9743311180675695E-2</v>
      </c>
      <c r="X310" s="1">
        <f t="shared" si="66"/>
        <v>-0.17246249209806663</v>
      </c>
      <c r="Y310" s="39">
        <f t="shared" si="63"/>
        <v>79.525894152892349</v>
      </c>
      <c r="AB310">
        <v>305</v>
      </c>
      <c r="AC310" s="7">
        <v>0.52119087275895148</v>
      </c>
      <c r="AD310">
        <v>1.0875349571935051</v>
      </c>
      <c r="AE310">
        <v>0.94869202263321706</v>
      </c>
      <c r="AF310" s="7">
        <v>5.2671061353541923E-2</v>
      </c>
      <c r="AG310" s="10">
        <v>118.54488372253915</v>
      </c>
      <c r="AH310" s="1">
        <v>0.61812127086233482</v>
      </c>
      <c r="AI310" s="10">
        <v>35.257066549519628</v>
      </c>
      <c r="AJ310" s="32">
        <v>1791.5851645188745</v>
      </c>
      <c r="AK310">
        <v>320</v>
      </c>
      <c r="AL310" s="7">
        <v>0.33193121722316032</v>
      </c>
    </row>
    <row r="311" spans="1:38" x14ac:dyDescent="0.3">
      <c r="A311">
        <v>22709</v>
      </c>
      <c r="B311">
        <v>27</v>
      </c>
      <c r="C311">
        <v>7</v>
      </c>
      <c r="D311">
        <v>1982</v>
      </c>
      <c r="E311">
        <v>27</v>
      </c>
      <c r="F311">
        <v>6</v>
      </c>
      <c r="G311">
        <v>1988</v>
      </c>
      <c r="H311">
        <v>67</v>
      </c>
      <c r="I311" s="32">
        <f t="shared" si="54"/>
        <v>14.370705543744901</v>
      </c>
      <c r="J311" s="1">
        <v>5.9232876712328801</v>
      </c>
      <c r="K311" s="32">
        <f t="shared" si="55"/>
        <v>15.845636708601784</v>
      </c>
      <c r="L311" s="32">
        <f t="shared" si="56"/>
        <v>79.616687383848884</v>
      </c>
      <c r="M311" s="1">
        <f t="shared" si="57"/>
        <v>0.42034217319854289</v>
      </c>
      <c r="N311">
        <v>-0.80072368291439489</v>
      </c>
      <c r="O311" s="32">
        <f t="shared" si="64"/>
        <v>15.32649711070378</v>
      </c>
      <c r="P311" s="32">
        <f t="shared" si="58"/>
        <v>75.051875531806616</v>
      </c>
      <c r="Q311">
        <v>21</v>
      </c>
      <c r="R311">
        <v>88</v>
      </c>
      <c r="S311" s="32">
        <f t="shared" si="59"/>
        <v>8.5764587365829126</v>
      </c>
      <c r="T311" s="1">
        <f t="shared" si="60"/>
        <v>8.9955855679111583</v>
      </c>
      <c r="U311" s="1">
        <f t="shared" si="61"/>
        <v>9.206254957534254</v>
      </c>
      <c r="V311" s="1">
        <f t="shared" si="62"/>
        <v>4.5145521864290901</v>
      </c>
      <c r="W311" s="1">
        <f t="shared" si="65"/>
        <v>4.4381591724167738E-2</v>
      </c>
      <c r="X311" s="1">
        <f t="shared" si="66"/>
        <v>-0.21066938962309578</v>
      </c>
      <c r="Y311" s="39">
        <f t="shared" si="63"/>
        <v>79.341811807107248</v>
      </c>
      <c r="AB311">
        <v>306</v>
      </c>
      <c r="AC311" s="7">
        <v>0.56020348753464499</v>
      </c>
      <c r="AD311">
        <v>1.4272527609162269</v>
      </c>
      <c r="AE311">
        <v>0.93977865541206751</v>
      </c>
      <c r="AF311" s="7">
        <v>6.2110904412084833E-2</v>
      </c>
      <c r="AG311" s="10">
        <v>115.10564473213009</v>
      </c>
      <c r="AH311" s="1">
        <v>0.85977331884665364</v>
      </c>
      <c r="AI311" s="10">
        <v>48.719319410621203</v>
      </c>
      <c r="AJ311" s="32">
        <v>1781.4176294628214</v>
      </c>
      <c r="AK311">
        <v>320</v>
      </c>
      <c r="AL311" s="7">
        <v>0.39018953491629071</v>
      </c>
    </row>
    <row r="312" spans="1:38" x14ac:dyDescent="0.3">
      <c r="A312">
        <v>79147</v>
      </c>
      <c r="B312">
        <v>10</v>
      </c>
      <c r="C312">
        <v>8</v>
      </c>
      <c r="D312">
        <v>1982</v>
      </c>
      <c r="E312">
        <v>14</v>
      </c>
      <c r="F312">
        <v>3</v>
      </c>
      <c r="G312">
        <v>1993</v>
      </c>
      <c r="H312">
        <v>65</v>
      </c>
      <c r="I312" s="32">
        <f t="shared" si="54"/>
        <v>14.124515496597098</v>
      </c>
      <c r="J312" s="1">
        <v>10.6</v>
      </c>
      <c r="K312" s="32">
        <f t="shared" si="55"/>
        <v>16.588747230931194</v>
      </c>
      <c r="L312" s="32">
        <f t="shared" si="56"/>
        <v>86.385380903863037</v>
      </c>
      <c r="M312" s="1">
        <f t="shared" si="57"/>
        <v>0.61192081847890678</v>
      </c>
      <c r="N312">
        <v>-0.84450221038423479</v>
      </c>
      <c r="O312" s="32">
        <f t="shared" si="64"/>
        <v>15.928132269842799</v>
      </c>
      <c r="P312" s="32">
        <f t="shared" si="58"/>
        <v>80.35448167124467</v>
      </c>
      <c r="Q312">
        <v>29</v>
      </c>
      <c r="R312">
        <v>94</v>
      </c>
      <c r="S312" s="32">
        <f t="shared" si="59"/>
        <v>8.4669809135353606</v>
      </c>
      <c r="T312" s="1">
        <f t="shared" si="60"/>
        <v>9.2548270625987001</v>
      </c>
      <c r="U312" s="1">
        <f t="shared" si="61"/>
        <v>9.5104588781001969</v>
      </c>
      <c r="V312" s="1">
        <f t="shared" si="62"/>
        <v>6.4033522374350627</v>
      </c>
      <c r="W312" s="1">
        <f t="shared" si="65"/>
        <v>6.5347625096591255E-2</v>
      </c>
      <c r="X312" s="1">
        <f t="shared" si="66"/>
        <v>-0.25563181550149672</v>
      </c>
      <c r="Y312" s="39">
        <f t="shared" si="63"/>
        <v>85.832257665898439</v>
      </c>
      <c r="AB312">
        <v>307</v>
      </c>
      <c r="AC312" s="7">
        <v>0.43368285088650599</v>
      </c>
      <c r="AD312">
        <v>0.80154867853720946</v>
      </c>
      <c r="AE312">
        <v>0.95116982005964157</v>
      </c>
      <c r="AF312" s="7">
        <v>5.006266238936162E-2</v>
      </c>
      <c r="AG312" s="10">
        <v>125.06910683563129</v>
      </c>
      <c r="AH312" s="1">
        <v>0.39644809597268699</v>
      </c>
      <c r="AI312" s="10">
        <v>16.016054186402854</v>
      </c>
      <c r="AJ312" s="32">
        <v>1788.5176599033459</v>
      </c>
      <c r="AK312">
        <v>320</v>
      </c>
      <c r="AL312" s="7">
        <v>0.22371895166147396</v>
      </c>
    </row>
    <row r="313" spans="1:38" x14ac:dyDescent="0.3">
      <c r="A313">
        <v>79524</v>
      </c>
      <c r="B313">
        <v>5</v>
      </c>
      <c r="C313">
        <v>9</v>
      </c>
      <c r="D313">
        <v>1982</v>
      </c>
      <c r="E313">
        <v>18</v>
      </c>
      <c r="F313">
        <v>6</v>
      </c>
      <c r="G313">
        <v>1990</v>
      </c>
      <c r="H313">
        <v>72</v>
      </c>
      <c r="I313" s="32">
        <f t="shared" si="54"/>
        <v>14.970562748477139</v>
      </c>
      <c r="J313" s="1">
        <v>7.7890410958904104</v>
      </c>
      <c r="K313" s="32">
        <f t="shared" si="55"/>
        <v>16.627067575960858</v>
      </c>
      <c r="L313" s="32">
        <f t="shared" si="56"/>
        <v>86.741911619853084</v>
      </c>
      <c r="M313" s="1">
        <f t="shared" si="57"/>
        <v>0.50791799113483072</v>
      </c>
      <c r="N313">
        <v>-0.28888734959764406</v>
      </c>
      <c r="O313" s="32">
        <f t="shared" si="64"/>
        <v>16.421182283962807</v>
      </c>
      <c r="P313" s="32">
        <f t="shared" si="58"/>
        <v>84.834989184746291</v>
      </c>
      <c r="Q313">
        <v>47</v>
      </c>
      <c r="R313">
        <v>119</v>
      </c>
      <c r="S313" s="32">
        <f t="shared" si="59"/>
        <v>8.8405752459119533</v>
      </c>
      <c r="T313" s="1">
        <f t="shared" si="60"/>
        <v>9.4647793612189339</v>
      </c>
      <c r="U313" s="1">
        <f t="shared" si="61"/>
        <v>9.5296286337598861</v>
      </c>
      <c r="V313" s="1">
        <f t="shared" si="62"/>
        <v>5.3950064755250642</v>
      </c>
      <c r="W313" s="1">
        <f t="shared" si="65"/>
        <v>4.2054281490906953E-3</v>
      </c>
      <c r="X313" s="1">
        <f t="shared" si="66"/>
        <v>-6.4849272540952185E-2</v>
      </c>
      <c r="Y313" s="39">
        <f t="shared" si="63"/>
        <v>86.253179738704034</v>
      </c>
      <c r="AB313">
        <v>308</v>
      </c>
      <c r="AC313" s="7">
        <v>0.68765079311748201</v>
      </c>
      <c r="AD313">
        <v>1.6209453362316442</v>
      </c>
      <c r="AE313">
        <v>0.95912419124080239</v>
      </c>
      <c r="AF313" s="7">
        <v>4.1734711710726187E-2</v>
      </c>
      <c r="AG313" s="10">
        <v>128.98379328478418</v>
      </c>
      <c r="AH313" s="1">
        <v>1.1555201548189713</v>
      </c>
      <c r="AI313" s="10">
        <v>150.97838633187038</v>
      </c>
      <c r="AJ313" s="32">
        <v>1795.3645574517677</v>
      </c>
      <c r="AK313">
        <v>320</v>
      </c>
      <c r="AL313" s="7">
        <v>0.68688241882224277</v>
      </c>
    </row>
    <row r="314" spans="1:38" x14ac:dyDescent="0.3">
      <c r="A314">
        <v>76800</v>
      </c>
      <c r="B314">
        <v>30</v>
      </c>
      <c r="C314">
        <v>7</v>
      </c>
      <c r="D314">
        <v>1982</v>
      </c>
      <c r="E314">
        <v>12</v>
      </c>
      <c r="F314">
        <v>6</v>
      </c>
      <c r="G314">
        <v>1985</v>
      </c>
      <c r="H314">
        <v>65</v>
      </c>
      <c r="I314" s="32">
        <f t="shared" si="54"/>
        <v>14.124515496597098</v>
      </c>
      <c r="J314" s="1">
        <v>2.8712328767123299</v>
      </c>
      <c r="K314" s="32">
        <f t="shared" si="55"/>
        <v>14.929124261908088</v>
      </c>
      <c r="L314" s="32">
        <f t="shared" si="56"/>
        <v>71.648812068781254</v>
      </c>
      <c r="M314" s="1">
        <f t="shared" si="57"/>
        <v>0.23550765027234111</v>
      </c>
      <c r="N314">
        <v>0.61448417909559794</v>
      </c>
      <c r="O314" s="32">
        <f t="shared" si="64"/>
        <v>15.227328090807044</v>
      </c>
      <c r="P314" s="32">
        <f t="shared" si="58"/>
        <v>74.195208287077349</v>
      </c>
      <c r="Q314">
        <v>9</v>
      </c>
      <c r="R314">
        <v>74</v>
      </c>
      <c r="S314" s="32">
        <f t="shared" si="59"/>
        <v>8.4669809135353606</v>
      </c>
      <c r="T314" s="1">
        <f t="shared" si="60"/>
        <v>8.9525220269446368</v>
      </c>
      <c r="U314" s="1">
        <f t="shared" si="61"/>
        <v>8.8169295018925649</v>
      </c>
      <c r="V314" s="1">
        <f t="shared" si="62"/>
        <v>2.581085954783596</v>
      </c>
      <c r="W314" s="1">
        <f t="shared" si="65"/>
        <v>1.8385332849996768E-2</v>
      </c>
      <c r="X314" s="1">
        <f t="shared" si="66"/>
        <v>0.13559252505207198</v>
      </c>
      <c r="Y314" s="39">
        <f t="shared" si="63"/>
        <v>71.542153287871429</v>
      </c>
      <c r="AB314">
        <v>309</v>
      </c>
      <c r="AC314" s="7">
        <v>0.41901369569247177</v>
      </c>
      <c r="AD314">
        <v>0.85808157238521476</v>
      </c>
      <c r="AE314">
        <v>0.94353292654616039</v>
      </c>
      <c r="AF314" s="7">
        <v>5.8124016482346656E-2</v>
      </c>
      <c r="AG314" s="10">
        <v>117.46094074734553</v>
      </c>
      <c r="AH314" s="1">
        <v>0.41601500430457566</v>
      </c>
      <c r="AI314" s="10">
        <v>13.362452905556307</v>
      </c>
      <c r="AJ314" s="32">
        <v>1766.7713296039794</v>
      </c>
      <c r="AK314">
        <v>320</v>
      </c>
      <c r="AL314" s="7">
        <v>0.20434692395498263</v>
      </c>
    </row>
    <row r="315" spans="1:38" x14ac:dyDescent="0.3">
      <c r="A315">
        <v>77010</v>
      </c>
      <c r="B315">
        <v>31</v>
      </c>
      <c r="C315">
        <v>7</v>
      </c>
      <c r="D315">
        <v>1982</v>
      </c>
      <c r="E315">
        <v>6</v>
      </c>
      <c r="F315">
        <v>7</v>
      </c>
      <c r="G315">
        <v>1984</v>
      </c>
      <c r="H315">
        <v>49</v>
      </c>
      <c r="I315" s="32">
        <f t="shared" si="54"/>
        <v>12</v>
      </c>
      <c r="J315" s="1">
        <v>1.93424657534247</v>
      </c>
      <c r="K315" s="32">
        <f t="shared" si="55"/>
        <v>12.75560792490244</v>
      </c>
      <c r="L315" s="32">
        <f t="shared" si="56"/>
        <v>54.431991308360928</v>
      </c>
      <c r="M315" s="1">
        <f t="shared" si="57"/>
        <v>0.16613629993649537</v>
      </c>
      <c r="N315">
        <v>-0.21159507923584897</v>
      </c>
      <c r="O315" s="32">
        <f t="shared" si="64"/>
        <v>12.669362149583989</v>
      </c>
      <c r="P315" s="32">
        <f t="shared" si="58"/>
        <v>53.797546468911847</v>
      </c>
      <c r="Q315">
        <v>9</v>
      </c>
      <c r="R315">
        <v>58</v>
      </c>
      <c r="S315" s="32">
        <f t="shared" si="59"/>
        <v>7.4937089906386829</v>
      </c>
      <c r="T315" s="1">
        <f t="shared" si="60"/>
        <v>7.8061595653622646</v>
      </c>
      <c r="U315" s="1">
        <f t="shared" si="61"/>
        <v>7.8412106521782015</v>
      </c>
      <c r="V315" s="1">
        <f t="shared" si="62"/>
        <v>1.8331219451597545</v>
      </c>
      <c r="W315" s="1">
        <f t="shared" si="65"/>
        <v>1.2285786869783405E-3</v>
      </c>
      <c r="X315" s="1">
        <f t="shared" si="66"/>
        <v>-3.5051086815936827E-2</v>
      </c>
      <c r="Y315" s="39">
        <f t="shared" si="63"/>
        <v>54.35526617637781</v>
      </c>
      <c r="AB315">
        <v>310</v>
      </c>
      <c r="AC315" s="7">
        <v>0.52488239057618247</v>
      </c>
      <c r="AD315">
        <v>1.0857168934409938</v>
      </c>
      <c r="AE315">
        <v>0.94960121568071909</v>
      </c>
      <c r="AF315" s="7">
        <v>5.1713155484550577E-2</v>
      </c>
      <c r="AG315" s="10">
        <v>119.38923335126341</v>
      </c>
      <c r="AH315" s="1">
        <v>0.62027246283753612</v>
      </c>
      <c r="AI315" s="10">
        <v>32.082202356086817</v>
      </c>
      <c r="AJ315" s="32">
        <v>1751.5994952415556</v>
      </c>
      <c r="AK315">
        <v>320</v>
      </c>
      <c r="AL315" s="7">
        <v>0.31663367218723171</v>
      </c>
    </row>
    <row r="316" spans="1:38" x14ac:dyDescent="0.3">
      <c r="A316">
        <v>76716</v>
      </c>
      <c r="B316">
        <v>30</v>
      </c>
      <c r="C316">
        <v>7</v>
      </c>
      <c r="D316">
        <v>1982</v>
      </c>
      <c r="E316">
        <v>1</v>
      </c>
      <c r="F316">
        <v>9</v>
      </c>
      <c r="G316">
        <v>1984</v>
      </c>
      <c r="H316">
        <v>66</v>
      </c>
      <c r="I316" s="32">
        <f t="shared" si="54"/>
        <v>14.248076809271922</v>
      </c>
      <c r="J316" s="1">
        <v>2.0931506849315098</v>
      </c>
      <c r="K316" s="32">
        <f t="shared" si="55"/>
        <v>14.833633315224269</v>
      </c>
      <c r="L316" s="32">
        <f t="shared" si="56"/>
        <v>70.842802647857098</v>
      </c>
      <c r="M316" s="1">
        <f t="shared" si="57"/>
        <v>0.17837548578025086</v>
      </c>
      <c r="N316">
        <v>-0.25578174245310947</v>
      </c>
      <c r="O316" s="32">
        <f t="shared" si="64"/>
        <v>14.72560511865631</v>
      </c>
      <c r="P316" s="32">
        <f t="shared" si="58"/>
        <v>69.936466646305547</v>
      </c>
      <c r="Q316">
        <v>4</v>
      </c>
      <c r="R316">
        <v>70</v>
      </c>
      <c r="S316" s="32">
        <f t="shared" si="59"/>
        <v>8.5220073941514993</v>
      </c>
      <c r="T316" s="1">
        <f t="shared" si="60"/>
        <v>8.7331641369484956</v>
      </c>
      <c r="U316" s="1">
        <f t="shared" si="61"/>
        <v>8.7765062469644093</v>
      </c>
      <c r="V316" s="1">
        <f t="shared" si="62"/>
        <v>1.9658819762264996</v>
      </c>
      <c r="W316" s="1">
        <f t="shared" si="65"/>
        <v>1.8785385006315669E-3</v>
      </c>
      <c r="X316" s="1">
        <f t="shared" si="66"/>
        <v>-4.3342110015913704E-2</v>
      </c>
      <c r="Y316" s="39">
        <f t="shared" si="63"/>
        <v>70.76412993474176</v>
      </c>
      <c r="AB316">
        <v>311</v>
      </c>
      <c r="AC316" s="7">
        <v>0.99115106405818032</v>
      </c>
      <c r="AD316">
        <v>5.4699825732825822</v>
      </c>
      <c r="AE316">
        <v>0.95210530329513599</v>
      </c>
      <c r="AF316" s="7">
        <v>4.9079637602931131E-2</v>
      </c>
      <c r="AG316" s="10">
        <v>119.1320897484741</v>
      </c>
      <c r="AH316" s="1">
        <v>5.4694737445935981</v>
      </c>
      <c r="AI316" s="10">
        <v>2151.0115097463377</v>
      </c>
      <c r="AJ316" s="32">
        <v>1786.1311280682244</v>
      </c>
      <c r="AK316">
        <v>320</v>
      </c>
      <c r="AL316" s="7">
        <v>2.5926648391100042</v>
      </c>
    </row>
    <row r="317" spans="1:38" x14ac:dyDescent="0.3">
      <c r="A317">
        <v>78688</v>
      </c>
      <c r="B317">
        <v>24</v>
      </c>
      <c r="C317">
        <v>7</v>
      </c>
      <c r="D317">
        <v>1982</v>
      </c>
      <c r="E317">
        <v>16</v>
      </c>
      <c r="F317">
        <v>6</v>
      </c>
      <c r="G317">
        <v>1987</v>
      </c>
      <c r="H317">
        <v>61</v>
      </c>
      <c r="I317" s="32">
        <f t="shared" si="54"/>
        <v>13.620499351813308</v>
      </c>
      <c r="J317" s="1">
        <v>4.8986301369863003</v>
      </c>
      <c r="K317" s="32">
        <f t="shared" si="55"/>
        <v>15.037930218890907</v>
      </c>
      <c r="L317" s="32">
        <f t="shared" si="56"/>
        <v>72.572766535948986</v>
      </c>
      <c r="M317" s="1">
        <f t="shared" si="57"/>
        <v>0.36461925723843691</v>
      </c>
      <c r="N317">
        <v>-0.68603526415245142</v>
      </c>
      <c r="O317" s="32">
        <f t="shared" si="64"/>
        <v>14.623676666590127</v>
      </c>
      <c r="P317" s="32">
        <f t="shared" si="58"/>
        <v>69.086656478833277</v>
      </c>
      <c r="Q317">
        <v>18</v>
      </c>
      <c r="R317">
        <v>79</v>
      </c>
      <c r="S317" s="32">
        <f t="shared" si="59"/>
        <v>8.2408125112790831</v>
      </c>
      <c r="T317" s="1">
        <f t="shared" si="60"/>
        <v>8.6882905781731559</v>
      </c>
      <c r="U317" s="1">
        <f t="shared" si="61"/>
        <v>8.8613115688320345</v>
      </c>
      <c r="V317" s="1">
        <f t="shared" si="62"/>
        <v>3.9416051355424955</v>
      </c>
      <c r="W317" s="1">
        <f t="shared" si="65"/>
        <v>2.9936263208579776E-2</v>
      </c>
      <c r="X317" s="1">
        <f t="shared" si="66"/>
        <v>-0.17302099065887866</v>
      </c>
      <c r="Y317" s="39">
        <f t="shared" si="63"/>
        <v>72.403181048080583</v>
      </c>
      <c r="AB317">
        <v>312</v>
      </c>
      <c r="AC317" s="7">
        <v>0.65080924076187674</v>
      </c>
      <c r="AD317">
        <v>1.5237092356305693</v>
      </c>
      <c r="AE317">
        <v>0.95468423435352623</v>
      </c>
      <c r="AF317" s="7">
        <v>4.6374637832396877E-2</v>
      </c>
      <c r="AG317" s="10">
        <v>122.73180801072576</v>
      </c>
      <c r="AH317" s="1">
        <v>1.0369598164290641</v>
      </c>
      <c r="AI317" s="10">
        <v>110.54006620345663</v>
      </c>
      <c r="AJ317" s="32">
        <v>1796.0874167461866</v>
      </c>
      <c r="AK317">
        <v>320</v>
      </c>
      <c r="AL317" s="7">
        <v>0.58773948896241601</v>
      </c>
    </row>
    <row r="318" spans="1:38" x14ac:dyDescent="0.3">
      <c r="A318">
        <v>22557</v>
      </c>
      <c r="B318">
        <v>24</v>
      </c>
      <c r="C318">
        <v>7</v>
      </c>
      <c r="D318">
        <v>1982</v>
      </c>
      <c r="E318">
        <v>2</v>
      </c>
      <c r="F318">
        <v>5</v>
      </c>
      <c r="G318">
        <v>1984</v>
      </c>
      <c r="H318">
        <v>146</v>
      </c>
      <c r="I318" s="32">
        <f t="shared" si="54"/>
        <v>22.166091947189145</v>
      </c>
      <c r="J318" s="1">
        <v>1.77534246575342</v>
      </c>
      <c r="K318" s="32">
        <f t="shared" si="55"/>
        <v>21.977555397490693</v>
      </c>
      <c r="L318" s="32">
        <f t="shared" si="56"/>
        <v>143.73079070993379</v>
      </c>
      <c r="M318" s="1">
        <f t="shared" si="57"/>
        <v>0.15369596278213893</v>
      </c>
      <c r="N318">
        <v>-1.4725446817465127</v>
      </c>
      <c r="O318" s="32">
        <f t="shared" si="64"/>
        <v>21.400257851407297</v>
      </c>
      <c r="P318" s="32">
        <f t="shared" si="58"/>
        <v>136.8930168780872</v>
      </c>
      <c r="Q318">
        <v>6</v>
      </c>
      <c r="R318">
        <v>152</v>
      </c>
      <c r="S318" s="32">
        <f t="shared" si="59"/>
        <v>11.769443579117565</v>
      </c>
      <c r="T318" s="1">
        <f t="shared" si="60"/>
        <v>11.475556141801183</v>
      </c>
      <c r="U318" s="1">
        <f t="shared" si="61"/>
        <v>11.663376095975433</v>
      </c>
      <c r="V318" s="1">
        <f t="shared" si="62"/>
        <v>1.6978409617910575</v>
      </c>
      <c r="W318" s="1">
        <f t="shared" si="65"/>
        <v>3.5276335186017374E-2</v>
      </c>
      <c r="X318" s="1">
        <f t="shared" si="66"/>
        <v>-0.18781995417425001</v>
      </c>
      <c r="Y318" s="39">
        <f t="shared" si="63"/>
        <v>142.666223193999</v>
      </c>
      <c r="AB318">
        <v>313</v>
      </c>
      <c r="AC318" s="7">
        <v>0.7631787166762497</v>
      </c>
      <c r="AD318">
        <v>2.132536837167986</v>
      </c>
      <c r="AE318">
        <v>0.95785141119796657</v>
      </c>
      <c r="AF318" s="7">
        <v>4.3062616174658043E-2</v>
      </c>
      <c r="AG318" s="10">
        <v>124.07069552150709</v>
      </c>
      <c r="AH318" s="1">
        <v>1.6696553154567255</v>
      </c>
      <c r="AI318" s="10">
        <v>300.72408114487479</v>
      </c>
      <c r="AJ318" s="32">
        <v>1801.8719110707907</v>
      </c>
      <c r="AK318">
        <v>320</v>
      </c>
      <c r="AL318" s="7">
        <v>0.96941361326202435</v>
      </c>
    </row>
    <row r="319" spans="1:38" x14ac:dyDescent="0.3">
      <c r="A319">
        <v>76705</v>
      </c>
      <c r="B319">
        <v>30</v>
      </c>
      <c r="C319">
        <v>7</v>
      </c>
      <c r="D319">
        <v>1982</v>
      </c>
      <c r="E319">
        <v>7</v>
      </c>
      <c r="F319">
        <v>5</v>
      </c>
      <c r="G319">
        <v>1986</v>
      </c>
      <c r="H319">
        <v>55</v>
      </c>
      <c r="I319" s="32">
        <f t="shared" si="54"/>
        <v>12.832396974191326</v>
      </c>
      <c r="J319" s="1">
        <v>3.7726027397260302</v>
      </c>
      <c r="K319" s="32">
        <f t="shared" si="55"/>
        <v>14.093449024603382</v>
      </c>
      <c r="L319" s="32">
        <f t="shared" si="56"/>
        <v>64.749775376876869</v>
      </c>
      <c r="M319" s="1">
        <f t="shared" si="57"/>
        <v>0.29623516743259454</v>
      </c>
      <c r="N319">
        <v>0.64347887018811889</v>
      </c>
      <c r="O319" s="32">
        <f t="shared" si="64"/>
        <v>14.44367842271881</v>
      </c>
      <c r="P319" s="32">
        <f t="shared" si="58"/>
        <v>67.598640017447053</v>
      </c>
      <c r="Q319">
        <v>27</v>
      </c>
      <c r="R319">
        <v>82</v>
      </c>
      <c r="S319" s="32">
        <f t="shared" si="59"/>
        <v>7.8814209124336854</v>
      </c>
      <c r="T319" s="1">
        <f t="shared" si="60"/>
        <v>8.6087863014008494</v>
      </c>
      <c r="U319" s="1">
        <f t="shared" si="61"/>
        <v>8.4467007811787127</v>
      </c>
      <c r="V319" s="1">
        <f t="shared" si="62"/>
        <v>3.2264103808643267</v>
      </c>
      <c r="W319" s="1">
        <f t="shared" si="65"/>
        <v>2.6271715865680698E-2</v>
      </c>
      <c r="X319" s="1">
        <f t="shared" si="66"/>
        <v>0.16208552022213674</v>
      </c>
      <c r="Y319" s="39">
        <f t="shared" si="63"/>
        <v>64.634113115969441</v>
      </c>
      <c r="AB319">
        <v>314</v>
      </c>
      <c r="AC319" s="7">
        <v>0.60492309259271371</v>
      </c>
      <c r="AD319">
        <v>1.2117753366115069</v>
      </c>
      <c r="AE319">
        <v>0.9601279903650024</v>
      </c>
      <c r="AF319" s="7">
        <v>4.0688680110138507E-2</v>
      </c>
      <c r="AG319" s="10">
        <v>134.36876637708187</v>
      </c>
      <c r="AH319" s="1">
        <v>0.77290289378560706</v>
      </c>
      <c r="AI319" s="10">
        <v>64.603495106698134</v>
      </c>
      <c r="AJ319" s="32">
        <v>1758.2011410064133</v>
      </c>
      <c r="AK319">
        <v>320</v>
      </c>
      <c r="AL319" s="7">
        <v>0.44931717328456483</v>
      </c>
    </row>
    <row r="320" spans="1:38" x14ac:dyDescent="0.3">
      <c r="A320">
        <v>78974</v>
      </c>
      <c r="B320">
        <v>30</v>
      </c>
      <c r="C320">
        <v>7</v>
      </c>
      <c r="D320">
        <v>1982</v>
      </c>
      <c r="E320">
        <v>10</v>
      </c>
      <c r="F320">
        <v>5</v>
      </c>
      <c r="G320">
        <v>1988</v>
      </c>
      <c r="H320">
        <v>88</v>
      </c>
      <c r="I320" s="32">
        <f t="shared" si="54"/>
        <v>16.761663039293719</v>
      </c>
      <c r="J320" s="1">
        <v>5.7835616438356201</v>
      </c>
      <c r="K320" s="32">
        <f t="shared" si="55"/>
        <v>17.592949872524375</v>
      </c>
      <c r="L320" s="32">
        <f t="shared" si="56"/>
        <v>95.970921176813235</v>
      </c>
      <c r="M320" s="1">
        <f t="shared" si="57"/>
        <v>0.41308407038174577</v>
      </c>
      <c r="N320">
        <v>-1.3630824469146319</v>
      </c>
      <c r="O320" s="32">
        <f t="shared" si="64"/>
        <v>16.716874747936718</v>
      </c>
      <c r="P320" s="32">
        <f t="shared" si="58"/>
        <v>87.580350082487797</v>
      </c>
      <c r="Q320">
        <v>36</v>
      </c>
      <c r="R320">
        <v>124</v>
      </c>
      <c r="S320" s="32">
        <f t="shared" si="59"/>
        <v>9.6084967093666851</v>
      </c>
      <c r="T320" s="1">
        <f t="shared" si="60"/>
        <v>9.5896494969673736</v>
      </c>
      <c r="U320" s="1">
        <f t="shared" si="61"/>
        <v>9.9266688808627705</v>
      </c>
      <c r="V320" s="1">
        <f t="shared" si="62"/>
        <v>4.440454570413527</v>
      </c>
      <c r="W320" s="1">
        <f t="shared" si="65"/>
        <v>0.11358206512123296</v>
      </c>
      <c r="X320" s="1">
        <f t="shared" si="66"/>
        <v>-0.33701938389539698</v>
      </c>
      <c r="Y320" s="39">
        <f t="shared" si="63"/>
        <v>95.296592774913023</v>
      </c>
      <c r="AB320">
        <v>315</v>
      </c>
      <c r="AC320" s="7">
        <v>0.54660146657879483</v>
      </c>
      <c r="AD320">
        <v>1.173804270087988</v>
      </c>
      <c r="AE320">
        <v>0.9494170278268933</v>
      </c>
      <c r="AF320" s="7">
        <v>5.1907137669854025E-2</v>
      </c>
      <c r="AG320" s="10">
        <v>119.86612383416865</v>
      </c>
      <c r="AH320" s="1">
        <v>0.69218610767965272</v>
      </c>
      <c r="AI320" s="10">
        <v>41.031444537167545</v>
      </c>
      <c r="AJ320" s="32">
        <v>1769.5637387214524</v>
      </c>
      <c r="AK320">
        <v>320</v>
      </c>
      <c r="AL320" s="7">
        <v>0.35808276163290598</v>
      </c>
    </row>
    <row r="321" spans="1:38" x14ac:dyDescent="0.3">
      <c r="A321">
        <v>22773</v>
      </c>
      <c r="B321">
        <v>28</v>
      </c>
      <c r="C321">
        <v>7</v>
      </c>
      <c r="D321">
        <v>1982</v>
      </c>
      <c r="E321">
        <v>19</v>
      </c>
      <c r="F321">
        <v>4</v>
      </c>
      <c r="G321">
        <v>1990</v>
      </c>
      <c r="H321">
        <v>57</v>
      </c>
      <c r="I321" s="32">
        <f t="shared" si="54"/>
        <v>13.0996688705415</v>
      </c>
      <c r="J321" s="1">
        <v>7.7315068493150703</v>
      </c>
      <c r="K321" s="32">
        <f t="shared" si="55"/>
        <v>15.358697939559111</v>
      </c>
      <c r="L321" s="32">
        <f t="shared" si="56"/>
        <v>75.331098539213428</v>
      </c>
      <c r="M321" s="1">
        <f t="shared" si="57"/>
        <v>0.50546037702889046</v>
      </c>
      <c r="N321">
        <v>-1.0832559382834006</v>
      </c>
      <c r="O321" s="32">
        <f t="shared" si="64"/>
        <v>14.588549150394881</v>
      </c>
      <c r="P321" s="32">
        <f t="shared" si="58"/>
        <v>68.794990728766692</v>
      </c>
      <c r="Q321">
        <v>36</v>
      </c>
      <c r="R321">
        <v>93</v>
      </c>
      <c r="S321" s="32">
        <f t="shared" si="59"/>
        <v>8.0041122654507237</v>
      </c>
      <c r="T321" s="1">
        <f t="shared" si="60"/>
        <v>8.6728011957510169</v>
      </c>
      <c r="U321" s="1">
        <f t="shared" si="61"/>
        <v>8.9963119528477371</v>
      </c>
      <c r="V321" s="1">
        <f t="shared" si="62"/>
        <v>5.3706611061149925</v>
      </c>
      <c r="W321" s="1">
        <f t="shared" si="65"/>
        <v>0.10465920995729308</v>
      </c>
      <c r="X321" s="1">
        <f t="shared" si="66"/>
        <v>-0.32351075709672017</v>
      </c>
      <c r="Y321" s="39">
        <f t="shared" si="63"/>
        <v>75.06638410847458</v>
      </c>
      <c r="AB321">
        <v>316</v>
      </c>
      <c r="AC321" s="7">
        <v>0.47454961508363563</v>
      </c>
      <c r="AD321">
        <v>0.86928864789199944</v>
      </c>
      <c r="AE321">
        <v>0.95330672722666798</v>
      </c>
      <c r="AF321" s="7">
        <v>4.7818572729293123E-2</v>
      </c>
      <c r="AG321" s="10">
        <v>123.59647248878473</v>
      </c>
      <c r="AH321" s="1">
        <v>0.45921386602705444</v>
      </c>
      <c r="AI321" s="10">
        <v>22.706138438598249</v>
      </c>
      <c r="AJ321" s="32">
        <v>1784.9419649856413</v>
      </c>
      <c r="AK321">
        <v>320</v>
      </c>
      <c r="AL321" s="7">
        <v>0.26637695587385091</v>
      </c>
    </row>
    <row r="322" spans="1:38" x14ac:dyDescent="0.3">
      <c r="A322">
        <v>78981</v>
      </c>
      <c r="B322">
        <v>30</v>
      </c>
      <c r="C322">
        <v>7</v>
      </c>
      <c r="D322">
        <v>1982</v>
      </c>
      <c r="E322">
        <v>21</v>
      </c>
      <c r="F322">
        <v>6</v>
      </c>
      <c r="G322">
        <v>1987</v>
      </c>
      <c r="H322">
        <v>77</v>
      </c>
      <c r="I322" s="32">
        <f t="shared" si="54"/>
        <v>15.549928774784245</v>
      </c>
      <c r="J322" s="1">
        <v>4.8958904109589003</v>
      </c>
      <c r="K322" s="32">
        <f t="shared" si="55"/>
        <v>16.538182453587314</v>
      </c>
      <c r="L322" s="32">
        <f t="shared" si="56"/>
        <v>85.916052170623146</v>
      </c>
      <c r="M322" s="1">
        <f t="shared" si="57"/>
        <v>0.36446227554351968</v>
      </c>
      <c r="N322">
        <v>0.61633272707695141</v>
      </c>
      <c r="O322" s="32">
        <f t="shared" si="64"/>
        <v>16.910266903498034</v>
      </c>
      <c r="P322" s="32">
        <f t="shared" si="58"/>
        <v>89.399548590383276</v>
      </c>
      <c r="Q322">
        <v>9</v>
      </c>
      <c r="R322">
        <v>86</v>
      </c>
      <c r="S322" s="32">
        <f t="shared" si="59"/>
        <v>9.0922615112669138</v>
      </c>
      <c r="T322" s="1">
        <f t="shared" si="60"/>
        <v>9.6709059024658295</v>
      </c>
      <c r="U322" s="1">
        <f t="shared" si="61"/>
        <v>9.4982589955259975</v>
      </c>
      <c r="V322" s="1">
        <f t="shared" si="62"/>
        <v>3.93997813986448</v>
      </c>
      <c r="W322" s="1">
        <f t="shared" si="65"/>
        <v>2.9806954475891004E-2</v>
      </c>
      <c r="X322" s="1">
        <f t="shared" si="66"/>
        <v>0.17264690693983198</v>
      </c>
      <c r="Y322" s="39">
        <f t="shared" si="63"/>
        <v>85.565120356353887</v>
      </c>
      <c r="AB322">
        <v>317</v>
      </c>
      <c r="AC322" s="7">
        <v>0.5524478850611716</v>
      </c>
      <c r="AD322">
        <v>1.0541998711455307</v>
      </c>
      <c r="AE322">
        <v>0.95840668682062913</v>
      </c>
      <c r="AF322" s="7">
        <v>4.248307457869209E-2</v>
      </c>
      <c r="AG322" s="10">
        <v>134.57944599299037</v>
      </c>
      <c r="AH322" s="1">
        <v>0.62398380242547891</v>
      </c>
      <c r="AI322" s="10">
        <v>38.843775636888495</v>
      </c>
      <c r="AJ322" s="32">
        <v>1742.9301410305097</v>
      </c>
      <c r="AK322">
        <v>320</v>
      </c>
      <c r="AL322" s="7">
        <v>0.34840608327822942</v>
      </c>
    </row>
    <row r="323" spans="1:38" x14ac:dyDescent="0.3">
      <c r="A323">
        <v>78830</v>
      </c>
      <c r="B323">
        <v>26</v>
      </c>
      <c r="C323">
        <v>7</v>
      </c>
      <c r="D323">
        <v>1982</v>
      </c>
      <c r="E323">
        <v>29</v>
      </c>
      <c r="F323">
        <v>4</v>
      </c>
      <c r="G323">
        <v>1984</v>
      </c>
      <c r="H323">
        <v>105</v>
      </c>
      <c r="I323" s="32">
        <f t="shared" si="54"/>
        <v>18.493901531919196</v>
      </c>
      <c r="J323" s="1">
        <v>1.7616438356164399</v>
      </c>
      <c r="K323" s="32">
        <f t="shared" si="55"/>
        <v>18.624025791894947</v>
      </c>
      <c r="L323" s="32">
        <f t="shared" si="56"/>
        <v>106.337609966187</v>
      </c>
      <c r="M323" s="1">
        <f t="shared" si="57"/>
        <v>0.15261399493444028</v>
      </c>
      <c r="N323">
        <v>-1.157625320047373</v>
      </c>
      <c r="O323" s="32">
        <f t="shared" si="64"/>
        <v>18.171789722573383</v>
      </c>
      <c r="P323" s="32">
        <f t="shared" si="58"/>
        <v>101.72527515292929</v>
      </c>
      <c r="Q323">
        <v>11</v>
      </c>
      <c r="R323">
        <v>116</v>
      </c>
      <c r="S323" s="32">
        <f t="shared" si="59"/>
        <v>10.324611955449956</v>
      </c>
      <c r="T323" s="1">
        <f t="shared" si="60"/>
        <v>10.193277305385282</v>
      </c>
      <c r="U323" s="1">
        <f t="shared" si="61"/>
        <v>10.362385233794724</v>
      </c>
      <c r="V323" s="1">
        <f t="shared" si="62"/>
        <v>1.6860592270796613</v>
      </c>
      <c r="W323" s="1">
        <f t="shared" si="65"/>
        <v>2.8597491450932998E-2</v>
      </c>
      <c r="X323" s="1">
        <f t="shared" si="66"/>
        <v>-0.16910792840944211</v>
      </c>
      <c r="Y323" s="39">
        <f t="shared" si="63"/>
        <v>105.95521168939784</v>
      </c>
      <c r="AB323">
        <v>318</v>
      </c>
      <c r="AC323" s="7">
        <v>1.0302670780311536</v>
      </c>
      <c r="AD323">
        <v>6.0068335742602406</v>
      </c>
      <c r="AE323">
        <v>0.95499318207962969</v>
      </c>
      <c r="AF323" s="7">
        <v>4.6051077710524732E-2</v>
      </c>
      <c r="AG323" s="10">
        <v>119.82636293673497</v>
      </c>
      <c r="AH323" s="1">
        <v>6.2336496926928993</v>
      </c>
      <c r="AI323" s="10">
        <v>3578.4352620249438</v>
      </c>
      <c r="AJ323" s="32">
        <v>1840.6895616567076</v>
      </c>
      <c r="AK323">
        <v>320</v>
      </c>
      <c r="AL323" s="7">
        <v>3.3440409976296568</v>
      </c>
    </row>
    <row r="324" spans="1:38" x14ac:dyDescent="0.3">
      <c r="A324">
        <v>79430</v>
      </c>
      <c r="B324">
        <v>3</v>
      </c>
      <c r="C324">
        <v>9</v>
      </c>
      <c r="D324">
        <v>1982</v>
      </c>
      <c r="E324">
        <v>21</v>
      </c>
      <c r="F324">
        <v>6</v>
      </c>
      <c r="G324">
        <v>1983</v>
      </c>
      <c r="H324">
        <v>82</v>
      </c>
      <c r="I324" s="32">
        <f t="shared" si="54"/>
        <v>16.110770276274835</v>
      </c>
      <c r="J324" s="1">
        <v>0.79726027397260302</v>
      </c>
      <c r="K324" s="32">
        <f t="shared" si="55"/>
        <v>16.266608695064928</v>
      </c>
      <c r="L324" s="32">
        <f t="shared" si="56"/>
        <v>83.417248304655402</v>
      </c>
      <c r="M324" s="1">
        <f t="shared" si="57"/>
        <v>7.2491913394994625E-2</v>
      </c>
      <c r="N324">
        <v>0.48092033466673456</v>
      </c>
      <c r="O324" s="32">
        <f t="shared" si="64"/>
        <v>16.396093236212231</v>
      </c>
      <c r="P324" s="32">
        <f t="shared" si="58"/>
        <v>84.604061588853341</v>
      </c>
      <c r="Q324">
        <v>3</v>
      </c>
      <c r="R324">
        <v>85</v>
      </c>
      <c r="S324" s="32">
        <f t="shared" si="59"/>
        <v>9.332855979925947</v>
      </c>
      <c r="T324" s="1">
        <f t="shared" si="60"/>
        <v>9.4541487666178643</v>
      </c>
      <c r="U324" s="1">
        <f t="shared" si="61"/>
        <v>9.3961524342428167</v>
      </c>
      <c r="V324" s="1">
        <f t="shared" si="62"/>
        <v>0.80671338231866152</v>
      </c>
      <c r="W324" s="1">
        <f t="shared" si="65"/>
        <v>3.3635745689569994E-3</v>
      </c>
      <c r="X324" s="1">
        <f t="shared" si="66"/>
        <v>5.7996332375047643E-2</v>
      </c>
      <c r="Y324" s="39">
        <f t="shared" si="63"/>
        <v>83.35188194401519</v>
      </c>
      <c r="AB324">
        <v>319</v>
      </c>
      <c r="AC324" s="7">
        <v>0.66964845027666753</v>
      </c>
      <c r="AD324">
        <v>1.5982924013367572</v>
      </c>
      <c r="AE324">
        <v>0.95547046243853684</v>
      </c>
      <c r="AF324" s="7">
        <v>4.5551428978442318E-2</v>
      </c>
      <c r="AG324" s="10">
        <v>122.60149623941729</v>
      </c>
      <c r="AH324" s="1">
        <v>1.1148235672055962</v>
      </c>
      <c r="AI324" s="10">
        <v>113.4316557915984</v>
      </c>
      <c r="AJ324" s="32">
        <v>1751.6370662913314</v>
      </c>
      <c r="AK324">
        <v>320</v>
      </c>
      <c r="AL324" s="7">
        <v>0.59537712783474062</v>
      </c>
    </row>
    <row r="325" spans="1:38" x14ac:dyDescent="0.3">
      <c r="A325">
        <v>78920</v>
      </c>
      <c r="B325">
        <v>28</v>
      </c>
      <c r="C325">
        <v>7</v>
      </c>
      <c r="D325">
        <v>1982</v>
      </c>
      <c r="E325">
        <v>29</v>
      </c>
      <c r="F325">
        <v>5</v>
      </c>
      <c r="G325">
        <v>1984</v>
      </c>
      <c r="H325">
        <v>84</v>
      </c>
      <c r="I325" s="32">
        <f t="shared" si="54"/>
        <v>16.330302779823359</v>
      </c>
      <c r="J325" s="1">
        <v>1.83835616438356</v>
      </c>
      <c r="K325" s="32">
        <f t="shared" si="55"/>
        <v>16.660524317361194</v>
      </c>
      <c r="L325" s="32">
        <f t="shared" si="56"/>
        <v>87.053791949707119</v>
      </c>
      <c r="M325" s="1">
        <f t="shared" si="57"/>
        <v>0.15865347774023775</v>
      </c>
      <c r="N325">
        <v>0.15417981558130123</v>
      </c>
      <c r="O325" s="32">
        <f t="shared" si="64"/>
        <v>16.721936187102056</v>
      </c>
      <c r="P325" s="32">
        <f t="shared" si="58"/>
        <v>87.627723648480369</v>
      </c>
      <c r="Q325">
        <v>10</v>
      </c>
      <c r="R325">
        <v>94</v>
      </c>
      <c r="S325" s="32">
        <f t="shared" si="59"/>
        <v>9.4262457208818446</v>
      </c>
      <c r="T325" s="1">
        <f t="shared" si="60"/>
        <v>9.5917802581664073</v>
      </c>
      <c r="U325" s="1">
        <f t="shared" si="61"/>
        <v>9.5581972789351681</v>
      </c>
      <c r="V325" s="1">
        <f t="shared" si="62"/>
        <v>1.7517915401680622</v>
      </c>
      <c r="W325" s="1">
        <f t="shared" si="65"/>
        <v>1.127816494045844E-3</v>
      </c>
      <c r="X325" s="1">
        <f t="shared" si="66"/>
        <v>3.3582979231239207E-2</v>
      </c>
      <c r="Y325" s="39">
        <f t="shared" si="63"/>
        <v>86.88313195005469</v>
      </c>
      <c r="AB325">
        <v>320</v>
      </c>
      <c r="AC325" s="7">
        <v>0.86115247263969974</v>
      </c>
      <c r="AD325">
        <v>2.8147371104708045</v>
      </c>
      <c r="AE325">
        <v>0.96341023203772624</v>
      </c>
      <c r="AF325" s="7">
        <v>3.7275964084967611E-2</v>
      </c>
      <c r="AG325" s="10">
        <v>132.54025373500428</v>
      </c>
      <c r="AH325" s="1">
        <v>2.460507590474931</v>
      </c>
      <c r="AI325" s="10">
        <v>654.22762064193114</v>
      </c>
      <c r="AJ325" s="32">
        <v>1778.6930698222554</v>
      </c>
      <c r="AK325">
        <v>320</v>
      </c>
      <c r="AL325" s="7">
        <v>1.4298466052363921</v>
      </c>
    </row>
    <row r="326" spans="1:38" x14ac:dyDescent="0.3">
      <c r="A326">
        <v>76778</v>
      </c>
      <c r="B326">
        <v>30</v>
      </c>
      <c r="C326">
        <v>7</v>
      </c>
      <c r="D326">
        <v>1982</v>
      </c>
      <c r="E326">
        <v>20</v>
      </c>
      <c r="F326">
        <v>6</v>
      </c>
      <c r="G326">
        <v>1987</v>
      </c>
      <c r="H326">
        <v>74</v>
      </c>
      <c r="I326" s="32">
        <f t="shared" si="54"/>
        <v>15.204650534085253</v>
      </c>
      <c r="J326" s="1">
        <v>4.8931506849315101</v>
      </c>
      <c r="K326" s="32">
        <f t="shared" si="55"/>
        <v>16.26905792633708</v>
      </c>
      <c r="L326" s="32">
        <f t="shared" si="56"/>
        <v>83.43961937896492</v>
      </c>
      <c r="M326" s="1">
        <f t="shared" si="57"/>
        <v>0.36430524972126055</v>
      </c>
      <c r="N326">
        <v>-0.18545733837527223</v>
      </c>
      <c r="O326" s="32">
        <f t="shared" si="64"/>
        <v>16.157120133994709</v>
      </c>
      <c r="P326" s="32">
        <f t="shared" si="58"/>
        <v>82.420252890079013</v>
      </c>
      <c r="Q326">
        <v>13</v>
      </c>
      <c r="R326">
        <v>87</v>
      </c>
      <c r="S326" s="32">
        <f t="shared" si="59"/>
        <v>8.9426609766862715</v>
      </c>
      <c r="T326" s="1">
        <f t="shared" si="60"/>
        <v>9.3526096480564807</v>
      </c>
      <c r="U326" s="1">
        <f t="shared" si="61"/>
        <v>9.3860800219987564</v>
      </c>
      <c r="V326" s="1">
        <f t="shared" si="62"/>
        <v>3.9383506164282438</v>
      </c>
      <c r="W326" s="1">
        <f t="shared" si="65"/>
        <v>1.1202659318357681E-3</v>
      </c>
      <c r="X326" s="1">
        <f t="shared" si="66"/>
        <v>-3.34703739422757E-2</v>
      </c>
      <c r="Y326" s="39">
        <f t="shared" si="63"/>
        <v>83.135729661484064</v>
      </c>
      <c r="AB326">
        <v>321</v>
      </c>
      <c r="AC326" s="7">
        <v>0.32003774394834367</v>
      </c>
      <c r="AD326">
        <v>0.65410908934473189</v>
      </c>
      <c r="AE326">
        <v>0.94165834009524674</v>
      </c>
      <c r="AF326" s="7">
        <v>6.0112766485528595E-2</v>
      </c>
      <c r="AG326" s="10">
        <v>116.78272283610357</v>
      </c>
      <c r="AH326" s="1">
        <v>0.26768125715474678</v>
      </c>
      <c r="AI326" s="10">
        <v>5.5872030352285318</v>
      </c>
      <c r="AJ326" s="32">
        <v>1765.600398935846</v>
      </c>
      <c r="AK326">
        <v>320</v>
      </c>
      <c r="AL326" s="7">
        <v>0.13213632916457593</v>
      </c>
    </row>
    <row r="327" spans="1:38" x14ac:dyDescent="0.3">
      <c r="A327">
        <v>76762</v>
      </c>
      <c r="B327">
        <v>30</v>
      </c>
      <c r="C327">
        <v>7</v>
      </c>
      <c r="D327">
        <v>1982</v>
      </c>
      <c r="E327">
        <v>24</v>
      </c>
      <c r="F327">
        <v>4</v>
      </c>
      <c r="G327">
        <v>1985</v>
      </c>
      <c r="H327">
        <v>75</v>
      </c>
      <c r="I327" s="32">
        <f t="shared" si="54"/>
        <v>15.320508075688775</v>
      </c>
      <c r="J327" s="1">
        <v>2.7369863013698601</v>
      </c>
      <c r="K327" s="32">
        <f t="shared" si="55"/>
        <v>15.93342754189127</v>
      </c>
      <c r="L327" s="32">
        <f t="shared" si="56"/>
        <v>80.401955850066088</v>
      </c>
      <c r="M327" s="1">
        <f t="shared" si="57"/>
        <v>0.22597301189261812</v>
      </c>
      <c r="N327">
        <v>-0.46628656491520815</v>
      </c>
      <c r="O327" s="32">
        <f t="shared" si="64"/>
        <v>15.711770675404779</v>
      </c>
      <c r="P327" s="32">
        <f t="shared" si="58"/>
        <v>78.426705114532169</v>
      </c>
      <c r="Q327">
        <v>13</v>
      </c>
      <c r="R327">
        <v>88</v>
      </c>
      <c r="S327" s="32">
        <f t="shared" si="59"/>
        <v>8.9929875760017879</v>
      </c>
      <c r="T327" s="1">
        <f t="shared" si="60"/>
        <v>9.1619912593221109</v>
      </c>
      <c r="U327" s="1">
        <f t="shared" si="61"/>
        <v>9.249196538763373</v>
      </c>
      <c r="V327" s="1">
        <f t="shared" si="62"/>
        <v>2.4789454862220772</v>
      </c>
      <c r="W327" s="1">
        <f t="shared" si="65"/>
        <v>7.6047607624286119E-3</v>
      </c>
      <c r="X327" s="1">
        <f t="shared" si="66"/>
        <v>-8.7205279441262107E-2</v>
      </c>
      <c r="Y327" s="39">
        <f t="shared" si="63"/>
        <v>80.236635394938574</v>
      </c>
      <c r="AB327">
        <v>322</v>
      </c>
      <c r="AC327" s="7">
        <v>0.66412993010735433</v>
      </c>
      <c r="AD327">
        <v>1.8894732136983663</v>
      </c>
      <c r="AE327">
        <v>0.94308643376218615</v>
      </c>
      <c r="AF327" s="7">
        <v>5.8597342264646676E-2</v>
      </c>
      <c r="AG327" s="10">
        <v>112.65998347736667</v>
      </c>
      <c r="AH327" s="1">
        <v>1.3117692795910281</v>
      </c>
      <c r="AI327" s="10">
        <v>123.77722121106537</v>
      </c>
      <c r="AJ327" s="32">
        <v>1787.2960332960511</v>
      </c>
      <c r="AK327">
        <v>320</v>
      </c>
      <c r="AL327" s="7">
        <v>0.62193554029704656</v>
      </c>
    </row>
    <row r="328" spans="1:38" x14ac:dyDescent="0.3">
      <c r="A328" s="7"/>
      <c r="D328" s="7"/>
      <c r="E328" s="10"/>
      <c r="F328" s="1"/>
      <c r="G328" s="10"/>
      <c r="H328" s="32"/>
      <c r="AB328">
        <v>323</v>
      </c>
      <c r="AC328" s="7">
        <v>0.69889276576849846</v>
      </c>
      <c r="AD328">
        <v>1.8139152281613589</v>
      </c>
      <c r="AE328">
        <v>0.95489174540455624</v>
      </c>
      <c r="AF328" s="7">
        <v>4.61573005239614E-2</v>
      </c>
      <c r="AG328" s="10">
        <v>124.3594841046874</v>
      </c>
      <c r="AH328" s="1">
        <v>1.3128404852747328</v>
      </c>
      <c r="AI328" s="10">
        <v>151.02501951124935</v>
      </c>
      <c r="AJ328" s="32">
        <v>1761.2800015719877</v>
      </c>
      <c r="AK328">
        <v>320</v>
      </c>
      <c r="AL328" s="7">
        <v>0.68698849042225896</v>
      </c>
    </row>
    <row r="329" spans="1:38" x14ac:dyDescent="0.3">
      <c r="AB329">
        <v>324</v>
      </c>
      <c r="AC329" s="7">
        <v>0.55988090013816538</v>
      </c>
      <c r="AD329">
        <v>1.4035312093266763</v>
      </c>
      <c r="AE329">
        <v>0.93989899094832363</v>
      </c>
      <c r="AF329" s="7">
        <v>6.1982865929897712E-2</v>
      </c>
      <c r="AG329" s="10">
        <v>112.51941333959086</v>
      </c>
      <c r="AH329" s="1">
        <v>0.84591132590150375</v>
      </c>
      <c r="AI329" s="10">
        <v>49.407127999025754</v>
      </c>
      <c r="AJ329" s="32">
        <v>1785.694908426038</v>
      </c>
      <c r="AK329">
        <v>320</v>
      </c>
      <c r="AL329" s="7">
        <v>0.39293418659739382</v>
      </c>
    </row>
    <row r="330" spans="1:38" x14ac:dyDescent="0.3">
      <c r="AB330">
        <v>325</v>
      </c>
      <c r="AC330" s="7">
        <v>0.4012983994683208</v>
      </c>
      <c r="AD330">
        <v>0.7335337208149888</v>
      </c>
      <c r="AE330">
        <v>0.9497171805684087</v>
      </c>
      <c r="AF330" s="7">
        <v>5.1591043375214168E-2</v>
      </c>
      <c r="AG330" s="10">
        <v>121.09628098495803</v>
      </c>
      <c r="AH330" s="1">
        <v>0.34464872755068837</v>
      </c>
      <c r="AI330" s="10">
        <v>12.108404226957701</v>
      </c>
      <c r="AJ330" s="32">
        <v>1788.1044237909953</v>
      </c>
      <c r="AK330">
        <v>320</v>
      </c>
      <c r="AL330" s="7">
        <v>0.19452188362557776</v>
      </c>
    </row>
    <row r="331" spans="1:38" x14ac:dyDescent="0.3">
      <c r="AB331">
        <v>326</v>
      </c>
      <c r="AC331" s="7">
        <v>0.41189488575179783</v>
      </c>
      <c r="AD331">
        <v>0.7855432591241629</v>
      </c>
      <c r="AE331">
        <v>0.94805352179648394</v>
      </c>
      <c r="AF331" s="7">
        <v>5.3344320729557276E-2</v>
      </c>
      <c r="AG331" s="10">
        <v>121.79681341864804</v>
      </c>
      <c r="AH331" s="1">
        <v>0.37550772917355807</v>
      </c>
      <c r="AI331" s="10">
        <v>13.13302213998168</v>
      </c>
      <c r="AJ331" s="32">
        <v>1784.4148756019795</v>
      </c>
      <c r="AK331">
        <v>320</v>
      </c>
      <c r="AL331" s="7">
        <v>0.20258502952450053</v>
      </c>
    </row>
    <row r="332" spans="1:38" x14ac:dyDescent="0.3">
      <c r="AB332">
        <v>327</v>
      </c>
      <c r="AC332" s="7">
        <v>4.0376896682000141E-3</v>
      </c>
      <c r="AD332">
        <v>0.28913187846424676</v>
      </c>
      <c r="AE332">
        <v>0.9398087970568092</v>
      </c>
      <c r="AF332" s="7">
        <v>6.207883179454881E-2</v>
      </c>
      <c r="AG332" s="10">
        <v>116.46230065426168</v>
      </c>
      <c r="AH332" s="1">
        <v>6.1358627741613152E-2</v>
      </c>
      <c r="AI332" s="10">
        <v>0.31199032085335465</v>
      </c>
      <c r="AJ332" s="32">
        <v>1729.54101702912</v>
      </c>
      <c r="AK332">
        <v>320</v>
      </c>
      <c r="AL332" s="7">
        <v>3.1224505643272133E-2</v>
      </c>
    </row>
    <row r="333" spans="1:38" x14ac:dyDescent="0.3">
      <c r="AB333">
        <v>328</v>
      </c>
      <c r="AC333" s="7">
        <v>0.36094589630903318</v>
      </c>
      <c r="AD333">
        <v>0.7366623422838029</v>
      </c>
      <c r="AE333">
        <v>0.94124213472457507</v>
      </c>
      <c r="AF333" s="7">
        <v>6.0554856105257647E-2</v>
      </c>
      <c r="AG333" s="10">
        <v>113.94343432211564</v>
      </c>
      <c r="AH333" s="1">
        <v>0.32465311468816394</v>
      </c>
      <c r="AI333" s="10">
        <v>8.0326757538252895</v>
      </c>
      <c r="AJ333" s="32">
        <v>1764.6409043767831</v>
      </c>
      <c r="AK333">
        <v>320</v>
      </c>
      <c r="AL333" s="7">
        <v>0.15843645960038374</v>
      </c>
    </row>
    <row r="334" spans="1:38" x14ac:dyDescent="0.3">
      <c r="AB334">
        <v>329</v>
      </c>
      <c r="AC334" s="7">
        <v>0.27341757227305941</v>
      </c>
      <c r="AD334">
        <v>0.53604906493688376</v>
      </c>
      <c r="AE334">
        <v>0.9456723376671361</v>
      </c>
      <c r="AF334" s="7">
        <v>5.5859136031245066E-2</v>
      </c>
      <c r="AG334" s="10">
        <v>119.45439254502237</v>
      </c>
      <c r="AH334" s="1">
        <v>0.20089289628715024</v>
      </c>
      <c r="AI334" s="10">
        <v>3.7711616681930993</v>
      </c>
      <c r="AJ334" s="32">
        <v>1772.7074103529776</v>
      </c>
      <c r="AK334">
        <v>320</v>
      </c>
      <c r="AL334" s="7">
        <v>0.10855818814397851</v>
      </c>
    </row>
    <row r="335" spans="1:38" x14ac:dyDescent="0.3">
      <c r="AB335">
        <v>330</v>
      </c>
      <c r="AC335" s="7">
        <v>0.64613986814979896</v>
      </c>
      <c r="AD335">
        <v>1.3465593173928192</v>
      </c>
      <c r="AE335">
        <v>0.96349011457660028</v>
      </c>
      <c r="AF335" s="7">
        <v>3.7193051090468277E-2</v>
      </c>
      <c r="AG335" s="10">
        <v>144.20000057275416</v>
      </c>
      <c r="AH335" s="1">
        <v>0.90657554521947925</v>
      </c>
      <c r="AI335" s="10">
        <v>101.68951821162737</v>
      </c>
      <c r="AJ335" s="32">
        <v>1790.4622357794715</v>
      </c>
      <c r="AK335">
        <v>320</v>
      </c>
      <c r="AL335" s="7">
        <v>0.56371956184909489</v>
      </c>
    </row>
    <row r="336" spans="1:38" x14ac:dyDescent="0.3">
      <c r="AB336">
        <v>331</v>
      </c>
      <c r="AC336" s="7">
        <v>0.37390682504272815</v>
      </c>
      <c r="AD336">
        <v>0.70804009522017153</v>
      </c>
      <c r="AE336">
        <v>0.94673315674236813</v>
      </c>
      <c r="AF336" s="7">
        <v>5.4738002965967765E-2</v>
      </c>
      <c r="AG336" s="10">
        <v>118.94119053331887</v>
      </c>
      <c r="AH336" s="1">
        <v>0.31800786726435715</v>
      </c>
      <c r="AI336" s="10">
        <v>8.8586026513170442</v>
      </c>
      <c r="AJ336" s="32">
        <v>1763.5842640806159</v>
      </c>
      <c r="AK336">
        <v>320</v>
      </c>
      <c r="AL336" s="7">
        <v>0.16638249092186883</v>
      </c>
    </row>
    <row r="337" spans="28:38" x14ac:dyDescent="0.3">
      <c r="AB337">
        <v>332</v>
      </c>
      <c r="AC337" s="7">
        <v>0.3177737290935535</v>
      </c>
      <c r="AD337">
        <v>0.61063116467953038</v>
      </c>
      <c r="AE337">
        <v>0.94570489190398199</v>
      </c>
      <c r="AF337" s="7">
        <v>5.582471218777256E-2</v>
      </c>
      <c r="AG337" s="10">
        <v>119.62901856696935</v>
      </c>
      <c r="AH337" s="1">
        <v>0.24833765039697214</v>
      </c>
      <c r="AI337" s="10">
        <v>5.4058256282423107</v>
      </c>
      <c r="AJ337" s="32">
        <v>1763.4097003580516</v>
      </c>
      <c r="AK337">
        <v>320</v>
      </c>
      <c r="AL337" s="7">
        <v>0.12997386309661346</v>
      </c>
    </row>
    <row r="338" spans="28:38" x14ac:dyDescent="0.3">
      <c r="AB338">
        <v>333</v>
      </c>
      <c r="AC338" s="7">
        <v>0.67785532273849403</v>
      </c>
      <c r="AD338">
        <v>1.7828021439166173</v>
      </c>
      <c r="AE338">
        <v>0.95032247480111431</v>
      </c>
      <c r="AF338" s="7">
        <v>5.0953904827635524E-2</v>
      </c>
      <c r="AG338" s="10">
        <v>117.65558267236425</v>
      </c>
      <c r="AH338" s="1">
        <v>1.2581594478423634</v>
      </c>
      <c r="AI338" s="10">
        <v>136.25497957446711</v>
      </c>
      <c r="AJ338" s="32">
        <v>1783.8796541767817</v>
      </c>
      <c r="AK338">
        <v>320</v>
      </c>
      <c r="AL338" s="7">
        <v>0.65253108061624909</v>
      </c>
    </row>
    <row r="339" spans="28:38" x14ac:dyDescent="0.3">
      <c r="AB339">
        <v>334</v>
      </c>
      <c r="AC339" s="7">
        <v>0.74244433732523518</v>
      </c>
      <c r="AD339">
        <v>2.1487202257265969</v>
      </c>
      <c r="AE339">
        <v>0.95378867784665</v>
      </c>
      <c r="AF339" s="7">
        <v>4.7313143762331346E-2</v>
      </c>
      <c r="AG339" s="10">
        <v>122.56537819827616</v>
      </c>
      <c r="AH339" s="1">
        <v>1.6415164862402629</v>
      </c>
      <c r="AI339" s="10">
        <v>216.2446598054153</v>
      </c>
      <c r="AJ339" s="32">
        <v>1752.7069967417046</v>
      </c>
      <c r="AK339">
        <v>320</v>
      </c>
      <c r="AL339" s="7">
        <v>0.82204900212330578</v>
      </c>
    </row>
    <row r="340" spans="28:38" x14ac:dyDescent="0.3">
      <c r="AB340">
        <v>335</v>
      </c>
      <c r="AC340" s="7">
        <v>-3.4531981775286274E-3</v>
      </c>
      <c r="AD340">
        <v>0.29063508669885829</v>
      </c>
      <c r="AE340">
        <v>0.93811628935095781</v>
      </c>
      <c r="AF340" s="7">
        <v>6.388136180638386E-2</v>
      </c>
      <c r="AG340" s="10">
        <v>113.86023750830149</v>
      </c>
      <c r="AH340" s="1">
        <v>6.0880090097327817E-2</v>
      </c>
      <c r="AI340" s="10">
        <v>0.33419514975645737</v>
      </c>
      <c r="AJ340" s="32">
        <v>1769.9386334134697</v>
      </c>
      <c r="AK340">
        <v>320</v>
      </c>
      <c r="AL340" s="7">
        <v>3.2316556793521946E-2</v>
      </c>
    </row>
    <row r="341" spans="28:38" x14ac:dyDescent="0.3">
      <c r="AB341">
        <v>336</v>
      </c>
      <c r="AC341" s="7">
        <v>0.39041246192977758</v>
      </c>
      <c r="AD341">
        <v>0.64754401498900382</v>
      </c>
      <c r="AE341">
        <v>0.95510195977361623</v>
      </c>
      <c r="AF341" s="7">
        <v>4.5937180039439515E-2</v>
      </c>
      <c r="AG341" s="10">
        <v>127.15806702189282</v>
      </c>
      <c r="AH341" s="1">
        <v>0.29770729332613355</v>
      </c>
      <c r="AI341" s="10">
        <v>10.570026939134744</v>
      </c>
      <c r="AJ341" s="32">
        <v>1778.3904735232832</v>
      </c>
      <c r="AK341">
        <v>320</v>
      </c>
      <c r="AL341" s="7">
        <v>0.18174524528800218</v>
      </c>
    </row>
    <row r="342" spans="28:38" x14ac:dyDescent="0.3">
      <c r="AB342">
        <v>337</v>
      </c>
      <c r="AC342" s="7">
        <v>0.34012952122858348</v>
      </c>
      <c r="AD342">
        <v>0.61054914055082588</v>
      </c>
      <c r="AE342">
        <v>0.94942700171917949</v>
      </c>
      <c r="AF342" s="7">
        <v>5.1896632444431517E-2</v>
      </c>
      <c r="AG342" s="10">
        <v>120.74304530158965</v>
      </c>
      <c r="AH342" s="1">
        <v>0.258238785142896</v>
      </c>
      <c r="AI342" s="10">
        <v>7.1497550166947068</v>
      </c>
      <c r="AJ342" s="32">
        <v>1791.0545370533755</v>
      </c>
      <c r="AK342">
        <v>320</v>
      </c>
      <c r="AL342" s="7">
        <v>0.14947569845018607</v>
      </c>
    </row>
    <row r="343" spans="28:38" x14ac:dyDescent="0.3">
      <c r="AB343">
        <v>338</v>
      </c>
      <c r="AC343" s="7">
        <v>0.15628188722828784</v>
      </c>
      <c r="AD343">
        <v>0.40760642150386456</v>
      </c>
      <c r="AE343">
        <v>0.94307569911449474</v>
      </c>
      <c r="AF343" s="7">
        <v>5.8608724793756367E-2</v>
      </c>
      <c r="AG343" s="10">
        <v>122.14794299294192</v>
      </c>
      <c r="AH343" s="1">
        <v>0.12062580168449819</v>
      </c>
      <c r="AI343" s="10">
        <v>1.5625854185134689</v>
      </c>
      <c r="AJ343" s="32">
        <v>1821.8891298130429</v>
      </c>
      <c r="AK343">
        <v>320</v>
      </c>
      <c r="AL343" s="7">
        <v>6.9879034286791555E-2</v>
      </c>
    </row>
    <row r="344" spans="28:38" x14ac:dyDescent="0.3">
      <c r="AB344">
        <v>339</v>
      </c>
      <c r="AC344" s="7">
        <v>0.4171791378791444</v>
      </c>
      <c r="AD344">
        <v>0.64090996483214802</v>
      </c>
      <c r="AE344">
        <v>0.95942601104469483</v>
      </c>
      <c r="AF344" s="7">
        <v>4.1420078498603047E-2</v>
      </c>
      <c r="AG344" s="10">
        <v>128.81220025390894</v>
      </c>
      <c r="AH344" s="1">
        <v>0.30794825554213345</v>
      </c>
      <c r="AI344" s="10">
        <v>14.147242846346586</v>
      </c>
      <c r="AJ344" s="32">
        <v>1797.5589461490781</v>
      </c>
      <c r="AK344">
        <v>320</v>
      </c>
      <c r="AL344" s="7">
        <v>0.2102620600461079</v>
      </c>
    </row>
    <row r="345" spans="28:38" x14ac:dyDescent="0.3">
      <c r="AB345">
        <v>340</v>
      </c>
      <c r="AC345" s="7">
        <v>0.44844539249796539</v>
      </c>
      <c r="AD345">
        <v>0.85454217123443532</v>
      </c>
      <c r="AE345">
        <v>0.94860564291363547</v>
      </c>
      <c r="AF345" s="7">
        <v>5.27621168807898E-2</v>
      </c>
      <c r="AG345" s="10">
        <v>116.82934001456515</v>
      </c>
      <c r="AH345" s="1">
        <v>0.4346098564716544</v>
      </c>
      <c r="AI345" s="10">
        <v>18.806054694774559</v>
      </c>
      <c r="AJ345" s="32">
        <v>1793.986740912849</v>
      </c>
      <c r="AK345">
        <v>320</v>
      </c>
      <c r="AL345" s="7">
        <v>0.2424230206089564</v>
      </c>
    </row>
    <row r="346" spans="28:38" x14ac:dyDescent="0.3">
      <c r="AB346">
        <v>341</v>
      </c>
      <c r="AC346" s="7">
        <v>0.54916248669792067</v>
      </c>
      <c r="AD346">
        <v>1.1869927469072639</v>
      </c>
      <c r="AE346">
        <v>0.94981763945031239</v>
      </c>
      <c r="AF346" s="7">
        <v>5.1485271287291766E-2</v>
      </c>
      <c r="AG346" s="10">
        <v>122.02898735926446</v>
      </c>
      <c r="AH346" s="1">
        <v>0.70203424913367618</v>
      </c>
      <c r="AI346" s="10">
        <v>47.454987437972839</v>
      </c>
      <c r="AJ346" s="32">
        <v>1809.8867235499138</v>
      </c>
      <c r="AK346">
        <v>320</v>
      </c>
      <c r="AL346" s="7">
        <v>0.38509328187293157</v>
      </c>
    </row>
    <row r="347" spans="28:38" x14ac:dyDescent="0.3">
      <c r="AB347">
        <v>342</v>
      </c>
      <c r="AC347" s="7">
        <v>0.28367304387318248</v>
      </c>
      <c r="AD347">
        <v>0.55071262531210863</v>
      </c>
      <c r="AE347">
        <v>0.94567834492220826</v>
      </c>
      <c r="AF347" s="7">
        <v>5.585278368725357E-2</v>
      </c>
      <c r="AG347" s="10">
        <v>118.60762606939917</v>
      </c>
      <c r="AH347" s="1">
        <v>0.21054398179946904</v>
      </c>
      <c r="AI347" s="10">
        <v>4.3810998035343687</v>
      </c>
      <c r="AJ347" s="32">
        <v>1791.2698296433568</v>
      </c>
      <c r="AK347">
        <v>320</v>
      </c>
      <c r="AL347" s="7">
        <v>0.11700827699801797</v>
      </c>
    </row>
    <row r="348" spans="28:38" x14ac:dyDescent="0.3">
      <c r="AB348">
        <v>343</v>
      </c>
      <c r="AC348" s="7">
        <v>0.69545292145864446</v>
      </c>
      <c r="AD348">
        <v>1.8964174454332114</v>
      </c>
      <c r="AE348">
        <v>0.95142417410064783</v>
      </c>
      <c r="AF348" s="7">
        <v>4.9795286329832072E-2</v>
      </c>
      <c r="AG348" s="10">
        <v>121.40549112520549</v>
      </c>
      <c r="AH348" s="1">
        <v>1.3674448786310185</v>
      </c>
      <c r="AI348" s="10">
        <v>158.81451329558683</v>
      </c>
      <c r="AJ348" s="32">
        <v>1785.0711884389793</v>
      </c>
      <c r="AK348">
        <v>320</v>
      </c>
      <c r="AL348" s="7">
        <v>0.70448233054400222</v>
      </c>
    </row>
    <row r="349" spans="28:38" x14ac:dyDescent="0.3">
      <c r="AB349">
        <v>344</v>
      </c>
      <c r="AC349" s="7">
        <v>0.65148638432703121</v>
      </c>
      <c r="AD349">
        <v>1.94576049917938</v>
      </c>
      <c r="AE349">
        <v>0.93939878281129052</v>
      </c>
      <c r="AF349" s="7">
        <v>6.2515201098735665E-2</v>
      </c>
      <c r="AG349" s="10">
        <v>114.30216326864563</v>
      </c>
      <c r="AH349" s="1">
        <v>1.3282376895654431</v>
      </c>
      <c r="AI349" s="10">
        <v>112.65152766874778</v>
      </c>
      <c r="AJ349" s="32">
        <v>1792.1993433480229</v>
      </c>
      <c r="AK349">
        <v>320</v>
      </c>
      <c r="AL349" s="7">
        <v>0.59332623738111967</v>
      </c>
    </row>
    <row r="350" spans="28:38" x14ac:dyDescent="0.3">
      <c r="AB350">
        <v>345</v>
      </c>
      <c r="AC350" s="7">
        <v>7.2066952804368062E-2</v>
      </c>
      <c r="AD350">
        <v>0.3362447724261855</v>
      </c>
      <c r="AE350">
        <v>0.94124830551297012</v>
      </c>
      <c r="AF350" s="7">
        <v>6.054830012147875E-2</v>
      </c>
      <c r="AG350" s="10">
        <v>120.51034314457733</v>
      </c>
      <c r="AH350" s="1">
        <v>8.2983830632183272E-2</v>
      </c>
      <c r="AI350" s="10">
        <v>0.71404299992757891</v>
      </c>
      <c r="AJ350" s="32">
        <v>1806.9425477376496</v>
      </c>
      <c r="AK350">
        <v>320</v>
      </c>
      <c r="AL350" s="7">
        <v>4.7237531421251089E-2</v>
      </c>
    </row>
    <row r="351" spans="28:38" x14ac:dyDescent="0.3">
      <c r="AB351">
        <v>346</v>
      </c>
      <c r="AC351" s="7">
        <v>0.36712970640223402</v>
      </c>
      <c r="AD351">
        <v>0.62179479943805704</v>
      </c>
      <c r="AE351">
        <v>0.95291297223272431</v>
      </c>
      <c r="AF351" s="7">
        <v>4.8231699295612461E-2</v>
      </c>
      <c r="AG351" s="10">
        <v>122.80218633852159</v>
      </c>
      <c r="AH351" s="1">
        <v>0.2753663699274056</v>
      </c>
      <c r="AI351" s="10">
        <v>8.0786702254380049</v>
      </c>
      <c r="AJ351" s="32">
        <v>1755.6417399525221</v>
      </c>
      <c r="AK351">
        <v>320</v>
      </c>
      <c r="AL351" s="7">
        <v>0.15888940951018027</v>
      </c>
    </row>
    <row r="352" spans="28:38" x14ac:dyDescent="0.3">
      <c r="AB352">
        <v>347</v>
      </c>
      <c r="AC352" s="7">
        <v>0.65926581377877402</v>
      </c>
      <c r="AD352">
        <v>1.5482403773148365</v>
      </c>
      <c r="AE352">
        <v>0.95598790333073946</v>
      </c>
      <c r="AF352" s="7">
        <v>4.5010019430519549E-2</v>
      </c>
      <c r="AG352" s="10">
        <v>125.54246479127215</v>
      </c>
      <c r="AH352" s="1">
        <v>1.0647140489448823</v>
      </c>
      <c r="AI352" s="10">
        <v>95.798133805347234</v>
      </c>
      <c r="AJ352" s="32">
        <v>1727.7885201198917</v>
      </c>
      <c r="AK352">
        <v>320</v>
      </c>
      <c r="AL352" s="7">
        <v>0.54714638639189617</v>
      </c>
    </row>
    <row r="353" spans="28:38" x14ac:dyDescent="0.3">
      <c r="AB353">
        <v>348</v>
      </c>
      <c r="AC353" s="7">
        <v>0.73784571763117124</v>
      </c>
      <c r="AD353">
        <v>1.9473360108722839</v>
      </c>
      <c r="AE353">
        <v>0.95667151916438975</v>
      </c>
      <c r="AF353" s="7">
        <v>4.4295186612172494E-2</v>
      </c>
      <c r="AG353" s="10">
        <v>119.78330119882089</v>
      </c>
      <c r="AH353" s="1">
        <v>1.4801620172466929</v>
      </c>
      <c r="AI353" s="10">
        <v>257.81105473546802</v>
      </c>
      <c r="AJ353" s="32">
        <v>1822.388804263858</v>
      </c>
      <c r="AK353">
        <v>320</v>
      </c>
      <c r="AL353" s="7">
        <v>0.89758539763542144</v>
      </c>
    </row>
    <row r="354" spans="28:38" x14ac:dyDescent="0.3">
      <c r="AB354">
        <v>349</v>
      </c>
      <c r="AC354" s="7">
        <v>0.52344213815795115</v>
      </c>
      <c r="AD354">
        <v>1.0884907068401035</v>
      </c>
      <c r="AE354">
        <v>0.94889577773676659</v>
      </c>
      <c r="AF354" s="7">
        <v>5.245630965215254E-2</v>
      </c>
      <c r="AG354" s="10">
        <v>118.0160061717005</v>
      </c>
      <c r="AH354" s="1">
        <v>0.62086612521667683</v>
      </c>
      <c r="AI354" s="10">
        <v>34.6244030403154</v>
      </c>
      <c r="AJ354" s="32">
        <v>1779.3305884678139</v>
      </c>
      <c r="AK354">
        <v>320</v>
      </c>
      <c r="AL354" s="7">
        <v>0.32893959856026095</v>
      </c>
    </row>
    <row r="355" spans="28:38" x14ac:dyDescent="0.3">
      <c r="AB355">
        <v>350</v>
      </c>
      <c r="AC355" s="7">
        <v>0.5259547066734338</v>
      </c>
      <c r="AD355">
        <v>1.0879860318796866</v>
      </c>
      <c r="AE355">
        <v>0.94982780011877543</v>
      </c>
      <c r="AF355" s="7">
        <v>5.1474573850547517E-2</v>
      </c>
      <c r="AG355" s="10">
        <v>120.02825230114647</v>
      </c>
      <c r="AH355" s="1">
        <v>0.62240357414329828</v>
      </c>
      <c r="AI355" s="10">
        <v>38.8998584984909</v>
      </c>
      <c r="AJ355" s="32">
        <v>1810.7864738037133</v>
      </c>
      <c r="AK355">
        <v>320</v>
      </c>
      <c r="AL355" s="7">
        <v>0.34865750788959654</v>
      </c>
    </row>
    <row r="356" spans="28:38" x14ac:dyDescent="0.3">
      <c r="AB356">
        <v>351</v>
      </c>
      <c r="AC356" s="7">
        <v>0.38728105080335545</v>
      </c>
      <c r="AD356">
        <v>0.63835750474767361</v>
      </c>
      <c r="AE356">
        <v>0.95608549103031104</v>
      </c>
      <c r="AF356" s="7">
        <v>4.4907944165057348E-2</v>
      </c>
      <c r="AG356" s="10">
        <v>132.18312200923782</v>
      </c>
      <c r="AH356" s="1">
        <v>0.29113827419657595</v>
      </c>
      <c r="AI356" s="10">
        <v>11.62802329903019</v>
      </c>
      <c r="AJ356" s="32">
        <v>1820.1930950517374</v>
      </c>
      <c r="AK356">
        <v>320</v>
      </c>
      <c r="AL356" s="7">
        <v>0.19062416638367063</v>
      </c>
    </row>
    <row r="357" spans="28:38" x14ac:dyDescent="0.3">
      <c r="AB357">
        <v>352</v>
      </c>
      <c r="AC357" s="7">
        <v>0.78738905603616693</v>
      </c>
      <c r="AD357">
        <v>2.575775722853713</v>
      </c>
      <c r="AE357">
        <v>0.95176119395067005</v>
      </c>
      <c r="AF357" s="7">
        <v>4.9441122348537855E-2</v>
      </c>
      <c r="AG357" s="10">
        <v>118.87707355392979</v>
      </c>
      <c r="AH357" s="1">
        <v>2.0763764210279905</v>
      </c>
      <c r="AI357" s="10">
        <v>329.9744949949569</v>
      </c>
      <c r="AJ357" s="32">
        <v>1759.8112828158087</v>
      </c>
      <c r="AK357">
        <v>320</v>
      </c>
      <c r="AL357" s="7">
        <v>1.015465556707484</v>
      </c>
    </row>
    <row r="358" spans="28:38" x14ac:dyDescent="0.3">
      <c r="AB358">
        <v>353</v>
      </c>
      <c r="AC358" s="7">
        <v>0.78560593253403754</v>
      </c>
      <c r="AD358">
        <v>2.5601085234064058</v>
      </c>
      <c r="AE358">
        <v>0.95139130760858914</v>
      </c>
      <c r="AF358" s="7">
        <v>4.982983144718884E-2</v>
      </c>
      <c r="AG358" s="10">
        <v>117.80573319724611</v>
      </c>
      <c r="AH358" s="1">
        <v>2.0598451363104378</v>
      </c>
      <c r="AI358" s="10">
        <v>343.92735055003794</v>
      </c>
      <c r="AJ358" s="32">
        <v>1777.7011546924659</v>
      </c>
      <c r="AK358">
        <v>320</v>
      </c>
      <c r="AL358" s="7">
        <v>1.0367125785235118</v>
      </c>
    </row>
    <row r="359" spans="28:38" x14ac:dyDescent="0.3">
      <c r="AB359">
        <v>354</v>
      </c>
      <c r="AC359" s="7">
        <v>0.57947677142607945</v>
      </c>
      <c r="AD359">
        <v>1.1861393957599546</v>
      </c>
      <c r="AE359">
        <v>0.95605904267559638</v>
      </c>
      <c r="AF359" s="7">
        <v>4.4935607716896794E-2</v>
      </c>
      <c r="AG359" s="10">
        <v>128.06901492701456</v>
      </c>
      <c r="AH359" s="1">
        <v>0.73128118484066285</v>
      </c>
      <c r="AI359" s="10">
        <v>53.154855322676617</v>
      </c>
      <c r="AJ359" s="32">
        <v>1764.4322550061472</v>
      </c>
      <c r="AK359">
        <v>320</v>
      </c>
      <c r="AL359" s="7">
        <v>0.40756462418046591</v>
      </c>
    </row>
    <row r="360" spans="28:38" x14ac:dyDescent="0.3">
      <c r="AB360">
        <v>355</v>
      </c>
      <c r="AC360" s="7">
        <v>0.36793263958629313</v>
      </c>
      <c r="AD360">
        <v>0.72824425115395308</v>
      </c>
      <c r="AE360">
        <v>0.94298938173864499</v>
      </c>
      <c r="AF360" s="7">
        <v>5.8700256498347349E-2</v>
      </c>
      <c r="AG360" s="10">
        <v>113.33534347244428</v>
      </c>
      <c r="AH360" s="1">
        <v>0.32495544785197233</v>
      </c>
      <c r="AI360" s="10">
        <v>8.4866502950435869</v>
      </c>
      <c r="AJ360" s="32">
        <v>1762.5405745500834</v>
      </c>
      <c r="AK360">
        <v>320</v>
      </c>
      <c r="AL360" s="7">
        <v>0.16285202538504459</v>
      </c>
    </row>
    <row r="361" spans="28:38" x14ac:dyDescent="0.3">
      <c r="AB361">
        <v>356</v>
      </c>
      <c r="AC361" s="7">
        <v>0.52647325008422685</v>
      </c>
      <c r="AD361">
        <v>0.92909959401532183</v>
      </c>
      <c r="AE361">
        <v>0.95992434100067636</v>
      </c>
      <c r="AF361" s="7">
        <v>4.0900809083670026E-2</v>
      </c>
      <c r="AG361" s="10">
        <v>134.52451211481323</v>
      </c>
      <c r="AH361" s="1">
        <v>0.52922174191250582</v>
      </c>
      <c r="AI361" s="10">
        <v>37.882837518016657</v>
      </c>
      <c r="AJ361" s="32">
        <v>1807.8194049592353</v>
      </c>
      <c r="AK361">
        <v>320</v>
      </c>
      <c r="AL361" s="7">
        <v>0.34406956744792477</v>
      </c>
    </row>
    <row r="362" spans="28:38" x14ac:dyDescent="0.3">
      <c r="AB362">
        <v>357</v>
      </c>
      <c r="AC362" s="7">
        <v>0.43796702916882896</v>
      </c>
      <c r="AD362">
        <v>0.96466570528994877</v>
      </c>
      <c r="AE362">
        <v>0.93916294764096475</v>
      </c>
      <c r="AF362" s="7">
        <v>6.2766281665045234E-2</v>
      </c>
      <c r="AG362" s="10">
        <v>113.53228760996072</v>
      </c>
      <c r="AH362" s="1">
        <v>0.4833288254459272</v>
      </c>
      <c r="AI362" s="10">
        <v>17.023715694424663</v>
      </c>
      <c r="AJ362" s="32">
        <v>1787.740899013033</v>
      </c>
      <c r="AK362">
        <v>320</v>
      </c>
      <c r="AL362" s="7">
        <v>0.23064932591507192</v>
      </c>
    </row>
    <row r="363" spans="28:38" x14ac:dyDescent="0.3">
      <c r="AB363">
        <v>358</v>
      </c>
      <c r="AC363" s="7">
        <v>0.69406980362726844</v>
      </c>
      <c r="AD363">
        <v>1.5659133908386103</v>
      </c>
      <c r="AE363">
        <v>0.96302685394017395</v>
      </c>
      <c r="AF363" s="7">
        <v>3.7673981861311288E-2</v>
      </c>
      <c r="AG363" s="10">
        <v>136.89985504963349</v>
      </c>
      <c r="AH363" s="1">
        <v>1.1238263457364903</v>
      </c>
      <c r="AI363" s="10">
        <v>155.65706859763498</v>
      </c>
      <c r="AJ363" s="32">
        <v>1789.9999850730946</v>
      </c>
      <c r="AK363">
        <v>320</v>
      </c>
      <c r="AL363" s="7">
        <v>0.69744414784813369</v>
      </c>
    </row>
    <row r="364" spans="28:38" x14ac:dyDescent="0.3">
      <c r="AB364">
        <v>359</v>
      </c>
      <c r="AC364" s="7">
        <v>0.59656369717177971</v>
      </c>
      <c r="AD364">
        <v>1.271459828471212</v>
      </c>
      <c r="AE364">
        <v>0.95431141676754527</v>
      </c>
      <c r="AF364" s="7">
        <v>4.6765228131019923E-2</v>
      </c>
      <c r="AG364" s="10">
        <v>122.42800431567704</v>
      </c>
      <c r="AH364" s="1">
        <v>0.80419535931063779</v>
      </c>
      <c r="AI364" s="10">
        <v>75.886450146942096</v>
      </c>
      <c r="AJ364" s="32">
        <v>1828.0161182523682</v>
      </c>
      <c r="AK364">
        <v>320</v>
      </c>
      <c r="AL364" s="7">
        <v>0.48697551962002572</v>
      </c>
    </row>
    <row r="365" spans="28:38" x14ac:dyDescent="0.3">
      <c r="AB365">
        <v>360</v>
      </c>
      <c r="AC365" s="7">
        <v>0.53421373747111989</v>
      </c>
      <c r="AD365">
        <v>1.0770727701844474</v>
      </c>
      <c r="AE365">
        <v>0.95171589680849589</v>
      </c>
      <c r="AF365" s="7">
        <v>4.9488716451353824E-2</v>
      </c>
      <c r="AG365" s="10">
        <v>120.21966949769677</v>
      </c>
      <c r="AH365" s="1">
        <v>0.62367117328011035</v>
      </c>
      <c r="AI365" s="10">
        <v>34.539978565630427</v>
      </c>
      <c r="AJ365" s="32">
        <v>1749.9245259141085</v>
      </c>
      <c r="AK365">
        <v>320</v>
      </c>
      <c r="AL365" s="7">
        <v>0.32853832807998989</v>
      </c>
    </row>
    <row r="366" spans="28:38" x14ac:dyDescent="0.3">
      <c r="AB366">
        <v>361</v>
      </c>
      <c r="AC366" s="7">
        <v>0.81400832067932072</v>
      </c>
      <c r="AD366">
        <v>2.838508526643444</v>
      </c>
      <c r="AE366">
        <v>0.95205245127486571</v>
      </c>
      <c r="AF366" s="7">
        <v>4.9135149831534046E-2</v>
      </c>
      <c r="AG366" s="10">
        <v>119.79711196505531</v>
      </c>
      <c r="AH366" s="1">
        <v>2.358517107732097</v>
      </c>
      <c r="AI366" s="10">
        <v>364.82329485667458</v>
      </c>
      <c r="AJ366" s="32">
        <v>1717.3925884318105</v>
      </c>
      <c r="AK366">
        <v>320</v>
      </c>
      <c r="AL366" s="7">
        <v>1.0677419147093121</v>
      </c>
    </row>
    <row r="367" spans="28:38" x14ac:dyDescent="0.3">
      <c r="AB367">
        <v>362</v>
      </c>
      <c r="AC367" s="7">
        <v>0.90436045208274329</v>
      </c>
      <c r="AD367">
        <v>3.1470955230546216</v>
      </c>
      <c r="AE367">
        <v>0.96523441049702408</v>
      </c>
      <c r="AF367" s="7">
        <v>3.5384294709449739E-2</v>
      </c>
      <c r="AG367" s="10">
        <v>132.20568066917409</v>
      </c>
      <c r="AH367" s="1">
        <v>2.8808743194802311</v>
      </c>
      <c r="AI367" s="10">
        <v>1005.8631653232452</v>
      </c>
      <c r="AJ367" s="32">
        <v>1795.6787522411366</v>
      </c>
      <c r="AK367">
        <v>320</v>
      </c>
      <c r="AL367" s="7">
        <v>1.7729417338522835</v>
      </c>
    </row>
    <row r="368" spans="28:38" x14ac:dyDescent="0.3">
      <c r="AB368">
        <v>363</v>
      </c>
      <c r="AC368" s="7">
        <v>0.58181471133153773</v>
      </c>
      <c r="AD368">
        <v>1.4399930695374039</v>
      </c>
      <c r="AE368">
        <v>0.94328368572789034</v>
      </c>
      <c r="AF368" s="7">
        <v>5.8388208368403194E-2</v>
      </c>
      <c r="AG368" s="10">
        <v>114.51875663900448</v>
      </c>
      <c r="AH368" s="1">
        <v>0.8945254663444292</v>
      </c>
      <c r="AI368" s="10">
        <v>54.608852493313726</v>
      </c>
      <c r="AJ368" s="32">
        <v>1757.884240771825</v>
      </c>
      <c r="AK368">
        <v>320</v>
      </c>
      <c r="AL368" s="7">
        <v>0.41310127576855216</v>
      </c>
    </row>
    <row r="369" spans="28:38" x14ac:dyDescent="0.3">
      <c r="AB369">
        <v>364</v>
      </c>
      <c r="AC369" s="7">
        <v>1.7546049378378743E-2</v>
      </c>
      <c r="AD369">
        <v>0.28373644835459555</v>
      </c>
      <c r="AE369">
        <v>0.94362184662496151</v>
      </c>
      <c r="AF369" s="7">
        <v>5.8029779295094112E-2</v>
      </c>
      <c r="AG369" s="10">
        <v>124.31297547951391</v>
      </c>
      <c r="AH369" s="1">
        <v>6.1356607108314032E-2</v>
      </c>
      <c r="AI369" s="10">
        <v>0.37695403896419039</v>
      </c>
      <c r="AJ369" s="32">
        <v>1758.3209112926911</v>
      </c>
      <c r="AK369">
        <v>320</v>
      </c>
      <c r="AL369" s="7">
        <v>3.4321733227841142E-2</v>
      </c>
    </row>
    <row r="370" spans="28:38" x14ac:dyDescent="0.3">
      <c r="AB370">
        <v>365</v>
      </c>
      <c r="AC370" s="7">
        <v>1.0239144713267265</v>
      </c>
      <c r="AD370">
        <v>5.2447606551993786</v>
      </c>
      <c r="AE370">
        <v>0.9604287841179876</v>
      </c>
      <c r="AF370" s="7">
        <v>4.0375444115825783E-2</v>
      </c>
      <c r="AG370" s="10">
        <v>121.87506374201018</v>
      </c>
      <c r="AH370" s="1">
        <v>5.4097575493856995</v>
      </c>
      <c r="AI370" s="10">
        <v>2380.2435654925671</v>
      </c>
      <c r="AJ370" s="32">
        <v>1731.7059339505188</v>
      </c>
      <c r="AK370">
        <v>320</v>
      </c>
      <c r="AL370" s="7">
        <v>2.7273175726644436</v>
      </c>
    </row>
    <row r="371" spans="28:38" x14ac:dyDescent="0.3">
      <c r="AB371">
        <v>366</v>
      </c>
      <c r="AC371" s="7">
        <v>0.3125058352941445</v>
      </c>
      <c r="AD371">
        <v>0.66257793841629542</v>
      </c>
      <c r="AE371">
        <v>0.93862643149194747</v>
      </c>
      <c r="AF371" s="7">
        <v>6.3337715468621616E-2</v>
      </c>
      <c r="AG371" s="10">
        <v>112.38191074400947</v>
      </c>
      <c r="AH371" s="1">
        <v>0.26843304060030915</v>
      </c>
      <c r="AI371" s="10">
        <v>6.3806342274437258</v>
      </c>
      <c r="AJ371" s="32">
        <v>1825.5558958669819</v>
      </c>
      <c r="AK371">
        <v>320</v>
      </c>
      <c r="AL371" s="7">
        <v>0.14120723055411022</v>
      </c>
    </row>
    <row r="372" spans="28:38" x14ac:dyDescent="0.3">
      <c r="AB372">
        <v>367</v>
      </c>
      <c r="AC372" s="7">
        <v>0.83546682124314364</v>
      </c>
      <c r="AD372">
        <v>3.2032668935338591</v>
      </c>
      <c r="AE372">
        <v>0.94856497716708721</v>
      </c>
      <c r="AF372" s="7">
        <v>5.2804986769374479E-2</v>
      </c>
      <c r="AG372" s="10">
        <v>115.91846092708539</v>
      </c>
      <c r="AH372" s="1">
        <v>2.7276582319670455</v>
      </c>
      <c r="AI372" s="10">
        <v>560.64559319953503</v>
      </c>
      <c r="AJ372" s="32">
        <v>1792.0495112599665</v>
      </c>
      <c r="AK372">
        <v>320</v>
      </c>
      <c r="AL372" s="7">
        <v>1.3236379711796376</v>
      </c>
    </row>
    <row r="373" spans="28:38" x14ac:dyDescent="0.3">
      <c r="AB373">
        <v>368</v>
      </c>
      <c r="AC373" s="7">
        <v>0.5705808778401732</v>
      </c>
      <c r="AD373">
        <v>1.0392158173143589</v>
      </c>
      <c r="AE373">
        <v>0.96210621221276327</v>
      </c>
      <c r="AF373" s="7">
        <v>3.8630426705337582E-2</v>
      </c>
      <c r="AG373" s="10">
        <v>138.21419324425375</v>
      </c>
      <c r="AH373" s="1">
        <v>0.63085046109585663</v>
      </c>
      <c r="AI373" s="10">
        <v>52.364954996512282</v>
      </c>
      <c r="AJ373" s="32">
        <v>1788.9410112210085</v>
      </c>
      <c r="AK373">
        <v>320</v>
      </c>
      <c r="AL373" s="7">
        <v>0.40452501080168196</v>
      </c>
    </row>
    <row r="374" spans="28:38" x14ac:dyDescent="0.3">
      <c r="AB374">
        <v>369</v>
      </c>
      <c r="AC374" s="7">
        <v>0.57404006807027907</v>
      </c>
      <c r="AD374">
        <v>1.2491180625127569</v>
      </c>
      <c r="AE374">
        <v>0.95169718198757902</v>
      </c>
      <c r="AF374" s="7">
        <v>4.9508380938401798E-2</v>
      </c>
      <c r="AG374" s="10">
        <v>123.09695539868386</v>
      </c>
      <c r="AH374" s="1">
        <v>0.76534663564505911</v>
      </c>
      <c r="AI374" s="10">
        <v>49.06305814833793</v>
      </c>
      <c r="AJ374" s="32">
        <v>1751.5280544115453</v>
      </c>
      <c r="AK374">
        <v>320</v>
      </c>
      <c r="AL374" s="7">
        <v>0.39156360493993314</v>
      </c>
    </row>
    <row r="375" spans="28:38" x14ac:dyDescent="0.3">
      <c r="AB375">
        <v>370</v>
      </c>
      <c r="AC375" s="7">
        <v>0.7931374353115217</v>
      </c>
      <c r="AD375">
        <v>2.7124887721539537</v>
      </c>
      <c r="AE375">
        <v>0.94894943110519914</v>
      </c>
      <c r="AF375" s="7">
        <v>5.2399768298624992E-2</v>
      </c>
      <c r="AG375" s="10">
        <v>115.16181169076823</v>
      </c>
      <c r="AH375" s="1">
        <v>2.2024269569522863</v>
      </c>
      <c r="AI375" s="10">
        <v>437.48626999167089</v>
      </c>
      <c r="AJ375" s="32">
        <v>1831.7564543187832</v>
      </c>
      <c r="AK375">
        <v>320</v>
      </c>
      <c r="AL375" s="7">
        <v>1.1692495857275176</v>
      </c>
    </row>
    <row r="376" spans="28:38" x14ac:dyDescent="0.3">
      <c r="AB376">
        <v>371</v>
      </c>
      <c r="AC376" s="7">
        <v>0.37575273064487391</v>
      </c>
      <c r="AD376">
        <v>0.73149577661817256</v>
      </c>
      <c r="AE376">
        <v>0.94525077355512344</v>
      </c>
      <c r="AF376" s="7">
        <v>5.6305017851076923E-2</v>
      </c>
      <c r="AG376" s="10">
        <v>118.8039695881825</v>
      </c>
      <c r="AH376" s="1">
        <v>0.32961076196434763</v>
      </c>
      <c r="AI376" s="10">
        <v>9.6370834014467999</v>
      </c>
      <c r="AJ376" s="32">
        <v>1784.8951602353306</v>
      </c>
      <c r="AK376">
        <v>320</v>
      </c>
      <c r="AL376" s="7">
        <v>0.17353929131329668</v>
      </c>
    </row>
    <row r="377" spans="28:38" x14ac:dyDescent="0.3">
      <c r="AB377">
        <v>372</v>
      </c>
      <c r="AC377" s="7">
        <v>0.63360237579936463</v>
      </c>
      <c r="AD377">
        <v>1.4097278883948137</v>
      </c>
      <c r="AE377">
        <v>0.95612723942895572</v>
      </c>
      <c r="AF377" s="7">
        <v>4.4864279150191255E-2</v>
      </c>
      <c r="AG377" s="10">
        <v>125.44342083106876</v>
      </c>
      <c r="AH377" s="1">
        <v>0.93707969988861972</v>
      </c>
      <c r="AI377" s="10">
        <v>89.296625230208107</v>
      </c>
      <c r="AJ377" s="32">
        <v>1777.4236897811993</v>
      </c>
      <c r="AK377">
        <v>320</v>
      </c>
      <c r="AL377" s="7">
        <v>0.52825368322842803</v>
      </c>
    </row>
    <row r="378" spans="28:38" x14ac:dyDescent="0.3">
      <c r="AB378">
        <v>373</v>
      </c>
      <c r="AC378" s="7">
        <v>0.27334548558498456</v>
      </c>
      <c r="AD378">
        <v>0.57128727486884923</v>
      </c>
      <c r="AE378">
        <v>0.9412132275051952</v>
      </c>
      <c r="AF378" s="7">
        <v>6.0585568354761296E-2</v>
      </c>
      <c r="AG378" s="10">
        <v>114.77395660197514</v>
      </c>
      <c r="AH378" s="1">
        <v>0.21494557005235293</v>
      </c>
      <c r="AI378" s="10">
        <v>4.0232109535332619</v>
      </c>
      <c r="AJ378" s="32">
        <v>1790.0989784894332</v>
      </c>
      <c r="AK378">
        <v>320</v>
      </c>
      <c r="AL378" s="7">
        <v>0.11212731259506509</v>
      </c>
    </row>
    <row r="379" spans="28:38" x14ac:dyDescent="0.3">
      <c r="AB379">
        <v>374</v>
      </c>
      <c r="AC379" s="7">
        <v>0.5215604810961687</v>
      </c>
      <c r="AD379">
        <v>1.0892509669715671</v>
      </c>
      <c r="AE379">
        <v>0.94998580484209338</v>
      </c>
      <c r="AF379" s="7">
        <v>5.130823677066803E-2</v>
      </c>
      <c r="AG379" s="10">
        <v>124.07481278360407</v>
      </c>
      <c r="AH379" s="1">
        <v>0.61812445352606415</v>
      </c>
      <c r="AI379" s="10">
        <v>31.477487940775298</v>
      </c>
      <c r="AJ379" s="32">
        <v>1757.0850074299772</v>
      </c>
      <c r="AK379">
        <v>320</v>
      </c>
      <c r="AL379" s="7">
        <v>0.31363537717375378</v>
      </c>
    </row>
    <row r="380" spans="28:38" x14ac:dyDescent="0.3">
      <c r="AB380">
        <v>375</v>
      </c>
      <c r="AC380" s="7">
        <v>0.48430775437950763</v>
      </c>
      <c r="AD380">
        <v>0.85713827288902489</v>
      </c>
      <c r="AE380">
        <v>0.95706524143760108</v>
      </c>
      <c r="AF380" s="7">
        <v>4.3883716981790846E-2</v>
      </c>
      <c r="AG380" s="10">
        <v>132.69009742160392</v>
      </c>
      <c r="AH380" s="1">
        <v>0.45805347069801217</v>
      </c>
      <c r="AI380" s="10">
        <v>22.164011465927722</v>
      </c>
      <c r="AJ380" s="32">
        <v>1754.0591216115533</v>
      </c>
      <c r="AK380">
        <v>320</v>
      </c>
      <c r="AL380" s="7">
        <v>0.26317776469721776</v>
      </c>
    </row>
    <row r="381" spans="28:38" x14ac:dyDescent="0.3">
      <c r="AB381">
        <v>376</v>
      </c>
      <c r="AC381" s="7">
        <v>0.46828064234879729</v>
      </c>
      <c r="AD381">
        <v>0.91076026118579134</v>
      </c>
      <c r="AE381">
        <v>0.95089874943415342</v>
      </c>
      <c r="AF381" s="7">
        <v>5.0347689576783622E-2</v>
      </c>
      <c r="AG381" s="10">
        <v>127.60845481236571</v>
      </c>
      <c r="AH381" s="1">
        <v>0.47559265069968737</v>
      </c>
      <c r="AI381" s="10">
        <v>22.164180686838694</v>
      </c>
      <c r="AJ381" s="32">
        <v>1796.4347896374079</v>
      </c>
      <c r="AK381">
        <v>320</v>
      </c>
      <c r="AL381" s="7">
        <v>0.2631787693686003</v>
      </c>
    </row>
    <row r="382" spans="28:38" x14ac:dyDescent="0.3">
      <c r="AB382">
        <v>377</v>
      </c>
      <c r="AC382" s="7">
        <v>0.4304310653817231</v>
      </c>
      <c r="AD382">
        <v>0.7502966224934714</v>
      </c>
      <c r="AE382">
        <v>0.95405583484027046</v>
      </c>
      <c r="AF382" s="7">
        <v>4.7033082160256236E-2</v>
      </c>
      <c r="AG382" s="10">
        <v>126.41037069988353</v>
      </c>
      <c r="AH382" s="1">
        <v>0.36889513973190297</v>
      </c>
      <c r="AI382" s="10">
        <v>12.357257586188418</v>
      </c>
      <c r="AJ382" s="32">
        <v>1715.7315824460391</v>
      </c>
      <c r="AK382">
        <v>320</v>
      </c>
      <c r="AL382" s="7">
        <v>0.19651063573465635</v>
      </c>
    </row>
    <row r="383" spans="28:38" x14ac:dyDescent="0.3">
      <c r="AB383">
        <v>378</v>
      </c>
      <c r="AC383" s="7">
        <v>0.5663247370271669</v>
      </c>
      <c r="AD383">
        <v>1.2790851518450326</v>
      </c>
      <c r="AE383">
        <v>0.94989569775653693</v>
      </c>
      <c r="AF383" s="7">
        <v>5.1403092250339552E-2</v>
      </c>
      <c r="AG383" s="10">
        <v>125.81797848149513</v>
      </c>
      <c r="AH383" s="1">
        <v>0.77448186449745504</v>
      </c>
      <c r="AI383" s="10">
        <v>51.501600353323525</v>
      </c>
      <c r="AJ383" s="32">
        <v>1789.2207045352393</v>
      </c>
      <c r="AK383">
        <v>320</v>
      </c>
      <c r="AL383" s="7">
        <v>0.40117639649428033</v>
      </c>
    </row>
    <row r="384" spans="28:38" x14ac:dyDescent="0.3">
      <c r="AB384">
        <v>379</v>
      </c>
      <c r="AC384" s="7">
        <v>0.20744794941624212</v>
      </c>
      <c r="AD384">
        <v>0.47402311183932744</v>
      </c>
      <c r="AE384">
        <v>0.94216358257162802</v>
      </c>
      <c r="AF384" s="7">
        <v>5.9576364947340386E-2</v>
      </c>
      <c r="AG384" s="10">
        <v>120.10476792211814</v>
      </c>
      <c r="AH384" s="1">
        <v>0.15617153995534644</v>
      </c>
      <c r="AI384" s="10">
        <v>2.3248049645318529</v>
      </c>
      <c r="AJ384" s="32">
        <v>1803.5854005543288</v>
      </c>
      <c r="AK384">
        <v>320</v>
      </c>
      <c r="AL384" s="7">
        <v>8.5235060357590181E-2</v>
      </c>
    </row>
    <row r="385" spans="28:38" x14ac:dyDescent="0.3">
      <c r="AB385">
        <v>380</v>
      </c>
      <c r="AC385" s="7">
        <v>0.95970883715151445</v>
      </c>
      <c r="AD385">
        <v>4.0299508360113476</v>
      </c>
      <c r="AE385">
        <v>0.96252032211401695</v>
      </c>
      <c r="AF385" s="7">
        <v>3.820009915839976E-2</v>
      </c>
      <c r="AG385" s="10">
        <v>126.63267365721894</v>
      </c>
      <c r="AH385" s="1">
        <v>3.9050591084922073</v>
      </c>
      <c r="AI385" s="10">
        <v>1336.3119336388952</v>
      </c>
      <c r="AJ385" s="32">
        <v>1728.9905138085796</v>
      </c>
      <c r="AK385">
        <v>320</v>
      </c>
      <c r="AL385" s="7">
        <v>2.0435201962842324</v>
      </c>
    </row>
    <row r="386" spans="28:38" x14ac:dyDescent="0.3">
      <c r="AB386">
        <v>381</v>
      </c>
      <c r="AC386" s="7">
        <v>0.63997955632492343</v>
      </c>
      <c r="AD386">
        <v>1.3060758422345848</v>
      </c>
      <c r="AE386">
        <v>0.96235793224761079</v>
      </c>
      <c r="AF386" s="7">
        <v>3.8368826574197039E-2</v>
      </c>
      <c r="AG386" s="10">
        <v>136.08325559689999</v>
      </c>
      <c r="AH386" s="1">
        <v>0.87350390579237946</v>
      </c>
      <c r="AI386" s="10">
        <v>116.47950992090317</v>
      </c>
      <c r="AJ386" s="32">
        <v>1849.0905304570874</v>
      </c>
      <c r="AK386">
        <v>320</v>
      </c>
      <c r="AL386" s="7">
        <v>0.60332285594267221</v>
      </c>
    </row>
    <row r="387" spans="28:38" x14ac:dyDescent="0.3">
      <c r="AB387">
        <v>382</v>
      </c>
      <c r="AC387" s="7">
        <v>0.14210066498245744</v>
      </c>
      <c r="AD387">
        <v>0.40674876955345263</v>
      </c>
      <c r="AE387">
        <v>0.94004075849686142</v>
      </c>
      <c r="AF387" s="7">
        <v>6.1832044555065503E-2</v>
      </c>
      <c r="AG387" s="10">
        <v>115.57845946909841</v>
      </c>
      <c r="AH387" s="1">
        <v>0.11775851213748054</v>
      </c>
      <c r="AI387" s="10">
        <v>1.4061806732306319</v>
      </c>
      <c r="AJ387" s="32">
        <v>1822.6520487111666</v>
      </c>
      <c r="AK387">
        <v>320</v>
      </c>
      <c r="AL387" s="7">
        <v>6.6289626668474502E-2</v>
      </c>
    </row>
    <row r="388" spans="28:38" x14ac:dyDescent="0.3">
      <c r="AB388">
        <v>383</v>
      </c>
      <c r="AC388" s="7">
        <v>0.97099512984642389</v>
      </c>
      <c r="AD388">
        <v>3.8600332969821145</v>
      </c>
      <c r="AE388">
        <v>0.96870439159371935</v>
      </c>
      <c r="AF388" s="7">
        <v>3.179577906805451E-2</v>
      </c>
      <c r="AG388" s="10">
        <v>139.35610851053801</v>
      </c>
      <c r="AH388" s="1">
        <v>3.7793691408209487</v>
      </c>
      <c r="AI388" s="10">
        <v>1823.172957391303</v>
      </c>
      <c r="AJ388" s="32">
        <v>1800.7308784087897</v>
      </c>
      <c r="AK388">
        <v>320</v>
      </c>
      <c r="AL388" s="7">
        <v>2.3869259502229689</v>
      </c>
    </row>
    <row r="389" spans="28:38" x14ac:dyDescent="0.3">
      <c r="AB389">
        <v>384</v>
      </c>
      <c r="AC389" s="7">
        <v>0.4468508935377476</v>
      </c>
      <c r="AD389">
        <v>0.91798653377700212</v>
      </c>
      <c r="AE389">
        <v>0.94373759079670372</v>
      </c>
      <c r="AF389" s="7">
        <v>5.7907127330033947E-2</v>
      </c>
      <c r="AG389" s="10">
        <v>113.6899315596244</v>
      </c>
      <c r="AH389" s="1">
        <v>0.46646551207716941</v>
      </c>
      <c r="AI389" s="10">
        <v>18.012311767181171</v>
      </c>
      <c r="AJ389" s="32">
        <v>1782.0571400312172</v>
      </c>
      <c r="AK389">
        <v>320</v>
      </c>
      <c r="AL389" s="7">
        <v>0.23725192153582478</v>
      </c>
    </row>
    <row r="390" spans="28:38" x14ac:dyDescent="0.3">
      <c r="AB390">
        <v>385</v>
      </c>
      <c r="AC390" s="7">
        <v>0.15701625997528804</v>
      </c>
      <c r="AD390">
        <v>0.39865899625011336</v>
      </c>
      <c r="AE390">
        <v>0.94403469545620045</v>
      </c>
      <c r="AF390" s="7">
        <v>5.7592359850806338E-2</v>
      </c>
      <c r="AG390" s="10">
        <v>119.22580821635673</v>
      </c>
      <c r="AH390" s="1">
        <v>0.11856124914049473</v>
      </c>
      <c r="AI390" s="10">
        <v>1.450923894857536</v>
      </c>
      <c r="AJ390" s="32">
        <v>1793.5886116899146</v>
      </c>
      <c r="AK390">
        <v>320</v>
      </c>
      <c r="AL390" s="7">
        <v>6.7336002045189761E-2</v>
      </c>
    </row>
    <row r="391" spans="28:38" x14ac:dyDescent="0.3">
      <c r="AB391">
        <v>386</v>
      </c>
      <c r="AC391" s="7">
        <v>0.37217065533497268</v>
      </c>
      <c r="AD391">
        <v>0.59144301595348892</v>
      </c>
      <c r="AE391">
        <v>0.95727680129998449</v>
      </c>
      <c r="AF391" s="7">
        <v>4.3662690792612924E-2</v>
      </c>
      <c r="AG391" s="10">
        <v>131.84806435913484</v>
      </c>
      <c r="AH391" s="1">
        <v>0.26284093354071819</v>
      </c>
      <c r="AI391" s="10">
        <v>9.5517767689192734</v>
      </c>
      <c r="AJ391" s="32">
        <v>1799.4049451756391</v>
      </c>
      <c r="AK391">
        <v>320</v>
      </c>
      <c r="AL391" s="7">
        <v>0.17276950657703671</v>
      </c>
    </row>
    <row r="392" spans="28:38" x14ac:dyDescent="0.3">
      <c r="AB392">
        <v>387</v>
      </c>
      <c r="AC392" s="7">
        <v>0.75941000902441302</v>
      </c>
      <c r="AD392">
        <v>2.1736474552153782</v>
      </c>
      <c r="AE392">
        <v>0.956603055491972</v>
      </c>
      <c r="AF392" s="7">
        <v>4.4366753624407805E-2</v>
      </c>
      <c r="AG392" s="10">
        <v>124.64499359184251</v>
      </c>
      <c r="AH392" s="1">
        <v>1.6940865780890308</v>
      </c>
      <c r="AI392" s="10">
        <v>281.99212646005685</v>
      </c>
      <c r="AJ392" s="32">
        <v>1791.5652326072777</v>
      </c>
      <c r="AK392">
        <v>320</v>
      </c>
      <c r="AL392" s="7">
        <v>0.93873606257972086</v>
      </c>
    </row>
    <row r="393" spans="28:38" x14ac:dyDescent="0.3">
      <c r="AB393">
        <v>388</v>
      </c>
      <c r="AC393" s="7">
        <v>0.35773254648408004</v>
      </c>
      <c r="AD393">
        <v>0.68157873396118029</v>
      </c>
      <c r="AE393">
        <v>0.94576134272925261</v>
      </c>
      <c r="AF393" s="7">
        <v>5.576502217136757E-2</v>
      </c>
      <c r="AG393" s="10">
        <v>117.10520481339555</v>
      </c>
      <c r="AH393" s="1">
        <v>0.29806155340007578</v>
      </c>
      <c r="AI393" s="10">
        <v>8.2551712829114514</v>
      </c>
      <c r="AJ393" s="32">
        <v>1785.0853975794641</v>
      </c>
      <c r="AK393">
        <v>320</v>
      </c>
      <c r="AL393" s="7">
        <v>0.16061572232847657</v>
      </c>
    </row>
    <row r="394" spans="28:38" x14ac:dyDescent="0.3">
      <c r="AB394">
        <v>389</v>
      </c>
      <c r="AC394" s="7">
        <v>0.22721334564975171</v>
      </c>
      <c r="AD394">
        <v>0.52279187520001857</v>
      </c>
      <c r="AE394">
        <v>0.93809438755317276</v>
      </c>
      <c r="AF394" s="7">
        <v>6.3904708649097905E-2</v>
      </c>
      <c r="AG394" s="10">
        <v>111.54305106187662</v>
      </c>
      <c r="AH394" s="1">
        <v>0.18069090348953093</v>
      </c>
      <c r="AI394" s="10">
        <v>3.0127299058015837</v>
      </c>
      <c r="AJ394" s="32">
        <v>1824.2063371872632</v>
      </c>
      <c r="AK394">
        <v>320</v>
      </c>
      <c r="AL394" s="7">
        <v>9.7029794164627342E-2</v>
      </c>
    </row>
    <row r="395" spans="28:38" x14ac:dyDescent="0.3">
      <c r="AB395">
        <v>390</v>
      </c>
      <c r="AC395" s="7">
        <v>0.65626717967558601</v>
      </c>
      <c r="AD395">
        <v>1.471904081458228</v>
      </c>
      <c r="AE395">
        <v>0.95857113902711144</v>
      </c>
      <c r="AF395" s="7">
        <v>4.2311500129923477E-2</v>
      </c>
      <c r="AG395" s="10">
        <v>129.3555183507473</v>
      </c>
      <c r="AH395" s="1">
        <v>1.0073912012644639</v>
      </c>
      <c r="AI395" s="10">
        <v>115.19276905153501</v>
      </c>
      <c r="AJ395" s="32">
        <v>1796.9138123591767</v>
      </c>
      <c r="AK395">
        <v>320</v>
      </c>
      <c r="AL395" s="7">
        <v>0.59998116910953703</v>
      </c>
    </row>
    <row r="396" spans="28:38" x14ac:dyDescent="0.3">
      <c r="AB396">
        <v>391</v>
      </c>
      <c r="AC396" s="7">
        <v>-9.7988121372191928E-2</v>
      </c>
      <c r="AD396">
        <v>0.2519765542366057</v>
      </c>
      <c r="AE396">
        <v>0.93328894111698624</v>
      </c>
      <c r="AF396" s="7">
        <v>6.9040435707054357E-2</v>
      </c>
      <c r="AG396" s="10">
        <v>111.83995987907613</v>
      </c>
      <c r="AH396" s="1">
        <v>4.2020349703530538E-2</v>
      </c>
      <c r="AI396" s="10">
        <v>0.14043719292532891</v>
      </c>
      <c r="AJ396" s="32">
        <v>1756.134463765515</v>
      </c>
      <c r="AK396">
        <v>320</v>
      </c>
      <c r="AL396" s="7">
        <v>2.0949134299336879E-2</v>
      </c>
    </row>
    <row r="397" spans="28:38" x14ac:dyDescent="0.3">
      <c r="AB397">
        <v>392</v>
      </c>
      <c r="AC397" s="7">
        <v>0.78748783598047001</v>
      </c>
      <c r="AD397">
        <v>2.3622110046399696</v>
      </c>
      <c r="AE397">
        <v>0.95738861584527712</v>
      </c>
      <c r="AF397" s="7">
        <v>4.3545892792901351E-2</v>
      </c>
      <c r="AG397" s="10">
        <v>124.48273082289001</v>
      </c>
      <c r="AH397" s="1">
        <v>1.9028238163279045</v>
      </c>
      <c r="AI397" s="10">
        <v>375.74599338307718</v>
      </c>
      <c r="AJ397" s="32">
        <v>1804.65141267031</v>
      </c>
      <c r="AK397">
        <v>320</v>
      </c>
      <c r="AL397" s="7">
        <v>1.0836079684655868</v>
      </c>
    </row>
    <row r="398" spans="28:38" x14ac:dyDescent="0.3">
      <c r="AB398">
        <v>393</v>
      </c>
      <c r="AC398" s="7">
        <v>0.44735959018646937</v>
      </c>
      <c r="AD398">
        <v>0.68755259750380848</v>
      </c>
      <c r="AE398">
        <v>0.96116499278229695</v>
      </c>
      <c r="AF398" s="7">
        <v>3.9609196109425454E-2</v>
      </c>
      <c r="AG398" s="10">
        <v>133.17260721713274</v>
      </c>
      <c r="AH398" s="1">
        <v>0.34641825546864935</v>
      </c>
      <c r="AI398" s="10">
        <v>19.093923789733047</v>
      </c>
      <c r="AJ398" s="32">
        <v>1810.473412054997</v>
      </c>
      <c r="AK398">
        <v>320</v>
      </c>
      <c r="AL398" s="7">
        <v>0.24427138973468787</v>
      </c>
    </row>
    <row r="399" spans="28:38" x14ac:dyDescent="0.3">
      <c r="AB399">
        <v>394</v>
      </c>
      <c r="AC399" s="7">
        <v>0.86268954919552254</v>
      </c>
      <c r="AD399">
        <v>3.5714274576519394</v>
      </c>
      <c r="AE399">
        <v>0.94869881684588053</v>
      </c>
      <c r="AF399" s="7">
        <v>5.2663899716074158E-2</v>
      </c>
      <c r="AG399" s="10">
        <v>117.48140230525156</v>
      </c>
      <c r="AH399" s="1">
        <v>3.132334326580382</v>
      </c>
      <c r="AI399" s="10">
        <v>692.79429059126119</v>
      </c>
      <c r="AJ399" s="32">
        <v>1783.4430458094596</v>
      </c>
      <c r="AK399">
        <v>320</v>
      </c>
      <c r="AL399" s="7">
        <v>1.4713878340185129</v>
      </c>
    </row>
    <row r="400" spans="28:38" x14ac:dyDescent="0.3">
      <c r="AB400">
        <v>395</v>
      </c>
      <c r="AC400" s="7">
        <v>0.75843252658236437</v>
      </c>
      <c r="AD400">
        <v>1.8315202323800224</v>
      </c>
      <c r="AE400">
        <v>0.96532011463699163</v>
      </c>
      <c r="AF400" s="7">
        <v>3.5295507639301685E-2</v>
      </c>
      <c r="AG400" s="10">
        <v>134.03865792124429</v>
      </c>
      <c r="AH400" s="1">
        <v>1.423764402693708</v>
      </c>
      <c r="AI400" s="10">
        <v>289.00147538102931</v>
      </c>
      <c r="AJ400" s="32">
        <v>1807.1447183855889</v>
      </c>
      <c r="AK400">
        <v>320</v>
      </c>
      <c r="AL400" s="7">
        <v>0.95033131620804578</v>
      </c>
    </row>
    <row r="401" spans="28:38" x14ac:dyDescent="0.3">
      <c r="AB401">
        <v>396</v>
      </c>
      <c r="AC401" s="7">
        <v>0.28678414600166446</v>
      </c>
      <c r="AD401">
        <v>0.56022157274460893</v>
      </c>
      <c r="AE401">
        <v>0.94479117429119597</v>
      </c>
      <c r="AF401" s="7">
        <v>5.6791355494016586E-2</v>
      </c>
      <c r="AG401" s="10">
        <v>116.12390002312627</v>
      </c>
      <c r="AH401" s="1">
        <v>0.21587149102007605</v>
      </c>
      <c r="AI401" s="10">
        <v>4.0285214035832704</v>
      </c>
      <c r="AJ401" s="32">
        <v>1753.9362881392487</v>
      </c>
      <c r="AK401">
        <v>320</v>
      </c>
      <c r="AL401" s="7">
        <v>0.1122012895924005</v>
      </c>
    </row>
    <row r="402" spans="28:38" x14ac:dyDescent="0.3">
      <c r="AB402">
        <v>397</v>
      </c>
      <c r="AC402" s="7">
        <v>0.36923618344562259</v>
      </c>
      <c r="AD402">
        <v>0.70469439578098736</v>
      </c>
      <c r="AE402">
        <v>0.94513101207260153</v>
      </c>
      <c r="AF402" s="7">
        <v>5.6431723983766793E-2</v>
      </c>
      <c r="AG402" s="10">
        <v>113.71115083008077</v>
      </c>
      <c r="AH402" s="1">
        <v>0.31506765712108931</v>
      </c>
      <c r="AI402" s="10">
        <v>10.34828195475653</v>
      </c>
      <c r="AJ402" s="32">
        <v>1822.8608627745125</v>
      </c>
      <c r="AK402">
        <v>320</v>
      </c>
      <c r="AL402" s="7">
        <v>0.17982875495485742</v>
      </c>
    </row>
    <row r="403" spans="28:38" x14ac:dyDescent="0.3">
      <c r="AB403">
        <v>398</v>
      </c>
      <c r="AC403" s="7">
        <v>0.7024552221908148</v>
      </c>
      <c r="AD403">
        <v>1.9973520738961612</v>
      </c>
      <c r="AE403">
        <v>0.94890924776797869</v>
      </c>
      <c r="AF403" s="7">
        <v>5.2442114272720712E-2</v>
      </c>
      <c r="AG403" s="10">
        <v>117.55985169763923</v>
      </c>
      <c r="AH403" s="1">
        <v>1.4541411470940337</v>
      </c>
      <c r="AI403" s="10">
        <v>156.12010372798156</v>
      </c>
      <c r="AJ403" s="32">
        <v>1757.7801730444939</v>
      </c>
      <c r="AK403">
        <v>320</v>
      </c>
      <c r="AL403" s="7">
        <v>0.69848072568249331</v>
      </c>
    </row>
    <row r="404" spans="28:38" x14ac:dyDescent="0.3">
      <c r="AB404">
        <v>399</v>
      </c>
      <c r="AC404" s="7">
        <v>0.405169549650299</v>
      </c>
      <c r="AD404">
        <v>0.79318318678443633</v>
      </c>
      <c r="AE404">
        <v>0.94581326193972959</v>
      </c>
      <c r="AF404" s="7">
        <v>5.571012694242776E-2</v>
      </c>
      <c r="AG404" s="10">
        <v>118.89074447227428</v>
      </c>
      <c r="AH404" s="1">
        <v>0.37556041263990947</v>
      </c>
      <c r="AI404" s="10">
        <v>13.581379683694397</v>
      </c>
      <c r="AJ404" s="32">
        <v>1812.213910072792</v>
      </c>
      <c r="AK404">
        <v>320</v>
      </c>
      <c r="AL404" s="7">
        <v>0.20601410512764651</v>
      </c>
    </row>
    <row r="405" spans="28:38" x14ac:dyDescent="0.3">
      <c r="AB405">
        <v>400</v>
      </c>
      <c r="AC405" s="7">
        <v>0.53450377373358082</v>
      </c>
      <c r="AD405">
        <v>0.98753699472862</v>
      </c>
      <c r="AE405">
        <v>0.95696910722024631</v>
      </c>
      <c r="AF405" s="7">
        <v>4.3984168906807786E-2</v>
      </c>
      <c r="AG405" s="10">
        <v>126.05606835575722</v>
      </c>
      <c r="AH405" s="1">
        <v>0.5708731431637204</v>
      </c>
      <c r="AI405" s="10">
        <v>37.964219111776245</v>
      </c>
      <c r="AJ405" s="32">
        <v>1782.6299653121509</v>
      </c>
      <c r="AK405">
        <v>320</v>
      </c>
      <c r="AL405" s="7">
        <v>0.34443894193935271</v>
      </c>
    </row>
    <row r="406" spans="28:38" x14ac:dyDescent="0.3">
      <c r="AB406">
        <v>401</v>
      </c>
      <c r="AC406" s="7">
        <v>0.28147979728905104</v>
      </c>
      <c r="AD406">
        <v>0.50972007573036193</v>
      </c>
      <c r="AE406">
        <v>0.94987804755919591</v>
      </c>
      <c r="AF406" s="7">
        <v>5.1421673618131415E-2</v>
      </c>
      <c r="AG406" s="10">
        <v>121.60585245805872</v>
      </c>
      <c r="AH406" s="1">
        <v>0.19359785603154611</v>
      </c>
      <c r="AI406" s="10">
        <v>4.2875327961069774</v>
      </c>
      <c r="AJ406" s="32">
        <v>1792.5465885631493</v>
      </c>
      <c r="AK406">
        <v>320</v>
      </c>
      <c r="AL406" s="7">
        <v>0.11575206256406105</v>
      </c>
    </row>
    <row r="407" spans="28:38" x14ac:dyDescent="0.3">
      <c r="AB407">
        <v>402</v>
      </c>
      <c r="AC407" s="7">
        <v>0.75866632259146927</v>
      </c>
      <c r="AD407">
        <v>2.2661048529362153</v>
      </c>
      <c r="AE407">
        <v>0.95414004774659045</v>
      </c>
      <c r="AF407" s="7">
        <v>4.6944817735054253E-2</v>
      </c>
      <c r="AG407" s="10">
        <v>122.92145355363427</v>
      </c>
      <c r="AH407" s="1">
        <v>1.7650773876372103</v>
      </c>
      <c r="AI407" s="10">
        <v>245.6716022152381</v>
      </c>
      <c r="AJ407" s="32">
        <v>1748.1602711243786</v>
      </c>
      <c r="AK407">
        <v>320</v>
      </c>
      <c r="AL407" s="7">
        <v>0.87619846891136433</v>
      </c>
    </row>
    <row r="408" spans="28:38" x14ac:dyDescent="0.3">
      <c r="AB408">
        <v>403</v>
      </c>
      <c r="AC408" s="7">
        <v>0.26229193803244549</v>
      </c>
      <c r="AD408">
        <v>0.57252763105544136</v>
      </c>
      <c r="AE408">
        <v>0.93920260801442224</v>
      </c>
      <c r="AF408" s="7">
        <v>6.2724053065458779E-2</v>
      </c>
      <c r="AG408" s="10">
        <v>114.82314319647638</v>
      </c>
      <c r="AH408" s="1">
        <v>0.2109667739122344</v>
      </c>
      <c r="AI408" s="10">
        <v>3.5988282584502942</v>
      </c>
      <c r="AJ408" s="32">
        <v>1785.2777149825924</v>
      </c>
      <c r="AK408">
        <v>320</v>
      </c>
      <c r="AL408" s="7">
        <v>0.10604875438993694</v>
      </c>
    </row>
    <row r="409" spans="28:38" x14ac:dyDescent="0.3">
      <c r="AB409">
        <v>404</v>
      </c>
      <c r="AC409" s="7">
        <v>0.39983387462987174</v>
      </c>
      <c r="AD409">
        <v>0.79296570410781564</v>
      </c>
      <c r="AE409">
        <v>0.94496893909347501</v>
      </c>
      <c r="AF409" s="7">
        <v>5.6603220712734756E-2</v>
      </c>
      <c r="AG409" s="10">
        <v>119.1103895462152</v>
      </c>
      <c r="AH409" s="1">
        <v>0.37208561082855734</v>
      </c>
      <c r="AI409" s="10">
        <v>11.214539165902444</v>
      </c>
      <c r="AJ409" s="32">
        <v>1765.988892885164</v>
      </c>
      <c r="AK409">
        <v>320</v>
      </c>
      <c r="AL409" s="7">
        <v>0.18720425981650402</v>
      </c>
    </row>
    <row r="410" spans="28:38" x14ac:dyDescent="0.3">
      <c r="AB410">
        <v>405</v>
      </c>
      <c r="AC410" s="7">
        <v>0.7265243078957202</v>
      </c>
      <c r="AD410">
        <v>1.9590970348037795</v>
      </c>
      <c r="AE410">
        <v>0.95626374448666629</v>
      </c>
      <c r="AF410" s="7">
        <v>4.4721520625297037E-2</v>
      </c>
      <c r="AG410" s="10">
        <v>125.85566442198743</v>
      </c>
      <c r="AH410" s="1">
        <v>1.4670678728247073</v>
      </c>
      <c r="AI410" s="10">
        <v>193.79420362106544</v>
      </c>
      <c r="AJ410" s="32">
        <v>1764.2178760605293</v>
      </c>
      <c r="AK410">
        <v>320</v>
      </c>
      <c r="AL410" s="7">
        <v>0.77820748281922181</v>
      </c>
    </row>
    <row r="411" spans="28:38" x14ac:dyDescent="0.3">
      <c r="AB411">
        <v>406</v>
      </c>
      <c r="AC411" s="7">
        <v>0.87323033250604798</v>
      </c>
      <c r="AD411">
        <v>3.3277797887763207</v>
      </c>
      <c r="AE411">
        <v>0.95366110423487538</v>
      </c>
      <c r="AF411" s="7">
        <v>4.7446907296410469E-2</v>
      </c>
      <c r="AG411" s="10">
        <v>116.44779708769528</v>
      </c>
      <c r="AH411" s="1">
        <v>2.9522571472251773</v>
      </c>
      <c r="AI411" s="10">
        <v>706.21976818108965</v>
      </c>
      <c r="AJ411" s="32">
        <v>1762.3591282981222</v>
      </c>
      <c r="AK411">
        <v>320</v>
      </c>
      <c r="AL411" s="7">
        <v>1.4855762436057953</v>
      </c>
    </row>
    <row r="412" spans="28:38" x14ac:dyDescent="0.3">
      <c r="AB412">
        <v>407</v>
      </c>
      <c r="AC412" s="7">
        <v>0.529930428370603</v>
      </c>
      <c r="AD412">
        <v>1.0793683131225842</v>
      </c>
      <c r="AE412">
        <v>0.95128533603136911</v>
      </c>
      <c r="AF412" s="7">
        <v>4.9941223551237458E-2</v>
      </c>
      <c r="AG412" s="10">
        <v>121.7880481238121</v>
      </c>
      <c r="AH412" s="1">
        <v>0.62070477651133704</v>
      </c>
      <c r="AI412" s="10">
        <v>36.865580458865033</v>
      </c>
      <c r="AJ412" s="32">
        <v>1783.3519484955159</v>
      </c>
      <c r="AK412">
        <v>320</v>
      </c>
      <c r="AL412" s="7">
        <v>0.33941853062841637</v>
      </c>
    </row>
    <row r="413" spans="28:38" x14ac:dyDescent="0.3">
      <c r="AB413">
        <v>408</v>
      </c>
      <c r="AC413" s="7">
        <v>0.69395339158122793</v>
      </c>
      <c r="AD413">
        <v>1.4946528157269654</v>
      </c>
      <c r="AE413">
        <v>0.96440566428563124</v>
      </c>
      <c r="AF413" s="7">
        <v>3.6243259314485382E-2</v>
      </c>
      <c r="AG413" s="10">
        <v>135.35482374977866</v>
      </c>
      <c r="AH413" s="1">
        <v>1.0728137264245285</v>
      </c>
      <c r="AI413" s="10">
        <v>160.80531357921484</v>
      </c>
      <c r="AJ413" s="32">
        <v>1800.7504136196503</v>
      </c>
      <c r="AK413">
        <v>320</v>
      </c>
      <c r="AL413" s="7">
        <v>0.70888405605927285</v>
      </c>
    </row>
    <row r="414" spans="28:38" x14ac:dyDescent="0.3">
      <c r="AB414">
        <v>409</v>
      </c>
      <c r="AC414" s="7">
        <v>0.49505919847083424</v>
      </c>
      <c r="AD414">
        <v>0.90571639040752161</v>
      </c>
      <c r="AE414">
        <v>0.95540913904451652</v>
      </c>
      <c r="AF414" s="7">
        <v>4.5615612398469174E-2</v>
      </c>
      <c r="AG414" s="10">
        <v>128.22914990384106</v>
      </c>
      <c r="AH414" s="1">
        <v>0.49297409123252833</v>
      </c>
      <c r="AI414" s="10">
        <v>27.719752680521733</v>
      </c>
      <c r="AJ414" s="32">
        <v>1793.5495666981885</v>
      </c>
      <c r="AK414">
        <v>320</v>
      </c>
      <c r="AL414" s="7">
        <v>0.29431994007649298</v>
      </c>
    </row>
    <row r="415" spans="28:38" x14ac:dyDescent="0.3">
      <c r="AB415">
        <v>410</v>
      </c>
      <c r="AC415" s="7">
        <v>1.0580137894099584</v>
      </c>
      <c r="AD415">
        <v>5.8042581722087796</v>
      </c>
      <c r="AE415">
        <v>0.96350733713370829</v>
      </c>
      <c r="AF415" s="7">
        <v>3.7175176072425903E-2</v>
      </c>
      <c r="AG415" s="10">
        <v>127.76299967119563</v>
      </c>
      <c r="AH415" s="1">
        <v>6.1774778463586211</v>
      </c>
      <c r="AI415" s="10">
        <v>3608.3209114517645</v>
      </c>
      <c r="AJ415" s="32">
        <v>1770.8021241578856</v>
      </c>
      <c r="AK415">
        <v>320</v>
      </c>
      <c r="AL415" s="7">
        <v>3.3579760047217078</v>
      </c>
    </row>
    <row r="416" spans="28:38" x14ac:dyDescent="0.3">
      <c r="AB416">
        <v>411</v>
      </c>
      <c r="AC416" s="7">
        <v>0.43652915937597225</v>
      </c>
      <c r="AD416">
        <v>0.7805659868600926</v>
      </c>
      <c r="AE416">
        <v>0.95174999165146823</v>
      </c>
      <c r="AF416" s="7">
        <v>4.9452892491300013E-2</v>
      </c>
      <c r="AG416" s="10">
        <v>119.25390703625173</v>
      </c>
      <c r="AH416" s="1">
        <v>0.38898982243004421</v>
      </c>
      <c r="AI416" s="10">
        <v>15.400927002929503</v>
      </c>
      <c r="AJ416" s="32">
        <v>1765.288376670951</v>
      </c>
      <c r="AK416">
        <v>320</v>
      </c>
      <c r="AL416" s="7">
        <v>0.21938071219720912</v>
      </c>
    </row>
    <row r="417" spans="28:38" x14ac:dyDescent="0.3">
      <c r="AB417">
        <v>412</v>
      </c>
      <c r="AC417" s="7">
        <v>0.87354861501096492</v>
      </c>
      <c r="AD417">
        <v>2.9146259991647643</v>
      </c>
      <c r="AE417">
        <v>0.96565207173664114</v>
      </c>
      <c r="AF417" s="7">
        <v>3.4951683833591561E-2</v>
      </c>
      <c r="AG417" s="10">
        <v>140.38502016480203</v>
      </c>
      <c r="AH417" s="1">
        <v>2.5804154331086888</v>
      </c>
      <c r="AI417" s="10">
        <v>632.23673759971325</v>
      </c>
      <c r="AJ417" s="32">
        <v>1734.7146150666215</v>
      </c>
      <c r="AK417">
        <v>320</v>
      </c>
      <c r="AL417" s="7">
        <v>1.4056101184180143</v>
      </c>
    </row>
    <row r="418" spans="28:38" x14ac:dyDescent="0.3">
      <c r="AB418">
        <v>413</v>
      </c>
      <c r="AC418" s="7">
        <v>0.81252877852998728</v>
      </c>
      <c r="AD418">
        <v>2.5289901091291744</v>
      </c>
      <c r="AE418">
        <v>0.95897852546487194</v>
      </c>
      <c r="AF418" s="7">
        <v>4.1886596982502106E-2</v>
      </c>
      <c r="AG418" s="10">
        <v>126.62552304844915</v>
      </c>
      <c r="AH418" s="1">
        <v>2.0958987188202753</v>
      </c>
      <c r="AI418" s="10">
        <v>460.0760361525052</v>
      </c>
      <c r="AJ418" s="32">
        <v>1800.1017011625513</v>
      </c>
      <c r="AK418">
        <v>320</v>
      </c>
      <c r="AL418" s="7">
        <v>1.1990569681948304</v>
      </c>
    </row>
    <row r="419" spans="28:38" x14ac:dyDescent="0.3">
      <c r="AB419">
        <v>414</v>
      </c>
      <c r="AC419" s="7">
        <v>0.36036865478537278</v>
      </c>
      <c r="AD419">
        <v>0.73459444636379678</v>
      </c>
      <c r="AE419">
        <v>0.94166797546973191</v>
      </c>
      <c r="AF419" s="7">
        <v>6.0102534191309988E-2</v>
      </c>
      <c r="AG419" s="10">
        <v>115.56052502406153</v>
      </c>
      <c r="AH419" s="1">
        <v>0.32305683697919518</v>
      </c>
      <c r="AI419" s="10">
        <v>8.6084963268065451</v>
      </c>
      <c r="AJ419" s="32">
        <v>1789.6862439552517</v>
      </c>
      <c r="AK419">
        <v>320</v>
      </c>
      <c r="AL419" s="7">
        <v>0.16401692297220569</v>
      </c>
    </row>
    <row r="420" spans="28:38" x14ac:dyDescent="0.3">
      <c r="AB420">
        <v>415</v>
      </c>
      <c r="AC420" s="7">
        <v>0.6762287874473637</v>
      </c>
      <c r="AD420">
        <v>1.5812716549475323</v>
      </c>
      <c r="AE420">
        <v>0.95877906345682062</v>
      </c>
      <c r="AF420" s="7">
        <v>4.2094612854709092E-2</v>
      </c>
      <c r="AG420" s="10">
        <v>130.39904451621794</v>
      </c>
      <c r="AH420" s="1">
        <v>1.1105223503932353</v>
      </c>
      <c r="AI420" s="10">
        <v>145.03208586527114</v>
      </c>
      <c r="AJ420" s="32">
        <v>1814.8781879395767</v>
      </c>
      <c r="AK420">
        <v>320</v>
      </c>
      <c r="AL420" s="7">
        <v>0.67322007421717034</v>
      </c>
    </row>
    <row r="421" spans="28:38" x14ac:dyDescent="0.3">
      <c r="AB421">
        <v>416</v>
      </c>
      <c r="AC421" s="7">
        <v>0.18732302503117318</v>
      </c>
      <c r="AD421">
        <v>0.38139365381471052</v>
      </c>
      <c r="AE421">
        <v>0.95214144251608257</v>
      </c>
      <c r="AF421" s="7">
        <v>4.9041681155290701E-2</v>
      </c>
      <c r="AG421" s="10">
        <v>131.12212199868782</v>
      </c>
      <c r="AH421" s="1">
        <v>0.11930237044418104</v>
      </c>
      <c r="AI421" s="10">
        <v>1.9777024795912994</v>
      </c>
      <c r="AJ421" s="32">
        <v>1814.7070599818358</v>
      </c>
      <c r="AK421">
        <v>320</v>
      </c>
      <c r="AL421" s="7">
        <v>7.8615012871097401E-2</v>
      </c>
    </row>
    <row r="422" spans="28:38" x14ac:dyDescent="0.3">
      <c r="AB422">
        <v>417</v>
      </c>
      <c r="AC422" s="7">
        <v>0.39710827812076893</v>
      </c>
      <c r="AD422">
        <v>0.70296812679166787</v>
      </c>
      <c r="AE422">
        <v>0.95154412694814261</v>
      </c>
      <c r="AF422" s="7">
        <v>4.966921712774653E-2</v>
      </c>
      <c r="AG422" s="10">
        <v>123.06602540499661</v>
      </c>
      <c r="AH422" s="1">
        <v>0.32761033545587898</v>
      </c>
      <c r="AI422" s="10">
        <v>12.409157303488669</v>
      </c>
      <c r="AJ422" s="32">
        <v>1808.8532596174105</v>
      </c>
      <c r="AK422">
        <v>320</v>
      </c>
      <c r="AL422" s="7">
        <v>0.19692286960483307</v>
      </c>
    </row>
    <row r="423" spans="28:38" x14ac:dyDescent="0.3">
      <c r="AB423">
        <v>418</v>
      </c>
      <c r="AC423" s="7">
        <v>0.62144015847545697</v>
      </c>
      <c r="AD423">
        <v>1.3982864243529478</v>
      </c>
      <c r="AE423">
        <v>0.95404424054554737</v>
      </c>
      <c r="AF423" s="7">
        <v>4.7045234871608006E-2</v>
      </c>
      <c r="AG423" s="10">
        <v>123.13045083871249</v>
      </c>
      <c r="AH423" s="1">
        <v>0.91490709659842862</v>
      </c>
      <c r="AI423" s="10">
        <v>82.632617563598842</v>
      </c>
      <c r="AJ423" s="32">
        <v>1785.5520322001521</v>
      </c>
      <c r="AK423">
        <v>320</v>
      </c>
      <c r="AL423" s="7">
        <v>0.50816033875760747</v>
      </c>
    </row>
    <row r="424" spans="28:38" x14ac:dyDescent="0.3">
      <c r="AB424">
        <v>419</v>
      </c>
      <c r="AC424" s="7">
        <v>0.2279420154474944</v>
      </c>
      <c r="AD424">
        <v>0.48880893981664286</v>
      </c>
      <c r="AE424">
        <v>0.94334892781937607</v>
      </c>
      <c r="AF424" s="7">
        <v>5.8319045892314042E-2</v>
      </c>
      <c r="AG424" s="10">
        <v>118.01921834317689</v>
      </c>
      <c r="AH424" s="1">
        <v>0.1680711670911825</v>
      </c>
      <c r="AI424" s="10">
        <v>2.8231679374350085</v>
      </c>
      <c r="AJ424" s="32">
        <v>1806.7635694305268</v>
      </c>
      <c r="AK424">
        <v>320</v>
      </c>
      <c r="AL424" s="7">
        <v>9.392763067641173E-2</v>
      </c>
    </row>
    <row r="425" spans="28:38" x14ac:dyDescent="0.3">
      <c r="AB425">
        <v>420</v>
      </c>
      <c r="AC425" s="7">
        <v>0.63116626248480989</v>
      </c>
      <c r="AD425">
        <v>1.4189945155889288</v>
      </c>
      <c r="AE425">
        <v>0.95459772346435823</v>
      </c>
      <c r="AF425" s="7">
        <v>4.6465259219010804E-2</v>
      </c>
      <c r="AG425" s="10">
        <v>121.85899967564379</v>
      </c>
      <c r="AH425" s="1">
        <v>0.94102374142634926</v>
      </c>
      <c r="AI425" s="10">
        <v>85.261502392361848</v>
      </c>
      <c r="AJ425" s="32">
        <v>1767.9060238728773</v>
      </c>
      <c r="AK425">
        <v>320</v>
      </c>
      <c r="AL425" s="7">
        <v>0.51618038995697113</v>
      </c>
    </row>
    <row r="426" spans="28:38" x14ac:dyDescent="0.3">
      <c r="AB426">
        <v>421</v>
      </c>
      <c r="AC426" s="7">
        <v>0.73219884882521113</v>
      </c>
      <c r="AD426">
        <v>1.9772589868371957</v>
      </c>
      <c r="AE426">
        <v>0.95529321964707015</v>
      </c>
      <c r="AF426" s="7">
        <v>4.57369493477447E-2</v>
      </c>
      <c r="AG426" s="10">
        <v>120.43601514673436</v>
      </c>
      <c r="AH426" s="1">
        <v>1.4924535343444276</v>
      </c>
      <c r="AI426" s="10">
        <v>227.75256343757286</v>
      </c>
      <c r="AJ426" s="32">
        <v>1798.1942689414041</v>
      </c>
      <c r="AK426">
        <v>320</v>
      </c>
      <c r="AL426" s="7">
        <v>0.84363899906441919</v>
      </c>
    </row>
    <row r="427" spans="28:38" x14ac:dyDescent="0.3">
      <c r="AB427">
        <v>422</v>
      </c>
      <c r="AC427" s="7">
        <v>0.50871712927559098</v>
      </c>
      <c r="AD427">
        <v>0.9615228816345941</v>
      </c>
      <c r="AE427">
        <v>0.95345852161581035</v>
      </c>
      <c r="AF427" s="7">
        <v>4.7659356077368945E-2</v>
      </c>
      <c r="AG427" s="10">
        <v>121.83557322653675</v>
      </c>
      <c r="AH427" s="1">
        <v>0.53568463846213421</v>
      </c>
      <c r="AI427" s="10">
        <v>30.273966166872668</v>
      </c>
      <c r="AJ427" s="32">
        <v>1780.434875038248</v>
      </c>
      <c r="AK427">
        <v>320</v>
      </c>
      <c r="AL427" s="7">
        <v>0.30758111819726042</v>
      </c>
    </row>
    <row r="428" spans="28:38" x14ac:dyDescent="0.3">
      <c r="AB428">
        <v>423</v>
      </c>
      <c r="AC428" s="7">
        <v>0.36003501547671285</v>
      </c>
      <c r="AD428">
        <v>0.67417131583813372</v>
      </c>
      <c r="AE428">
        <v>0.94800226861249481</v>
      </c>
      <c r="AF428" s="7">
        <v>5.339838367882372E-2</v>
      </c>
      <c r="AG428" s="10">
        <v>123.78174370940562</v>
      </c>
      <c r="AH428" s="1">
        <v>0.29472301151924352</v>
      </c>
      <c r="AI428" s="10">
        <v>7.4892703129938143</v>
      </c>
      <c r="AJ428" s="32">
        <v>1751.7018229072598</v>
      </c>
      <c r="AK428">
        <v>320</v>
      </c>
      <c r="AL428" s="7">
        <v>0.152983560319747</v>
      </c>
    </row>
    <row r="429" spans="28:38" x14ac:dyDescent="0.3">
      <c r="AB429">
        <v>424</v>
      </c>
      <c r="AC429" s="7">
        <v>0.6017184001786321</v>
      </c>
      <c r="AD429">
        <v>1.3378092178859318</v>
      </c>
      <c r="AE429">
        <v>0.95303849409906238</v>
      </c>
      <c r="AF429" s="7">
        <v>4.809998359483323E-2</v>
      </c>
      <c r="AG429" s="10">
        <v>123.53569617218318</v>
      </c>
      <c r="AH429" s="1">
        <v>0.85194592823148751</v>
      </c>
      <c r="AI429" s="10">
        <v>65.067366463160113</v>
      </c>
      <c r="AJ429" s="32">
        <v>1764.4275611669293</v>
      </c>
      <c r="AK429">
        <v>320</v>
      </c>
      <c r="AL429" s="7">
        <v>0.4509274001403944</v>
      </c>
    </row>
    <row r="430" spans="28:38" x14ac:dyDescent="0.3">
      <c r="AB430">
        <v>425</v>
      </c>
      <c r="AC430" s="7">
        <v>1.3900247046073331</v>
      </c>
      <c r="AD430">
        <v>16.471396604787476</v>
      </c>
      <c r="AE430">
        <v>0.97877893254449722</v>
      </c>
      <c r="AF430" s="7">
        <v>2.144947140445766E-2</v>
      </c>
      <c r="AG430" s="10">
        <v>152.14398383907078</v>
      </c>
      <c r="AH430" s="1">
        <v>22.916869267495443</v>
      </c>
      <c r="AI430" s="10">
        <v>79294.938684338005</v>
      </c>
      <c r="AJ430" s="32">
        <v>1835.4891117460249</v>
      </c>
      <c r="AK430">
        <v>320</v>
      </c>
      <c r="AL430" s="7">
        <v>15.741559115556383</v>
      </c>
    </row>
    <row r="431" spans="28:38" x14ac:dyDescent="0.3">
      <c r="AB431">
        <v>426</v>
      </c>
      <c r="AC431" s="7">
        <v>0.44807821233820738</v>
      </c>
      <c r="AD431">
        <v>0.9276316434361046</v>
      </c>
      <c r="AE431">
        <v>0.94438828061973101</v>
      </c>
      <c r="AF431" s="7">
        <v>5.7217883187323536E-2</v>
      </c>
      <c r="AG431" s="10">
        <v>117.83764077106298</v>
      </c>
      <c r="AH431" s="1">
        <v>0.47126324787947216</v>
      </c>
      <c r="AI431" s="10">
        <v>17.875014273988764</v>
      </c>
      <c r="AJ431" s="32">
        <v>1778.5994287548006</v>
      </c>
      <c r="AK431">
        <v>320</v>
      </c>
      <c r="AL431" s="7">
        <v>0.23634597438123395</v>
      </c>
    </row>
    <row r="432" spans="28:38" x14ac:dyDescent="0.3">
      <c r="AB432">
        <v>427</v>
      </c>
      <c r="AC432" s="7">
        <v>0.39983211741525188</v>
      </c>
      <c r="AD432">
        <v>0.87452630703076806</v>
      </c>
      <c r="AE432">
        <v>0.93741716586286838</v>
      </c>
      <c r="AF432" s="7">
        <v>6.4626881454169366E-2</v>
      </c>
      <c r="AG432" s="10">
        <v>111.58707043574405</v>
      </c>
      <c r="AH432" s="1">
        <v>0.41224653921258431</v>
      </c>
      <c r="AI432" s="10">
        <v>12.110315872483064</v>
      </c>
      <c r="AJ432" s="32">
        <v>1784.5761850918338</v>
      </c>
      <c r="AK432">
        <v>320</v>
      </c>
      <c r="AL432" s="7">
        <v>0.19453723834142803</v>
      </c>
    </row>
    <row r="433" spans="28:38" x14ac:dyDescent="0.3">
      <c r="AB433">
        <v>428</v>
      </c>
      <c r="AC433" s="7">
        <v>0.33319028209804058</v>
      </c>
      <c r="AD433">
        <v>0.5935954997367151</v>
      </c>
      <c r="AE433">
        <v>0.95032259475985503</v>
      </c>
      <c r="AF433" s="7">
        <v>5.095377859813309E-2</v>
      </c>
      <c r="AG433" s="10">
        <v>123.85802950573826</v>
      </c>
      <c r="AH433" s="1">
        <v>0.24745765724954844</v>
      </c>
      <c r="AI433" s="10">
        <v>7.1766335949640458</v>
      </c>
      <c r="AJ433" s="32">
        <v>1813.6101646629947</v>
      </c>
      <c r="AK433">
        <v>320</v>
      </c>
      <c r="AL433" s="7">
        <v>0.1497564021478302</v>
      </c>
    </row>
    <row r="434" spans="28:38" x14ac:dyDescent="0.3">
      <c r="AB434">
        <v>429</v>
      </c>
      <c r="AC434" s="7">
        <v>0.35405780869100234</v>
      </c>
      <c r="AD434">
        <v>0.67986412440773869</v>
      </c>
      <c r="AE434">
        <v>0.94613449729494026</v>
      </c>
      <c r="AF434" s="7">
        <v>5.5370545305747081E-2</v>
      </c>
      <c r="AG434" s="10">
        <v>121.36351521515535</v>
      </c>
      <c r="AH434" s="1">
        <v>0.2945767048004907</v>
      </c>
      <c r="AI434" s="10">
        <v>8.1545069569427131</v>
      </c>
      <c r="AJ434" s="32">
        <v>1794.0641981910649</v>
      </c>
      <c r="AK434">
        <v>320</v>
      </c>
      <c r="AL434" s="7">
        <v>0.15963343710027036</v>
      </c>
    </row>
    <row r="435" spans="28:38" x14ac:dyDescent="0.3">
      <c r="AB435">
        <v>430</v>
      </c>
      <c r="AC435" s="7">
        <v>0.88824633542248965</v>
      </c>
      <c r="AD435">
        <v>4.0180299451797712</v>
      </c>
      <c r="AE435">
        <v>0.94665759642110825</v>
      </c>
      <c r="AF435" s="7">
        <v>5.4817817786203628E-2</v>
      </c>
      <c r="AG435" s="10">
        <v>115.45092982474677</v>
      </c>
      <c r="AH435" s="1">
        <v>3.6223427780026505</v>
      </c>
      <c r="AI435" s="10">
        <v>820.29979070206889</v>
      </c>
      <c r="AJ435" s="32">
        <v>1764.1454485483475</v>
      </c>
      <c r="AK435">
        <v>320</v>
      </c>
      <c r="AL435" s="7">
        <v>1.6010736541283681</v>
      </c>
    </row>
    <row r="436" spans="28:38" x14ac:dyDescent="0.3">
      <c r="AB436">
        <v>431</v>
      </c>
      <c r="AC436" s="7">
        <v>0.37481972424040982</v>
      </c>
      <c r="AD436">
        <v>0.64039228338192788</v>
      </c>
      <c r="AE436">
        <v>0.95257373249333999</v>
      </c>
      <c r="AF436" s="7">
        <v>4.8587765535410499E-2</v>
      </c>
      <c r="AG436" s="10">
        <v>122.4102918800108</v>
      </c>
      <c r="AH436" s="1">
        <v>0.2874579265695606</v>
      </c>
      <c r="AI436" s="10">
        <v>8.2234534970482329</v>
      </c>
      <c r="AJ436" s="32">
        <v>1739.4437344808296</v>
      </c>
      <c r="AK436">
        <v>320</v>
      </c>
      <c r="AL436" s="7">
        <v>0.16030686878070985</v>
      </c>
    </row>
    <row r="437" spans="28:38" x14ac:dyDescent="0.3">
      <c r="AB437">
        <v>432</v>
      </c>
      <c r="AC437" s="7">
        <v>0.70997211187172604</v>
      </c>
      <c r="AD437">
        <v>1.9367362324592652</v>
      </c>
      <c r="AE437">
        <v>0.95206989020535782</v>
      </c>
      <c r="AF437" s="7">
        <v>4.9116832804195307E-2</v>
      </c>
      <c r="AG437" s="10">
        <v>118.61601077068276</v>
      </c>
      <c r="AH437" s="1">
        <v>1.422958822892237</v>
      </c>
      <c r="AI437" s="10">
        <v>163.28566385858724</v>
      </c>
      <c r="AJ437" s="32">
        <v>1752.5591329472004</v>
      </c>
      <c r="AK437">
        <v>320</v>
      </c>
      <c r="AL437" s="7">
        <v>0.7143302454453998</v>
      </c>
    </row>
    <row r="438" spans="28:38" x14ac:dyDescent="0.3">
      <c r="AB438">
        <v>433</v>
      </c>
      <c r="AC438" s="7">
        <v>0.37207337591162426</v>
      </c>
      <c r="AD438">
        <v>0.79708283615827968</v>
      </c>
      <c r="AE438">
        <v>0.93748826284923481</v>
      </c>
      <c r="AF438" s="7">
        <v>6.4551040843425236E-2</v>
      </c>
      <c r="AG438" s="10">
        <v>109.78772991733436</v>
      </c>
      <c r="AH438" s="1">
        <v>0.35908503888138837</v>
      </c>
      <c r="AI438" s="10">
        <v>9.0971736130954</v>
      </c>
      <c r="AJ438" s="32">
        <v>1769.5976692805771</v>
      </c>
      <c r="AK438">
        <v>320</v>
      </c>
      <c r="AL438" s="7">
        <v>0.16860802928960153</v>
      </c>
    </row>
    <row r="439" spans="28:38" x14ac:dyDescent="0.3">
      <c r="AB439">
        <v>434</v>
      </c>
      <c r="AC439" s="7">
        <v>0.37432235081879994</v>
      </c>
      <c r="AD439">
        <v>0.74081297801252666</v>
      </c>
      <c r="AE439">
        <v>0.94362124416218129</v>
      </c>
      <c r="AF439" s="7">
        <v>5.803041775315302E-2</v>
      </c>
      <c r="AG439" s="10">
        <v>115.6039539064038</v>
      </c>
      <c r="AH439" s="1">
        <v>0.33368161128454366</v>
      </c>
      <c r="AI439" s="10">
        <v>10.696874279127785</v>
      </c>
      <c r="AJ439" s="32">
        <v>1820.1735668003621</v>
      </c>
      <c r="AK439">
        <v>320</v>
      </c>
      <c r="AL439" s="7">
        <v>0.18283252479324988</v>
      </c>
    </row>
    <row r="440" spans="28:38" x14ac:dyDescent="0.3">
      <c r="AB440">
        <v>435</v>
      </c>
      <c r="AC440" s="7">
        <v>0.4036445132723967</v>
      </c>
      <c r="AD440">
        <v>0.71909101447667823</v>
      </c>
      <c r="AE440">
        <v>0.95110667910215141</v>
      </c>
      <c r="AF440" s="7">
        <v>5.0129047015930017E-2</v>
      </c>
      <c r="AG440" s="10">
        <v>121.30269868136912</v>
      </c>
      <c r="AH440" s="1">
        <v>0.33915046343484134</v>
      </c>
      <c r="AI440" s="10">
        <v>11.770830247803666</v>
      </c>
      <c r="AJ440" s="32">
        <v>1772.5140246381077</v>
      </c>
      <c r="AK440">
        <v>320</v>
      </c>
      <c r="AL440" s="7">
        <v>0.19179114819090701</v>
      </c>
    </row>
    <row r="441" spans="28:38" x14ac:dyDescent="0.3">
      <c r="AB441">
        <v>436</v>
      </c>
      <c r="AC441" s="7">
        <v>0.42493741452199851</v>
      </c>
      <c r="AD441">
        <v>0.70063495695133537</v>
      </c>
      <c r="AE441">
        <v>0.95759523724754592</v>
      </c>
      <c r="AF441" s="7">
        <v>4.3330098385301621E-2</v>
      </c>
      <c r="AG441" s="10">
        <v>134.25064436384181</v>
      </c>
      <c r="AH441" s="1">
        <v>0.34013076988308627</v>
      </c>
      <c r="AI441" s="10">
        <v>13.91588115869054</v>
      </c>
      <c r="AJ441" s="32">
        <v>1772.7216320068624</v>
      </c>
      <c r="AK441">
        <v>320</v>
      </c>
      <c r="AL441" s="7">
        <v>0.20853567709365209</v>
      </c>
    </row>
    <row r="442" spans="28:38" x14ac:dyDescent="0.3">
      <c r="AB442">
        <v>437</v>
      </c>
      <c r="AC442" s="7">
        <v>0.41112390963700141</v>
      </c>
      <c r="AD442">
        <v>0.80950713596148649</v>
      </c>
      <c r="AE442">
        <v>0.94556018338554104</v>
      </c>
      <c r="AF442" s="7">
        <v>5.5977740465631698E-2</v>
      </c>
      <c r="AG442" s="10">
        <v>118.17976490170052</v>
      </c>
      <c r="AH442" s="1">
        <v>0.38724755522999693</v>
      </c>
      <c r="AI442" s="10">
        <v>13.117505425764502</v>
      </c>
      <c r="AJ442" s="32">
        <v>1783.7856165752532</v>
      </c>
      <c r="AK442">
        <v>320</v>
      </c>
      <c r="AL442" s="7">
        <v>0.20246531667303927</v>
      </c>
    </row>
    <row r="443" spans="28:38" x14ac:dyDescent="0.3">
      <c r="AB443">
        <v>438</v>
      </c>
      <c r="AC443" s="7">
        <v>0.38678213621880841</v>
      </c>
      <c r="AD443">
        <v>0.82173839090530976</v>
      </c>
      <c r="AE443">
        <v>0.93909310415069991</v>
      </c>
      <c r="AF443" s="7">
        <v>6.284065223899378E-2</v>
      </c>
      <c r="AG443" s="10">
        <v>112.71872780175791</v>
      </c>
      <c r="AH443" s="1">
        <v>0.37874062609666204</v>
      </c>
      <c r="AI443" s="10">
        <v>9.7239983381631827</v>
      </c>
      <c r="AJ443" s="32">
        <v>1751.9185267972448</v>
      </c>
      <c r="AK443">
        <v>320</v>
      </c>
      <c r="AL443" s="7">
        <v>0.17432009295190254</v>
      </c>
    </row>
    <row r="444" spans="28:38" x14ac:dyDescent="0.3">
      <c r="AB444">
        <v>439</v>
      </c>
      <c r="AC444" s="7">
        <v>0.10899918774524542</v>
      </c>
      <c r="AD444">
        <v>0.39616431161034193</v>
      </c>
      <c r="AE444">
        <v>0.93636069095839947</v>
      </c>
      <c r="AF444" s="7">
        <v>6.575452314613614E-2</v>
      </c>
      <c r="AG444" s="10">
        <v>115.77115988980177</v>
      </c>
      <c r="AH444" s="1">
        <v>0.10682089722078211</v>
      </c>
      <c r="AI444" s="10">
        <v>0.88643216155817006</v>
      </c>
      <c r="AJ444" s="32">
        <v>1768.3079936569377</v>
      </c>
      <c r="AK444">
        <v>320</v>
      </c>
      <c r="AL444" s="7">
        <v>5.2631744269682736E-2</v>
      </c>
    </row>
    <row r="445" spans="28:38" x14ac:dyDescent="0.3">
      <c r="AB445">
        <v>440</v>
      </c>
      <c r="AC445" s="7">
        <v>0.75261373188594305</v>
      </c>
      <c r="AD445">
        <v>2.2717174175824795</v>
      </c>
      <c r="AE445">
        <v>0.95362281869431509</v>
      </c>
      <c r="AF445" s="7">
        <v>4.748705395743473E-2</v>
      </c>
      <c r="AG445" s="10">
        <v>125.03149383499867</v>
      </c>
      <c r="AH445" s="1">
        <v>1.7561029047427321</v>
      </c>
      <c r="AI445" s="10">
        <v>272.11221965806226</v>
      </c>
      <c r="AJ445" s="32">
        <v>1798.1661658300088</v>
      </c>
      <c r="AK445">
        <v>320</v>
      </c>
      <c r="AL445" s="7">
        <v>0.92214461253723345</v>
      </c>
    </row>
    <row r="446" spans="28:38" x14ac:dyDescent="0.3">
      <c r="AB446">
        <v>441</v>
      </c>
      <c r="AC446" s="7">
        <v>0.70089902076922761</v>
      </c>
      <c r="AD446">
        <v>1.702024492971665</v>
      </c>
      <c r="AE446">
        <v>0.95976559024887809</v>
      </c>
      <c r="AF446" s="7">
        <v>4.1066201160354851E-2</v>
      </c>
      <c r="AG446" s="10">
        <v>132.05258928324898</v>
      </c>
      <c r="AH446" s="1">
        <v>1.2331817102002032</v>
      </c>
      <c r="AI446" s="10">
        <v>166.79069317199696</v>
      </c>
      <c r="AJ446" s="32">
        <v>1790.8942235915642</v>
      </c>
      <c r="AK446">
        <v>320</v>
      </c>
      <c r="AL446" s="7">
        <v>0.72195631181013342</v>
      </c>
    </row>
    <row r="447" spans="28:38" x14ac:dyDescent="0.3">
      <c r="AB447">
        <v>442</v>
      </c>
      <c r="AC447" s="7">
        <v>0.2153981477490601</v>
      </c>
      <c r="AD447">
        <v>0.44364399129994647</v>
      </c>
      <c r="AE447">
        <v>0.94696235597174638</v>
      </c>
      <c r="AF447" s="7">
        <v>5.4495937407953186E-2</v>
      </c>
      <c r="AG447" s="10">
        <v>119.45756502217027</v>
      </c>
      <c r="AH447" s="1">
        <v>0.14859773801426224</v>
      </c>
      <c r="AI447" s="10">
        <v>2.3707977550653814</v>
      </c>
      <c r="AJ447" s="32">
        <v>1787.1330472840643</v>
      </c>
      <c r="AK447">
        <v>320</v>
      </c>
      <c r="AL447" s="7">
        <v>8.6074055234892449E-2</v>
      </c>
    </row>
    <row r="448" spans="28:38" x14ac:dyDescent="0.3">
      <c r="AB448">
        <v>443</v>
      </c>
      <c r="AC448" s="7">
        <v>0.33615051837443211</v>
      </c>
      <c r="AD448">
        <v>0.64488400629488329</v>
      </c>
      <c r="AE448">
        <v>0.94597435914709704</v>
      </c>
      <c r="AF448" s="7">
        <v>5.5539814793261345E-2</v>
      </c>
      <c r="AG448" s="10">
        <v>120.93813432654453</v>
      </c>
      <c r="AH448" s="1">
        <v>0.27080373386030854</v>
      </c>
      <c r="AI448" s="10">
        <v>7.16885426538804</v>
      </c>
      <c r="AJ448" s="32">
        <v>1803.0021041425894</v>
      </c>
      <c r="AK448">
        <v>320</v>
      </c>
      <c r="AL448" s="7">
        <v>0.14967521364386832</v>
      </c>
    </row>
    <row r="449" spans="28:38" x14ac:dyDescent="0.3">
      <c r="AB449">
        <v>444</v>
      </c>
      <c r="AC449" s="7">
        <v>1.3411993613020845</v>
      </c>
      <c r="AD449">
        <v>17.69126444903911</v>
      </c>
      <c r="AE449">
        <v>0.96491218402462209</v>
      </c>
      <c r="AF449" s="7">
        <v>3.5718182794748636E-2</v>
      </c>
      <c r="AG449" s="10">
        <v>129.00355610803325</v>
      </c>
      <c r="AH449" s="1">
        <v>23.762600395652907</v>
      </c>
      <c r="AI449" s="10">
        <v>49176.851997844024</v>
      </c>
      <c r="AJ449" s="32">
        <v>1809.5787722081654</v>
      </c>
      <c r="AK449">
        <v>320</v>
      </c>
      <c r="AL449" s="7">
        <v>12.396679494657533</v>
      </c>
    </row>
    <row r="450" spans="28:38" x14ac:dyDescent="0.3">
      <c r="AB450">
        <v>445</v>
      </c>
      <c r="AC450" s="7">
        <v>1.033886458368662</v>
      </c>
      <c r="AD450">
        <v>6.2993570924461908</v>
      </c>
      <c r="AE450">
        <v>0.95308486100311229</v>
      </c>
      <c r="AF450" s="7">
        <v>4.8051333119054795E-2</v>
      </c>
      <c r="AG450" s="10">
        <v>118.91877038131157</v>
      </c>
      <c r="AH450" s="1">
        <v>6.5597351333055922</v>
      </c>
      <c r="AI450" s="10">
        <v>3004.0842947257315</v>
      </c>
      <c r="AJ450" s="32">
        <v>1773.2356180502218</v>
      </c>
      <c r="AK450">
        <v>320</v>
      </c>
      <c r="AL450" s="7">
        <v>3.0639457274922335</v>
      </c>
    </row>
    <row r="451" spans="28:38" x14ac:dyDescent="0.3">
      <c r="AB451">
        <v>446</v>
      </c>
      <c r="AC451" s="7">
        <v>0.40695204629078624</v>
      </c>
      <c r="AD451">
        <v>0.78913619363722909</v>
      </c>
      <c r="AE451">
        <v>0.94627002190919196</v>
      </c>
      <c r="AF451" s="7">
        <v>5.5227315237219882E-2</v>
      </c>
      <c r="AG451" s="10">
        <v>118.33969661310354</v>
      </c>
      <c r="AH451" s="1">
        <v>0.37487056689360054</v>
      </c>
      <c r="AI451" s="10">
        <v>12.754850299146286</v>
      </c>
      <c r="AJ451" s="32">
        <v>1786.7477279609782</v>
      </c>
      <c r="AK451">
        <v>320</v>
      </c>
      <c r="AL451" s="7">
        <v>0.1996469563625555</v>
      </c>
    </row>
    <row r="452" spans="28:38" x14ac:dyDescent="0.3">
      <c r="AB452">
        <v>447</v>
      </c>
      <c r="AC452" s="7">
        <v>0.74088299803008584</v>
      </c>
      <c r="AD452">
        <v>2.1847536847290883</v>
      </c>
      <c r="AE452">
        <v>0.95459819734411888</v>
      </c>
      <c r="AF452" s="7">
        <v>4.6464762800853307E-2</v>
      </c>
      <c r="AG452" s="10">
        <v>129.15761440193907</v>
      </c>
      <c r="AH452" s="1">
        <v>1.6640486625552451</v>
      </c>
      <c r="AI452" s="10">
        <v>232.52013573921835</v>
      </c>
      <c r="AJ452" s="32">
        <v>1782.2177851877013</v>
      </c>
      <c r="AK452">
        <v>320</v>
      </c>
      <c r="AL452" s="7">
        <v>0.85242326586330186</v>
      </c>
    </row>
    <row r="453" spans="28:38" x14ac:dyDescent="0.3">
      <c r="AB453">
        <v>448</v>
      </c>
      <c r="AC453" s="7">
        <v>0.29777668660737627</v>
      </c>
      <c r="AD453">
        <v>0.58735132126250889</v>
      </c>
      <c r="AE453">
        <v>0.94448081131534212</v>
      </c>
      <c r="AF453" s="7">
        <v>5.7119908482691863E-2</v>
      </c>
      <c r="AG453" s="10">
        <v>119.02314451600029</v>
      </c>
      <c r="AH453" s="1">
        <v>0.23041871900467237</v>
      </c>
      <c r="AI453" s="10">
        <v>5.2292441659654347</v>
      </c>
      <c r="AJ453" s="32">
        <v>1808.3606913054882</v>
      </c>
      <c r="AK453">
        <v>320</v>
      </c>
      <c r="AL453" s="7">
        <v>0.12783343857786969</v>
      </c>
    </row>
    <row r="454" spans="28:38" x14ac:dyDescent="0.3">
      <c r="AB454">
        <v>449</v>
      </c>
      <c r="AC454" s="7">
        <v>0.32183988145359071</v>
      </c>
      <c r="AD454">
        <v>0.71644095242838768</v>
      </c>
      <c r="AE454">
        <v>0.93548850284920904</v>
      </c>
      <c r="AF454" s="7">
        <v>6.6686423189361688E-2</v>
      </c>
      <c r="AG454" s="10">
        <v>112.64160022437174</v>
      </c>
      <c r="AH454" s="1">
        <v>0.29509076834884085</v>
      </c>
      <c r="AI454" s="10">
        <v>6.3937129703768925</v>
      </c>
      <c r="AJ454" s="32">
        <v>1799.5416154402023</v>
      </c>
      <c r="AK454">
        <v>320</v>
      </c>
      <c r="AL454" s="7">
        <v>0.14135187664982657</v>
      </c>
    </row>
    <row r="455" spans="28:38" x14ac:dyDescent="0.3">
      <c r="AB455">
        <v>450</v>
      </c>
      <c r="AC455" s="7">
        <v>0.6848404911592938</v>
      </c>
      <c r="AD455">
        <v>1.8683329628501668</v>
      </c>
      <c r="AE455">
        <v>0.94915453164028207</v>
      </c>
      <c r="AF455" s="7">
        <v>5.218365733746929E-2</v>
      </c>
      <c r="AG455" s="10">
        <v>117.52754629529507</v>
      </c>
      <c r="AH455" s="1">
        <v>1.3303555322871248</v>
      </c>
      <c r="AI455" s="10">
        <v>146.35607086109599</v>
      </c>
      <c r="AJ455" s="32">
        <v>1786.7153045079485</v>
      </c>
      <c r="AK455">
        <v>320</v>
      </c>
      <c r="AL455" s="7">
        <v>0.67628597607885155</v>
      </c>
    </row>
    <row r="456" spans="28:38" x14ac:dyDescent="0.3">
      <c r="AB456">
        <v>451</v>
      </c>
      <c r="AC456" s="7">
        <v>0.55037376597390164</v>
      </c>
      <c r="AD456">
        <v>1.0588275350046867</v>
      </c>
      <c r="AE456">
        <v>0.9552790682946054</v>
      </c>
      <c r="AF456" s="7">
        <v>4.5751763079268301E-2</v>
      </c>
      <c r="AG456" s="10">
        <v>121.39192583110199</v>
      </c>
      <c r="AH456" s="1">
        <v>0.62747182966278725</v>
      </c>
      <c r="AI456" s="10">
        <v>43.672956924222397</v>
      </c>
      <c r="AJ456" s="32">
        <v>1780.755713457477</v>
      </c>
      <c r="AK456">
        <v>320</v>
      </c>
      <c r="AL456" s="7">
        <v>0.36942927657157193</v>
      </c>
    </row>
    <row r="457" spans="28:38" x14ac:dyDescent="0.3">
      <c r="AB457">
        <v>452</v>
      </c>
      <c r="AC457" s="7">
        <v>0.33981960342943024</v>
      </c>
      <c r="AD457">
        <v>0.60737829990668957</v>
      </c>
      <c r="AE457">
        <v>0.94944328818823498</v>
      </c>
      <c r="AF457" s="7">
        <v>5.1879478593383918E-2</v>
      </c>
      <c r="AG457" s="10">
        <v>119.62087783729061</v>
      </c>
      <c r="AH457" s="1">
        <v>0.25695576481769777</v>
      </c>
      <c r="AI457" s="10">
        <v>6.8326294524920224</v>
      </c>
      <c r="AJ457" s="32">
        <v>1776.71723285848</v>
      </c>
      <c r="AK457">
        <v>320</v>
      </c>
      <c r="AL457" s="7">
        <v>0.14612312287601018</v>
      </c>
    </row>
    <row r="458" spans="28:38" x14ac:dyDescent="0.3">
      <c r="AB458">
        <v>453</v>
      </c>
      <c r="AC458" s="7">
        <v>0.49000059917885513</v>
      </c>
      <c r="AD458">
        <v>0.9986936485283654</v>
      </c>
      <c r="AE458">
        <v>0.94834715648540346</v>
      </c>
      <c r="AF458" s="7">
        <v>5.3034644937274653E-2</v>
      </c>
      <c r="AG458" s="10">
        <v>120.74306923419977</v>
      </c>
      <c r="AH458" s="1">
        <v>0.54101332968961247</v>
      </c>
      <c r="AI458" s="10">
        <v>24.968044356187288</v>
      </c>
      <c r="AJ458" s="32">
        <v>1769.8688311820176</v>
      </c>
      <c r="AK458">
        <v>320</v>
      </c>
      <c r="AL458" s="7">
        <v>0.27932980258662926</v>
      </c>
    </row>
    <row r="459" spans="28:38" x14ac:dyDescent="0.3">
      <c r="AB459">
        <v>454</v>
      </c>
      <c r="AC459" s="7">
        <v>0.68575351452706212</v>
      </c>
      <c r="AD459">
        <v>1.7329133203333249</v>
      </c>
      <c r="AE459">
        <v>0.95436559919126018</v>
      </c>
      <c r="AF459" s="7">
        <v>4.670845328302161E-2</v>
      </c>
      <c r="AG459" s="10">
        <v>122.52926842905222</v>
      </c>
      <c r="AH459" s="1">
        <v>1.2339858005980782</v>
      </c>
      <c r="AI459" s="10">
        <v>198.97846432334089</v>
      </c>
      <c r="AJ459" s="32">
        <v>1885.7044170315758</v>
      </c>
      <c r="AK459">
        <v>320</v>
      </c>
      <c r="AL459" s="7">
        <v>0.78854784319687299</v>
      </c>
    </row>
    <row r="460" spans="28:38" x14ac:dyDescent="0.3">
      <c r="AB460">
        <v>455</v>
      </c>
      <c r="AC460" s="7">
        <v>0.43064783341286783</v>
      </c>
      <c r="AD460">
        <v>0.74808469778635733</v>
      </c>
      <c r="AE460">
        <v>0.95401430261756048</v>
      </c>
      <c r="AF460" s="7">
        <v>4.7076615384639559E-2</v>
      </c>
      <c r="AG460" s="10">
        <v>125.24649054626352</v>
      </c>
      <c r="AH460" s="1">
        <v>0.36814675169345429</v>
      </c>
      <c r="AI460" s="10">
        <v>17.825652264473103</v>
      </c>
      <c r="AJ460" s="32">
        <v>1831.7992927455971</v>
      </c>
      <c r="AK460">
        <v>320</v>
      </c>
      <c r="AL460" s="7">
        <v>0.23601941302884058</v>
      </c>
    </row>
    <row r="461" spans="28:38" x14ac:dyDescent="0.3">
      <c r="AB461">
        <v>456</v>
      </c>
      <c r="AC461" s="7">
        <v>0.38824871236462394</v>
      </c>
      <c r="AD461">
        <v>0.77027585538029397</v>
      </c>
      <c r="AE461">
        <v>0.94404944554170056</v>
      </c>
      <c r="AF461" s="7">
        <v>5.7576735456553847E-2</v>
      </c>
      <c r="AG461" s="10">
        <v>116.62912868350482</v>
      </c>
      <c r="AH461" s="1">
        <v>0.35500916347525785</v>
      </c>
      <c r="AI461" s="10">
        <v>10.78508851363503</v>
      </c>
      <c r="AJ461" s="32">
        <v>1784.3298050752815</v>
      </c>
      <c r="AK461">
        <v>320</v>
      </c>
      <c r="AL461" s="7">
        <v>0.18358486213495237</v>
      </c>
    </row>
    <row r="462" spans="28:38" x14ac:dyDescent="0.3">
      <c r="AB462">
        <v>457</v>
      </c>
      <c r="AC462" s="7">
        <v>0.98536187002394471</v>
      </c>
      <c r="AD462">
        <v>5.1529123117250215</v>
      </c>
      <c r="AE462">
        <v>0.95408704601951233</v>
      </c>
      <c r="AF462" s="7">
        <v>4.700036848922276E-2</v>
      </c>
      <c r="AG462" s="10">
        <v>119.68544838628823</v>
      </c>
      <c r="AH462" s="1">
        <v>5.1233962655312633</v>
      </c>
      <c r="AI462" s="10">
        <v>1825.1238517669588</v>
      </c>
      <c r="AJ462" s="32">
        <v>1751.1316539867705</v>
      </c>
      <c r="AK462">
        <v>320</v>
      </c>
      <c r="AL462" s="7">
        <v>2.3882026791651807</v>
      </c>
    </row>
    <row r="463" spans="28:38" x14ac:dyDescent="0.3">
      <c r="AB463">
        <v>458</v>
      </c>
      <c r="AC463" s="7">
        <v>0.58895060314455683</v>
      </c>
      <c r="AD463">
        <v>1.3122099966507468</v>
      </c>
      <c r="AE463">
        <v>0.95108463695316736</v>
      </c>
      <c r="AF463" s="7">
        <v>5.0152222549115333E-2</v>
      </c>
      <c r="AG463" s="10">
        <v>120.35486718898116</v>
      </c>
      <c r="AH463" s="1">
        <v>0.8217422320266069</v>
      </c>
      <c r="AI463" s="10">
        <v>57.854402978723108</v>
      </c>
      <c r="AJ463" s="32">
        <v>1761.0651205921856</v>
      </c>
      <c r="AK463">
        <v>320</v>
      </c>
      <c r="AL463" s="7">
        <v>0.42519996390934667</v>
      </c>
    </row>
    <row r="464" spans="28:38" x14ac:dyDescent="0.3">
      <c r="AB464">
        <v>459</v>
      </c>
      <c r="AC464" s="7">
        <v>0.61855543381118072</v>
      </c>
      <c r="AD464">
        <v>1.5175871269672776</v>
      </c>
      <c r="AE464">
        <v>0.94828235278977224</v>
      </c>
      <c r="AF464" s="7">
        <v>5.3102980577250228E-2</v>
      </c>
      <c r="AG464" s="10">
        <v>118.26864554050634</v>
      </c>
      <c r="AH464" s="1">
        <v>0.99042941087773551</v>
      </c>
      <c r="AI464" s="10">
        <v>74.331824686514636</v>
      </c>
      <c r="AJ464" s="32">
        <v>1756.2993029490112</v>
      </c>
      <c r="AK464">
        <v>320</v>
      </c>
      <c r="AL464" s="7">
        <v>0.48196156708326676</v>
      </c>
    </row>
    <row r="465" spans="28:38" x14ac:dyDescent="0.3">
      <c r="AB465">
        <v>460</v>
      </c>
      <c r="AC465" s="7">
        <v>0.1548585942724518</v>
      </c>
      <c r="AD465">
        <v>0.37296558202141805</v>
      </c>
      <c r="AE465">
        <v>0.94790393033082876</v>
      </c>
      <c r="AF465" s="7">
        <v>5.3502121175762182E-2</v>
      </c>
      <c r="AG465" s="10">
        <v>123.67335796870124</v>
      </c>
      <c r="AH465" s="1">
        <v>0.10985299541301485</v>
      </c>
      <c r="AI465" s="10">
        <v>1.3398730730494861</v>
      </c>
      <c r="AJ465" s="32">
        <v>1777.3763993916516</v>
      </c>
      <c r="AK465">
        <v>320</v>
      </c>
      <c r="AL465" s="7">
        <v>6.4707830695207552E-2</v>
      </c>
    </row>
    <row r="466" spans="28:38" x14ac:dyDescent="0.3">
      <c r="AB466">
        <v>461</v>
      </c>
      <c r="AC466" s="7">
        <v>0.76529397988311854</v>
      </c>
      <c r="AD466">
        <v>2.5440829007007113</v>
      </c>
      <c r="AE466">
        <v>0.94767184863852227</v>
      </c>
      <c r="AF466" s="7">
        <v>5.374698787646702E-2</v>
      </c>
      <c r="AG466" s="10">
        <v>116.77923248914755</v>
      </c>
      <c r="AH466" s="1">
        <v>1.9992994795913137</v>
      </c>
      <c r="AI466" s="10">
        <v>294.79909223185859</v>
      </c>
      <c r="AJ466" s="32">
        <v>1783.6257346854272</v>
      </c>
      <c r="AK466">
        <v>320</v>
      </c>
      <c r="AL466" s="7">
        <v>0.95981621325364064</v>
      </c>
    </row>
    <row r="467" spans="28:38" x14ac:dyDescent="0.3">
      <c r="AB467">
        <v>462</v>
      </c>
      <c r="AC467" s="7">
        <v>0.52003870101292871</v>
      </c>
      <c r="AD467">
        <v>1.0895838949714891</v>
      </c>
      <c r="AE467">
        <v>0.94929073091980842</v>
      </c>
      <c r="AF467" s="7">
        <v>5.2040172263186607E-2</v>
      </c>
      <c r="AG467" s="10">
        <v>122.24101681642162</v>
      </c>
      <c r="AH467" s="1">
        <v>0.61733506246577208</v>
      </c>
      <c r="AI467" s="10">
        <v>36.634695468149978</v>
      </c>
      <c r="AJ467" s="32">
        <v>1808.9836976685453</v>
      </c>
      <c r="AK467">
        <v>320</v>
      </c>
      <c r="AL467" s="7">
        <v>0.33835399116601045</v>
      </c>
    </row>
    <row r="468" spans="28:38" x14ac:dyDescent="0.3">
      <c r="AB468">
        <v>463</v>
      </c>
      <c r="AC468" s="7">
        <v>0.66020769428741455</v>
      </c>
      <c r="AD468">
        <v>1.5145436074127574</v>
      </c>
      <c r="AE468">
        <v>0.95801711557868185</v>
      </c>
      <c r="AF468" s="7">
        <v>4.288963522235098E-2</v>
      </c>
      <c r="AG468" s="10">
        <v>129.5973400599938</v>
      </c>
      <c r="AH468" s="1">
        <v>1.0418962273690378</v>
      </c>
      <c r="AI468" s="10">
        <v>113.51886228034357</v>
      </c>
      <c r="AJ468" s="32">
        <v>1781.0854242320561</v>
      </c>
      <c r="AK468">
        <v>320</v>
      </c>
      <c r="AL468" s="7">
        <v>0.59560594744014572</v>
      </c>
    </row>
    <row r="469" spans="28:38" x14ac:dyDescent="0.3">
      <c r="AB469">
        <v>464</v>
      </c>
      <c r="AC469" s="7">
        <v>0.41352483277950636</v>
      </c>
      <c r="AD469">
        <v>0.83303302089631437</v>
      </c>
      <c r="AE469">
        <v>0.9442194617247337</v>
      </c>
      <c r="AF469" s="7">
        <v>5.7396659215465176E-2</v>
      </c>
      <c r="AG469" s="10">
        <v>117.4004887612974</v>
      </c>
      <c r="AH469" s="1">
        <v>0.40026037894122174</v>
      </c>
      <c r="AI469" s="10">
        <v>13.911671882415101</v>
      </c>
      <c r="AJ469" s="32">
        <v>1795.3611109915444</v>
      </c>
      <c r="AK469">
        <v>320</v>
      </c>
      <c r="AL469" s="7">
        <v>0.20850413576844751</v>
      </c>
    </row>
    <row r="470" spans="28:38" x14ac:dyDescent="0.3">
      <c r="AB470">
        <v>465</v>
      </c>
      <c r="AC470" s="7">
        <v>0.42315501081370344</v>
      </c>
      <c r="AD470">
        <v>0.91801017251943307</v>
      </c>
      <c r="AE470">
        <v>0.93899371642783958</v>
      </c>
      <c r="AF470" s="7">
        <v>6.2946491566403029E-2</v>
      </c>
      <c r="AG470" s="10">
        <v>112.11357231922226</v>
      </c>
      <c r="AH470" s="1">
        <v>0.44946688805171087</v>
      </c>
      <c r="AI470" s="10">
        <v>15.137855060620025</v>
      </c>
      <c r="AJ470" s="32">
        <v>1791.0370464581745</v>
      </c>
      <c r="AK470">
        <v>320</v>
      </c>
      <c r="AL470" s="7">
        <v>0.21749895876632969</v>
      </c>
    </row>
    <row r="471" spans="28:38" x14ac:dyDescent="0.3">
      <c r="AB471">
        <v>466</v>
      </c>
      <c r="AC471" s="7">
        <v>0.51043404858700403</v>
      </c>
      <c r="AD471">
        <v>1.1009001762419266</v>
      </c>
      <c r="AE471">
        <v>0.94505439257176815</v>
      </c>
      <c r="AF471" s="7">
        <v>5.6512794867805027E-2</v>
      </c>
      <c r="AG471" s="10">
        <v>114.18282605785051</v>
      </c>
      <c r="AH471" s="1">
        <v>0.61688254147754473</v>
      </c>
      <c r="AI471" s="10">
        <v>30.606457497050833</v>
      </c>
      <c r="AJ471" s="32">
        <v>1773.668037933488</v>
      </c>
      <c r="AK471">
        <v>320</v>
      </c>
      <c r="AL471" s="7">
        <v>0.30926554880601209</v>
      </c>
    </row>
    <row r="472" spans="28:38" x14ac:dyDescent="0.3">
      <c r="AB472">
        <v>467</v>
      </c>
      <c r="AC472" s="7">
        <v>0.62409007751358569</v>
      </c>
      <c r="AD472">
        <v>1.4843822469984298</v>
      </c>
      <c r="AE472">
        <v>0.95050544877790277</v>
      </c>
      <c r="AF472" s="7">
        <v>5.0761384531522569E-2</v>
      </c>
      <c r="AG472" s="10">
        <v>118.78593619282267</v>
      </c>
      <c r="AH472" s="1">
        <v>0.97588278281113783</v>
      </c>
      <c r="AI472" s="10">
        <v>76.345645193759637</v>
      </c>
      <c r="AJ472" s="32">
        <v>1750.1973514319361</v>
      </c>
      <c r="AK472">
        <v>320</v>
      </c>
      <c r="AL472" s="7">
        <v>0.48844666160236866</v>
      </c>
    </row>
    <row r="473" spans="28:38" x14ac:dyDescent="0.3">
      <c r="AB473">
        <v>468</v>
      </c>
      <c r="AC473" s="7">
        <v>0.37819879886428009</v>
      </c>
      <c r="AD473">
        <v>0.63281566675334222</v>
      </c>
      <c r="AE473">
        <v>0.95436476489456201</v>
      </c>
      <c r="AF473" s="7">
        <v>4.6709327473230838E-2</v>
      </c>
      <c r="AG473" s="10">
        <v>126.87305443358586</v>
      </c>
      <c r="AH473" s="1">
        <v>0.28496536017405055</v>
      </c>
      <c r="AI473" s="10">
        <v>9.2326471624437616</v>
      </c>
      <c r="AJ473" s="32">
        <v>1769.2898228501897</v>
      </c>
      <c r="AK473">
        <v>320</v>
      </c>
      <c r="AL473" s="7">
        <v>0.16985883074670199</v>
      </c>
    </row>
    <row r="474" spans="28:38" x14ac:dyDescent="0.3">
      <c r="AB474">
        <v>469</v>
      </c>
      <c r="AC474" s="7">
        <v>0.84915766606116272</v>
      </c>
      <c r="AD474">
        <v>3.1651100853063316</v>
      </c>
      <c r="AE474">
        <v>0.95184358327266361</v>
      </c>
      <c r="AF474" s="7">
        <v>4.9354560975052364E-2</v>
      </c>
      <c r="AG474" s="10">
        <v>116.43654108580377</v>
      </c>
      <c r="AH474" s="1">
        <v>2.7358339095927087</v>
      </c>
      <c r="AI474" s="10">
        <v>558.38048947201003</v>
      </c>
      <c r="AJ474" s="32">
        <v>1753.9651016543157</v>
      </c>
      <c r="AK474">
        <v>320</v>
      </c>
      <c r="AL474" s="7">
        <v>1.3209614035239756</v>
      </c>
    </row>
    <row r="475" spans="28:38" x14ac:dyDescent="0.3">
      <c r="AB475">
        <v>470</v>
      </c>
      <c r="AC475" s="7">
        <v>0.49266107729529168</v>
      </c>
      <c r="AD475">
        <v>0.96940972798803726</v>
      </c>
      <c r="AE475">
        <v>0.95047603839249672</v>
      </c>
      <c r="AF475" s="7">
        <v>5.0792326848012111E-2</v>
      </c>
      <c r="AG475" s="10">
        <v>121.55674830322843</v>
      </c>
      <c r="AH475" s="1">
        <v>0.5271144025386254</v>
      </c>
      <c r="AI475" s="10">
        <v>27.993822164724598</v>
      </c>
      <c r="AJ475" s="32">
        <v>1799.805321329168</v>
      </c>
      <c r="AK475">
        <v>320</v>
      </c>
      <c r="AL475" s="7">
        <v>0.29577135470623989</v>
      </c>
    </row>
    <row r="476" spans="28:38" x14ac:dyDescent="0.3">
      <c r="AB476">
        <v>471</v>
      </c>
      <c r="AC476" s="7">
        <v>-7.5247930901405857E-2</v>
      </c>
      <c r="AD476">
        <v>0.27631494488980285</v>
      </c>
      <c r="AE476">
        <v>0.9304422912221586</v>
      </c>
      <c r="AF476" s="7">
        <v>7.2095223928782481E-2</v>
      </c>
      <c r="AG476" s="10">
        <v>112.11126735543006</v>
      </c>
      <c r="AH476" s="1">
        <v>4.8765580897747747E-2</v>
      </c>
      <c r="AI476" s="10">
        <v>0.1728881118080394</v>
      </c>
      <c r="AJ476" s="32">
        <v>1759.5089932133938</v>
      </c>
      <c r="AK476">
        <v>320</v>
      </c>
      <c r="AL476" s="7">
        <v>2.3243823897976062E-2</v>
      </c>
    </row>
    <row r="477" spans="28:38" x14ac:dyDescent="0.3">
      <c r="AB477">
        <v>472</v>
      </c>
      <c r="AC477" s="7">
        <v>1.0692474266951933E-2</v>
      </c>
      <c r="AD477">
        <v>0.27541213789215641</v>
      </c>
      <c r="AE477">
        <v>0.94360963933651265</v>
      </c>
      <c r="AF477" s="7">
        <v>5.8042716010637319E-2</v>
      </c>
      <c r="AG477" s="10">
        <v>116.83630679287523</v>
      </c>
      <c r="AH477" s="1">
        <v>5.9335197860705451E-2</v>
      </c>
      <c r="AI477" s="10">
        <v>0.3681501196012178</v>
      </c>
      <c r="AJ477" s="32">
        <v>1763.6323815163466</v>
      </c>
      <c r="AK477">
        <v>320</v>
      </c>
      <c r="AL477" s="7">
        <v>3.3918566062759871E-2</v>
      </c>
    </row>
    <row r="478" spans="28:38" x14ac:dyDescent="0.3">
      <c r="AB478">
        <v>473</v>
      </c>
      <c r="AC478" s="7">
        <v>0.55936234528649897</v>
      </c>
      <c r="AD478">
        <v>1.3798900422222409</v>
      </c>
      <c r="AE478">
        <v>0.94129334205835169</v>
      </c>
      <c r="AF478" s="7">
        <v>6.0500453588629648E-2</v>
      </c>
      <c r="AG478" s="10">
        <v>114.06160671827539</v>
      </c>
      <c r="AH478" s="1">
        <v>0.83056518819656711</v>
      </c>
      <c r="AI478" s="10">
        <v>48.490316223156547</v>
      </c>
      <c r="AJ478" s="32">
        <v>1782.2751731912613</v>
      </c>
      <c r="AK478">
        <v>320</v>
      </c>
      <c r="AL478" s="7">
        <v>0.38927141970271106</v>
      </c>
    </row>
    <row r="479" spans="28:38" x14ac:dyDescent="0.3">
      <c r="AB479">
        <v>474</v>
      </c>
      <c r="AC479" s="7">
        <v>0.61661223996620973</v>
      </c>
      <c r="AD479">
        <v>1.3736529439052065</v>
      </c>
      <c r="AE479">
        <v>0.95342247888009402</v>
      </c>
      <c r="AF479" s="7">
        <v>4.7697158893287982E-2</v>
      </c>
      <c r="AG479" s="10">
        <v>120.40969271892854</v>
      </c>
      <c r="AH479" s="1">
        <v>0.89358873979747366</v>
      </c>
      <c r="AI479" s="10">
        <v>77.347688374693675</v>
      </c>
      <c r="AJ479" s="32">
        <v>1776.8128855707369</v>
      </c>
      <c r="AK479">
        <v>320</v>
      </c>
      <c r="AL479" s="7">
        <v>0.49164166439686308</v>
      </c>
    </row>
    <row r="480" spans="28:38" x14ac:dyDescent="0.3">
      <c r="AB480">
        <v>475</v>
      </c>
      <c r="AC480" s="7">
        <v>0.74297203704339565</v>
      </c>
      <c r="AD480">
        <v>2.4758451677430404</v>
      </c>
      <c r="AE480">
        <v>0.94380190455811275</v>
      </c>
      <c r="AF480" s="7">
        <v>5.7838981723976758E-2</v>
      </c>
      <c r="AG480" s="10">
        <v>113.93679769569393</v>
      </c>
      <c r="AH480" s="1">
        <v>1.8956818231239816</v>
      </c>
      <c r="AI480" s="10">
        <v>233.82552605903538</v>
      </c>
      <c r="AJ480" s="32">
        <v>1769.858636801383</v>
      </c>
      <c r="AK480">
        <v>320</v>
      </c>
      <c r="AL480" s="7">
        <v>0.85481270985782931</v>
      </c>
    </row>
    <row r="481" spans="28:38" x14ac:dyDescent="0.3">
      <c r="AB481">
        <v>476</v>
      </c>
      <c r="AC481" s="7">
        <v>0.48457323391722718</v>
      </c>
      <c r="AD481">
        <v>1.138510975134589</v>
      </c>
      <c r="AE481">
        <v>0.93879593265098804</v>
      </c>
      <c r="AF481" s="7">
        <v>6.315714751253626E-2</v>
      </c>
      <c r="AG481" s="10">
        <v>116.12432353734722</v>
      </c>
      <c r="AH481" s="1">
        <v>0.61289601242023561</v>
      </c>
      <c r="AI481" s="10">
        <v>23.707220120389891</v>
      </c>
      <c r="AJ481" s="32">
        <v>1764.1071109349139</v>
      </c>
      <c r="AK481">
        <v>320</v>
      </c>
      <c r="AL481" s="7">
        <v>0.27218571394586161</v>
      </c>
    </row>
    <row r="482" spans="28:38" x14ac:dyDescent="0.3">
      <c r="AB482">
        <v>477</v>
      </c>
      <c r="AC482" s="7">
        <v>0.3514218348717732</v>
      </c>
      <c r="AD482">
        <v>0.66171679750370271</v>
      </c>
      <c r="AE482">
        <v>0.94607951361380993</v>
      </c>
      <c r="AF482" s="7">
        <v>5.5428661016579804E-2</v>
      </c>
      <c r="AG482" s="10">
        <v>115.86170224925264</v>
      </c>
      <c r="AH482" s="1">
        <v>0.2864622175304149</v>
      </c>
      <c r="AI482" s="10">
        <v>7.538236505560941</v>
      </c>
      <c r="AJ482" s="32">
        <v>1773.0653616589993</v>
      </c>
      <c r="AK482">
        <v>320</v>
      </c>
      <c r="AL482" s="7">
        <v>0.153482862495713</v>
      </c>
    </row>
    <row r="483" spans="28:38" x14ac:dyDescent="0.3">
      <c r="AB483">
        <v>478</v>
      </c>
      <c r="AC483" s="7">
        <v>0.86668159632019637</v>
      </c>
      <c r="AD483">
        <v>3.3317551371607492</v>
      </c>
      <c r="AE483">
        <v>0.95369214838603289</v>
      </c>
      <c r="AF483" s="7">
        <v>4.7414355223408165E-2</v>
      </c>
      <c r="AG483" s="10">
        <v>119.93606347546432</v>
      </c>
      <c r="AH483" s="1">
        <v>2.93387871243646</v>
      </c>
      <c r="AI483" s="10">
        <v>662.72890500531275</v>
      </c>
      <c r="AJ483" s="32">
        <v>1760.9174811146829</v>
      </c>
      <c r="AK483">
        <v>320</v>
      </c>
      <c r="AL483" s="7">
        <v>1.4391066076360022</v>
      </c>
    </row>
    <row r="484" spans="28:38" x14ac:dyDescent="0.3">
      <c r="AB484">
        <v>479</v>
      </c>
      <c r="AC484" s="7">
        <v>0.65483438009003747</v>
      </c>
      <c r="AD484">
        <v>1.5056541451264049</v>
      </c>
      <c r="AE484">
        <v>0.95462454131171037</v>
      </c>
      <c r="AF484" s="7">
        <v>4.6437166264252545E-2</v>
      </c>
      <c r="AG484" s="10">
        <v>117.93233177187076</v>
      </c>
      <c r="AH484" s="1">
        <v>1.0313295574421342</v>
      </c>
      <c r="AI484" s="10">
        <v>127.11125540186158</v>
      </c>
      <c r="AJ484" s="32">
        <v>1827.9862305011275</v>
      </c>
      <c r="AK484">
        <v>320</v>
      </c>
      <c r="AL484" s="7">
        <v>0.6302560377583204</v>
      </c>
    </row>
    <row r="485" spans="28:38" x14ac:dyDescent="0.3">
      <c r="AB485">
        <v>480</v>
      </c>
      <c r="AC485" s="7">
        <v>0.47233763899051451</v>
      </c>
      <c r="AD485">
        <v>0.91067164784669741</v>
      </c>
      <c r="AE485">
        <v>0.95051291453320175</v>
      </c>
      <c r="AF485" s="7">
        <v>5.0753530051583708E-2</v>
      </c>
      <c r="AG485" s="10">
        <v>122.5660797826777</v>
      </c>
      <c r="AH485" s="1">
        <v>0.47963158150630858</v>
      </c>
      <c r="AI485" s="10">
        <v>21.374918490441409</v>
      </c>
      <c r="AJ485" s="32">
        <v>1771.0890370777383</v>
      </c>
      <c r="AK485">
        <v>320</v>
      </c>
      <c r="AL485" s="7">
        <v>0.25845042132414758</v>
      </c>
    </row>
    <row r="486" spans="28:38" x14ac:dyDescent="0.3">
      <c r="AB486">
        <v>481</v>
      </c>
      <c r="AC486" s="7">
        <v>0.53548468377698399</v>
      </c>
      <c r="AD486">
        <v>1.0715588158676284</v>
      </c>
      <c r="AE486">
        <v>0.95360966141402359</v>
      </c>
      <c r="AF486" s="7">
        <v>4.7500851205991408E-2</v>
      </c>
      <c r="AG486" s="10">
        <v>126.75183181284685</v>
      </c>
      <c r="AH486" s="1">
        <v>0.62019367224929278</v>
      </c>
      <c r="AI486" s="10">
        <v>37.141614354494216</v>
      </c>
      <c r="AJ486" s="32">
        <v>1772.5533642548874</v>
      </c>
      <c r="AK486">
        <v>320</v>
      </c>
      <c r="AL486" s="7">
        <v>0.34068687215358684</v>
      </c>
    </row>
    <row r="487" spans="28:38" x14ac:dyDescent="0.3">
      <c r="AB487">
        <v>482</v>
      </c>
      <c r="AC487" s="7">
        <v>0.23878637401834066</v>
      </c>
      <c r="AD487">
        <v>0.4902919718297884</v>
      </c>
      <c r="AE487">
        <v>0.94528430514425243</v>
      </c>
      <c r="AF487" s="7">
        <v>5.626954473078382E-2</v>
      </c>
      <c r="AG487" s="10">
        <v>120.47266522656273</v>
      </c>
      <c r="AH487" s="1">
        <v>0.17179073701928516</v>
      </c>
      <c r="AI487" s="10">
        <v>2.5443328677375567</v>
      </c>
      <c r="AJ487" s="32">
        <v>1744.6515572243652</v>
      </c>
      <c r="AK487">
        <v>320</v>
      </c>
      <c r="AL487" s="7">
        <v>8.9168605527281092E-2</v>
      </c>
    </row>
    <row r="488" spans="28:38" x14ac:dyDescent="0.3">
      <c r="AB488">
        <v>483</v>
      </c>
      <c r="AC488" s="7">
        <v>0.46074242926970449</v>
      </c>
      <c r="AD488">
        <v>0.82188449647257256</v>
      </c>
      <c r="AE488">
        <v>0.95464596544715141</v>
      </c>
      <c r="AF488" s="7">
        <v>4.6414724043136055E-2</v>
      </c>
      <c r="AG488" s="10">
        <v>127.93651877523615</v>
      </c>
      <c r="AH488" s="1">
        <v>0.42403109403672956</v>
      </c>
      <c r="AI488" s="10">
        <v>21.081735130702178</v>
      </c>
      <c r="AJ488" s="32">
        <v>1802.1610905278355</v>
      </c>
      <c r="AK488">
        <v>320</v>
      </c>
      <c r="AL488" s="7">
        <v>0.25667181824938301</v>
      </c>
    </row>
    <row r="489" spans="28:38" x14ac:dyDescent="0.3">
      <c r="AB489">
        <v>484</v>
      </c>
      <c r="AC489" s="7">
        <v>0.19001563786740158</v>
      </c>
      <c r="AD489">
        <v>0.44116769618963259</v>
      </c>
      <c r="AE489">
        <v>0.94382426750881432</v>
      </c>
      <c r="AF489" s="7">
        <v>5.7815287466042066E-2</v>
      </c>
      <c r="AG489" s="10">
        <v>122.22527232724944</v>
      </c>
      <c r="AH489" s="1">
        <v>0.14000449368915074</v>
      </c>
      <c r="AI489" s="10">
        <v>1.7153774717905708</v>
      </c>
      <c r="AJ489" s="32">
        <v>1757.0237370860398</v>
      </c>
      <c r="AK489">
        <v>320</v>
      </c>
      <c r="AL489" s="7">
        <v>7.321580839781483E-2</v>
      </c>
    </row>
    <row r="490" spans="28:38" x14ac:dyDescent="0.3">
      <c r="AB490">
        <v>485</v>
      </c>
      <c r="AC490" s="7">
        <v>0.66498057343271855</v>
      </c>
      <c r="AD490">
        <v>1.5003987039597566</v>
      </c>
      <c r="AE490">
        <v>0.95942440541001639</v>
      </c>
      <c r="AF490" s="7">
        <v>4.1421752036743038E-2</v>
      </c>
      <c r="AG490" s="10">
        <v>131.05377541092128</v>
      </c>
      <c r="AH490" s="1">
        <v>1.0383115851268503</v>
      </c>
      <c r="AI490" s="10">
        <v>122.27620712590846</v>
      </c>
      <c r="AJ490" s="32">
        <v>1792.2577442007105</v>
      </c>
      <c r="AK490">
        <v>320</v>
      </c>
      <c r="AL490" s="7">
        <v>0.61815301282810542</v>
      </c>
    </row>
    <row r="491" spans="28:38" x14ac:dyDescent="0.3">
      <c r="AB491">
        <v>486</v>
      </c>
      <c r="AC491" s="7">
        <v>0.31420129289730508</v>
      </c>
      <c r="AD491">
        <v>0.55073085180915815</v>
      </c>
      <c r="AE491">
        <v>0.95077200663694328</v>
      </c>
      <c r="AF491" s="7">
        <v>5.0480985834291059E-2</v>
      </c>
      <c r="AG491" s="10">
        <v>121.22332089216782</v>
      </c>
      <c r="AH491" s="1">
        <v>0.22226833903992835</v>
      </c>
      <c r="AI491" s="10">
        <v>6.0610694619130214</v>
      </c>
      <c r="AJ491" s="32">
        <v>1811.2580472515317</v>
      </c>
      <c r="AK491">
        <v>320</v>
      </c>
      <c r="AL491" s="7">
        <v>0.13762573185446897</v>
      </c>
    </row>
    <row r="492" spans="28:38" x14ac:dyDescent="0.3">
      <c r="AB492">
        <v>487</v>
      </c>
      <c r="AC492" s="7">
        <v>0.48457955209089221</v>
      </c>
      <c r="AD492">
        <v>0.80608683565276129</v>
      </c>
      <c r="AE492">
        <v>0.96050083832338828</v>
      </c>
      <c r="AF492" s="7">
        <v>4.030042397495992E-2</v>
      </c>
      <c r="AG492" s="10">
        <v>138.03436148745587</v>
      </c>
      <c r="AH492" s="1">
        <v>0.43011235944359144</v>
      </c>
      <c r="AI492" s="10">
        <v>26.521966408780294</v>
      </c>
      <c r="AJ492" s="32">
        <v>1812.8204257892967</v>
      </c>
      <c r="AK492">
        <v>320</v>
      </c>
      <c r="AL492" s="7">
        <v>0.28789085610251397</v>
      </c>
    </row>
    <row r="493" spans="28:38" x14ac:dyDescent="0.3">
      <c r="AB493">
        <v>488</v>
      </c>
      <c r="AC493" s="7">
        <v>0.10055499331638409</v>
      </c>
      <c r="AD493">
        <v>0.40053610533979944</v>
      </c>
      <c r="AE493">
        <v>0.93380256897385405</v>
      </c>
      <c r="AF493" s="7">
        <v>6.8490245352646403E-2</v>
      </c>
      <c r="AG493" s="10">
        <v>112.87699819297443</v>
      </c>
      <c r="AH493" s="1">
        <v>0.10647333642156</v>
      </c>
      <c r="AI493" s="10">
        <v>0.88373378616507459</v>
      </c>
      <c r="AJ493" s="32">
        <v>1788.4144838707657</v>
      </c>
      <c r="AK493">
        <v>320</v>
      </c>
      <c r="AL493" s="7">
        <v>5.2551575445136355E-2</v>
      </c>
    </row>
    <row r="494" spans="28:38" x14ac:dyDescent="0.3">
      <c r="AB494">
        <v>489</v>
      </c>
      <c r="AC494" s="7">
        <v>0.58398994579711738</v>
      </c>
      <c r="AD494">
        <v>1.3861761185022488</v>
      </c>
      <c r="AE494">
        <v>0.94677029849066785</v>
      </c>
      <c r="AF494" s="7">
        <v>5.469877224980315E-2</v>
      </c>
      <c r="AG494" s="10">
        <v>117.89255606807151</v>
      </c>
      <c r="AH494" s="1">
        <v>0.86274261781871897</v>
      </c>
      <c r="AI494" s="10">
        <v>64.322048970343829</v>
      </c>
      <c r="AJ494" s="32">
        <v>1806.6761117280889</v>
      </c>
      <c r="AK494">
        <v>320</v>
      </c>
      <c r="AL494" s="7">
        <v>0.44833737634991405</v>
      </c>
    </row>
    <row r="495" spans="28:38" x14ac:dyDescent="0.3">
      <c r="AB495">
        <v>490</v>
      </c>
      <c r="AC495" s="7">
        <v>0.85954287185613076</v>
      </c>
      <c r="AD495">
        <v>3.2030164731079349</v>
      </c>
      <c r="AE495">
        <v>0.95681948558352714</v>
      </c>
      <c r="AF495" s="7">
        <v>4.4140530625742275E-2</v>
      </c>
      <c r="AG495" s="10">
        <v>128.02066831726179</v>
      </c>
      <c r="AH495" s="1">
        <v>2.7963104923141624</v>
      </c>
      <c r="AI495" s="10">
        <v>613.34970599339829</v>
      </c>
      <c r="AJ495" s="32">
        <v>1758.8547445258812</v>
      </c>
      <c r="AK495">
        <v>320</v>
      </c>
      <c r="AL495" s="7">
        <v>1.3844557888316151</v>
      </c>
    </row>
    <row r="496" spans="28:38" x14ac:dyDescent="0.3">
      <c r="AB496">
        <v>491</v>
      </c>
      <c r="AC496" s="7">
        <v>0.51630864895263384</v>
      </c>
      <c r="AD496">
        <v>0.88249108699963841</v>
      </c>
      <c r="AE496">
        <v>0.95972234227327802</v>
      </c>
      <c r="AF496" s="7">
        <v>4.1111263153060962E-2</v>
      </c>
      <c r="AG496" s="10">
        <v>129.36162301455963</v>
      </c>
      <c r="AH496" s="1">
        <v>0.49591543856824655</v>
      </c>
      <c r="AI496" s="10">
        <v>36.839748360707411</v>
      </c>
      <c r="AJ496" s="32">
        <v>1825.7132574770581</v>
      </c>
      <c r="AK496">
        <v>320</v>
      </c>
      <c r="AL496" s="7">
        <v>0.33929959273068788</v>
      </c>
    </row>
    <row r="497" spans="28:38" x14ac:dyDescent="0.3">
      <c r="AB497">
        <v>492</v>
      </c>
      <c r="AC497" s="7">
        <v>0.37317010680987045</v>
      </c>
      <c r="AD497">
        <v>0.67886296028891435</v>
      </c>
      <c r="AE497">
        <v>0.94967949724035972</v>
      </c>
      <c r="AF497" s="7">
        <v>5.1630722635996495E-2</v>
      </c>
      <c r="AG497" s="10">
        <v>123.56357095309866</v>
      </c>
      <c r="AH497" s="1">
        <v>0.30365186615991929</v>
      </c>
      <c r="AI497" s="10">
        <v>7.9944160215169706</v>
      </c>
      <c r="AJ497" s="32">
        <v>1735.5796476506387</v>
      </c>
      <c r="AK497">
        <v>320</v>
      </c>
      <c r="AL497" s="7">
        <v>0.15805869184337992</v>
      </c>
    </row>
    <row r="498" spans="28:38" x14ac:dyDescent="0.3">
      <c r="AB498">
        <v>493</v>
      </c>
      <c r="AC498" s="7">
        <v>0.69572334536802183</v>
      </c>
      <c r="AD498">
        <v>1.5931914514143499</v>
      </c>
      <c r="AE498">
        <v>0.96202446072522341</v>
      </c>
      <c r="AF498" s="7">
        <v>3.8715401690393274E-2</v>
      </c>
      <c r="AG498" s="10">
        <v>133.97971439062462</v>
      </c>
      <c r="AH498" s="1">
        <v>1.1463960256645023</v>
      </c>
      <c r="AI498" s="10">
        <v>145.82381582252276</v>
      </c>
      <c r="AJ498" s="32">
        <v>1763.6071887174762</v>
      </c>
      <c r="AK498">
        <v>320</v>
      </c>
      <c r="AL498" s="7">
        <v>0.67505512696770453</v>
      </c>
    </row>
    <row r="499" spans="28:38" x14ac:dyDescent="0.3">
      <c r="AB499">
        <v>494</v>
      </c>
      <c r="AC499" s="7">
        <v>0.64636708726814385</v>
      </c>
      <c r="AD499">
        <v>1.9023633594032068</v>
      </c>
      <c r="AE499">
        <v>0.93829052786954259</v>
      </c>
      <c r="AF499" s="7">
        <v>6.3695646728516395E-2</v>
      </c>
      <c r="AG499" s="10">
        <v>110.470406489505</v>
      </c>
      <c r="AH499" s="1">
        <v>1.2913345356735493</v>
      </c>
      <c r="AI499" s="10">
        <v>100.63699692726456</v>
      </c>
      <c r="AJ499" s="32">
        <v>1768.4744631369995</v>
      </c>
      <c r="AK499">
        <v>320</v>
      </c>
      <c r="AL499" s="7">
        <v>0.56079462853856021</v>
      </c>
    </row>
    <row r="500" spans="28:38" x14ac:dyDescent="0.3">
      <c r="AB500">
        <v>495</v>
      </c>
      <c r="AC500" s="7">
        <v>0.51662902208670969</v>
      </c>
      <c r="AD500">
        <v>1.0955491299218614</v>
      </c>
      <c r="AE500">
        <v>0.94813094471071702</v>
      </c>
      <c r="AF500" s="7">
        <v>5.3262658933836832E-2</v>
      </c>
      <c r="AG500" s="10">
        <v>120.97597647757874</v>
      </c>
      <c r="AH500" s="1">
        <v>0.61786153092875984</v>
      </c>
      <c r="AI500" s="10">
        <v>34.453398004793733</v>
      </c>
      <c r="AJ500" s="32">
        <v>1797.9781387504672</v>
      </c>
      <c r="AK500">
        <v>320</v>
      </c>
      <c r="AL500" s="7">
        <v>0.32812630002025195</v>
      </c>
    </row>
    <row r="501" spans="28:38" x14ac:dyDescent="0.3">
      <c r="AB501">
        <v>496</v>
      </c>
      <c r="AC501" s="7">
        <v>0.64970542965916644</v>
      </c>
      <c r="AD501">
        <v>1.6852204880747037</v>
      </c>
      <c r="AE501">
        <v>0.94703883630965657</v>
      </c>
      <c r="AF501" s="7">
        <v>5.4415176806256169E-2</v>
      </c>
      <c r="AG501" s="10">
        <v>113.8176983457339</v>
      </c>
      <c r="AH501" s="1">
        <v>1.1478580649653489</v>
      </c>
      <c r="AI501" s="10">
        <v>102.17471164890806</v>
      </c>
      <c r="AJ501" s="32">
        <v>1768.4285872705059</v>
      </c>
      <c r="AK501">
        <v>320</v>
      </c>
      <c r="AL501" s="7">
        <v>0.56506280527286323</v>
      </c>
    </row>
    <row r="502" spans="28:38" x14ac:dyDescent="0.3">
      <c r="AB502">
        <v>497</v>
      </c>
      <c r="AC502" s="7">
        <v>0.29166782669794933</v>
      </c>
      <c r="AD502">
        <v>0.58840222822672461</v>
      </c>
      <c r="AE502">
        <v>0.94258466295080501</v>
      </c>
      <c r="AF502" s="7">
        <v>5.912953562975562E-2</v>
      </c>
      <c r="AG502" s="10">
        <v>114.8471432740027</v>
      </c>
      <c r="AH502" s="1">
        <v>0.22903333618031455</v>
      </c>
      <c r="AI502" s="10">
        <v>4.9168047535712907</v>
      </c>
      <c r="AJ502" s="32">
        <v>1802.9867365586163</v>
      </c>
      <c r="AK502">
        <v>320</v>
      </c>
      <c r="AL502" s="7">
        <v>0.12395569714583628</v>
      </c>
    </row>
    <row r="503" spans="28:38" x14ac:dyDescent="0.3">
      <c r="AB503">
        <v>498</v>
      </c>
      <c r="AC503" s="7">
        <v>0.5349754019718892</v>
      </c>
      <c r="AD503">
        <v>0.97559891471027604</v>
      </c>
      <c r="AE503">
        <v>0.95774629263065059</v>
      </c>
      <c r="AF503" s="7">
        <v>4.317236632440128E-2</v>
      </c>
      <c r="AG503" s="10">
        <v>127.03601385796638</v>
      </c>
      <c r="AH503" s="1">
        <v>0.56417512892981814</v>
      </c>
      <c r="AI503" s="10">
        <v>39.486600360320743</v>
      </c>
      <c r="AJ503" s="32">
        <v>1794.2885550233946</v>
      </c>
      <c r="AK503">
        <v>320</v>
      </c>
      <c r="AL503" s="7">
        <v>0.35127713578598069</v>
      </c>
    </row>
    <row r="504" spans="28:38" x14ac:dyDescent="0.3">
      <c r="AB504">
        <v>499</v>
      </c>
      <c r="AC504" s="7">
        <v>0.53421830736684039</v>
      </c>
      <c r="AD504">
        <v>1.0766101794672203</v>
      </c>
      <c r="AE504">
        <v>0.95158263443120972</v>
      </c>
      <c r="AF504" s="7">
        <v>4.9628749531101052E-2</v>
      </c>
      <c r="AG504" s="10">
        <v>119.55702254234455</v>
      </c>
      <c r="AH504" s="1">
        <v>0.62356223333767891</v>
      </c>
      <c r="AI504" s="10">
        <v>36.643501651741381</v>
      </c>
      <c r="AJ504" s="32">
        <v>1768.5213310135773</v>
      </c>
      <c r="AK504">
        <v>320</v>
      </c>
      <c r="AL504" s="7">
        <v>0.33839465519078726</v>
      </c>
    </row>
    <row r="505" spans="28:38" x14ac:dyDescent="0.3">
      <c r="AB505">
        <v>500</v>
      </c>
      <c r="AC505" s="7">
        <v>0.22995717207197153</v>
      </c>
      <c r="AD505">
        <v>0.55065139450427414</v>
      </c>
      <c r="AE505">
        <v>0.93533465757627143</v>
      </c>
      <c r="AF505" s="7">
        <v>6.6850891190975911E-2</v>
      </c>
      <c r="AG505" s="10">
        <v>111.76685545679986</v>
      </c>
      <c r="AH505" s="1">
        <v>0.19129157990141901</v>
      </c>
      <c r="AI505" s="10">
        <v>2.5414432779413532</v>
      </c>
      <c r="AJ505" s="32">
        <v>1762.0461878633278</v>
      </c>
      <c r="AK505">
        <v>320</v>
      </c>
      <c r="AL505" s="7">
        <v>8.9117956908620441E-2</v>
      </c>
    </row>
    <row r="506" spans="28:38" x14ac:dyDescent="0.3">
      <c r="AB506">
        <v>501</v>
      </c>
      <c r="AC506" s="7">
        <v>0.64536308107302665</v>
      </c>
      <c r="AD506">
        <v>1.3804612139400867</v>
      </c>
      <c r="AE506">
        <v>0.95923270631275181</v>
      </c>
      <c r="AF506" s="7">
        <v>4.1621578359780337E-2</v>
      </c>
      <c r="AG506" s="10">
        <v>127.55907085404013</v>
      </c>
      <c r="AH506" s="1">
        <v>0.93166599601743316</v>
      </c>
      <c r="AI506" s="10">
        <v>111.24954030823797</v>
      </c>
      <c r="AJ506" s="32">
        <v>1816.1435232774049</v>
      </c>
      <c r="AK506">
        <v>320</v>
      </c>
      <c r="AL506" s="7">
        <v>0.58962260257154631</v>
      </c>
    </row>
    <row r="507" spans="28:38" x14ac:dyDescent="0.3">
      <c r="AB507">
        <v>502</v>
      </c>
      <c r="AC507" s="7">
        <v>0.79498794616258384</v>
      </c>
      <c r="AD507">
        <v>2.3420620060742672</v>
      </c>
      <c r="AE507">
        <v>0.95995930800819307</v>
      </c>
      <c r="AF507" s="7">
        <v>4.0864382910095788E-2</v>
      </c>
      <c r="AG507" s="10">
        <v>128.55411066432609</v>
      </c>
      <c r="AH507" s="1">
        <v>1.9019517559862096</v>
      </c>
      <c r="AI507" s="10">
        <v>351.36537702746983</v>
      </c>
      <c r="AJ507" s="32">
        <v>1763.9198332904145</v>
      </c>
      <c r="AK507">
        <v>320</v>
      </c>
      <c r="AL507" s="7">
        <v>1.047862969672487</v>
      </c>
    </row>
    <row r="508" spans="28:38" x14ac:dyDescent="0.3">
      <c r="AB508">
        <v>503</v>
      </c>
      <c r="AC508" s="7">
        <v>0.1080634864929611</v>
      </c>
      <c r="AD508">
        <v>0.39766516938950447</v>
      </c>
      <c r="AE508">
        <v>0.93588299770807581</v>
      </c>
      <c r="AF508" s="7">
        <v>6.6264812766639175E-2</v>
      </c>
      <c r="AG508" s="10">
        <v>115.22042396784191</v>
      </c>
      <c r="AH508" s="1">
        <v>0.10709008695296798</v>
      </c>
      <c r="AI508" s="10">
        <v>0.76306408962942851</v>
      </c>
      <c r="AJ508" s="32">
        <v>1722.6772137308415</v>
      </c>
      <c r="AK508">
        <v>320</v>
      </c>
      <c r="AL508" s="7">
        <v>4.8832113205266515E-2</v>
      </c>
    </row>
    <row r="509" spans="28:38" x14ac:dyDescent="0.3">
      <c r="AB509">
        <v>504</v>
      </c>
      <c r="AC509" s="7">
        <v>0.34819299250835528</v>
      </c>
      <c r="AD509">
        <v>0.69622845321157945</v>
      </c>
      <c r="AE509">
        <v>0.94301017853472946</v>
      </c>
      <c r="AF509" s="7">
        <v>5.8678202626731076E-2</v>
      </c>
      <c r="AG509" s="10">
        <v>117.2661758433227</v>
      </c>
      <c r="AH509" s="1">
        <v>0.29941169005847379</v>
      </c>
      <c r="AI509" s="10">
        <v>7.6023603589048001</v>
      </c>
      <c r="AJ509" s="32">
        <v>1785.2767327673105</v>
      </c>
      <c r="AK509">
        <v>320</v>
      </c>
      <c r="AL509" s="7">
        <v>0.15413427951490058</v>
      </c>
    </row>
    <row r="510" spans="28:38" x14ac:dyDescent="0.3">
      <c r="AB510">
        <v>505</v>
      </c>
      <c r="AC510" s="7">
        <v>0.56729168826553422</v>
      </c>
      <c r="AD510">
        <v>1.4304295215432681</v>
      </c>
      <c r="AE510">
        <v>0.94078016455741731</v>
      </c>
      <c r="AF510" s="7">
        <v>6.104578565121719E-2</v>
      </c>
      <c r="AG510" s="10">
        <v>114.24626402855219</v>
      </c>
      <c r="AH510" s="1">
        <v>0.87069061366372358</v>
      </c>
      <c r="AI510" s="10">
        <v>48.269584523260299</v>
      </c>
      <c r="AJ510" s="32">
        <v>1758.3598737032053</v>
      </c>
      <c r="AK510">
        <v>320</v>
      </c>
      <c r="AL510" s="7">
        <v>0.38838441219388353</v>
      </c>
    </row>
    <row r="511" spans="28:38" x14ac:dyDescent="0.3">
      <c r="AB511">
        <v>506</v>
      </c>
      <c r="AC511" s="7">
        <v>0.30657164556152122</v>
      </c>
      <c r="AD511">
        <v>0.61529395455944114</v>
      </c>
      <c r="AE511">
        <v>0.94252860801925142</v>
      </c>
      <c r="AF511" s="7">
        <v>5.918900678454863E-2</v>
      </c>
      <c r="AG511" s="10">
        <v>114.92556229209748</v>
      </c>
      <c r="AH511" s="1">
        <v>0.2461030721340923</v>
      </c>
      <c r="AI511" s="10">
        <v>4.6550444891080476</v>
      </c>
      <c r="AJ511" s="32">
        <v>1743.8084966750268</v>
      </c>
      <c r="AK511">
        <v>320</v>
      </c>
      <c r="AL511" s="7">
        <v>0.12061100293282802</v>
      </c>
    </row>
    <row r="512" spans="28:38" x14ac:dyDescent="0.3">
      <c r="AB512">
        <v>507</v>
      </c>
      <c r="AC512" s="7">
        <v>0.33442430661468281</v>
      </c>
      <c r="AD512">
        <v>0.66804546177319557</v>
      </c>
      <c r="AE512">
        <v>0.94291596027539037</v>
      </c>
      <c r="AF512" s="7">
        <v>5.877811985835385E-2</v>
      </c>
      <c r="AG512" s="10">
        <v>116.80546050332164</v>
      </c>
      <c r="AH512" s="1">
        <v>0.28049468006519618</v>
      </c>
      <c r="AI512" s="10">
        <v>5.6864452720273109</v>
      </c>
      <c r="AJ512" s="32">
        <v>1730.8537688689166</v>
      </c>
      <c r="AK512">
        <v>320</v>
      </c>
      <c r="AL512" s="7">
        <v>0.13330469412247023</v>
      </c>
    </row>
    <row r="513" spans="28:38" x14ac:dyDescent="0.3">
      <c r="AB513">
        <v>508</v>
      </c>
      <c r="AC513" s="7">
        <v>1.0549916950851497</v>
      </c>
      <c r="AD513">
        <v>5.2033964195473397</v>
      </c>
      <c r="AE513">
        <v>0.97053720448846381</v>
      </c>
      <c r="AF513" s="7">
        <v>2.9905541725614205E-2</v>
      </c>
      <c r="AG513" s="10">
        <v>142.60263106053941</v>
      </c>
      <c r="AH513" s="1">
        <v>5.5190028043697827</v>
      </c>
      <c r="AI513" s="10">
        <v>4414.9805874649001</v>
      </c>
      <c r="AJ513" s="32">
        <v>1848.3868626415699</v>
      </c>
      <c r="AK513">
        <v>320</v>
      </c>
      <c r="AL513" s="7">
        <v>3.7144063234691775</v>
      </c>
    </row>
    <row r="514" spans="28:38" x14ac:dyDescent="0.3">
      <c r="AB514">
        <v>509</v>
      </c>
      <c r="AC514" s="7">
        <v>0.39967066045931854</v>
      </c>
      <c r="AD514">
        <v>0.85299586144817352</v>
      </c>
      <c r="AE514">
        <v>0.93917740275295769</v>
      </c>
      <c r="AF514" s="7">
        <v>6.2750890298948897E-2</v>
      </c>
      <c r="AG514" s="10">
        <v>112.56136169384096</v>
      </c>
      <c r="AH514" s="1">
        <v>0.4017400165610992</v>
      </c>
      <c r="AI514" s="10">
        <v>11.506494841750461</v>
      </c>
      <c r="AJ514" s="32">
        <v>1769.5317789520464</v>
      </c>
      <c r="AK514">
        <v>320</v>
      </c>
      <c r="AL514" s="7">
        <v>0.18962541069295061</v>
      </c>
    </row>
    <row r="515" spans="28:38" x14ac:dyDescent="0.3">
      <c r="AB515">
        <v>510</v>
      </c>
      <c r="AC515" s="7">
        <v>0.55563999513065121</v>
      </c>
      <c r="AD515">
        <v>1.0530468151271521</v>
      </c>
      <c r="AE515">
        <v>0.95771781689561086</v>
      </c>
      <c r="AF515" s="7">
        <v>4.3202098789656258E-2</v>
      </c>
      <c r="AG515" s="10">
        <v>128.28408381750424</v>
      </c>
      <c r="AH515" s="1">
        <v>0.62739711033398771</v>
      </c>
      <c r="AI515" s="10">
        <v>50.155007878723943</v>
      </c>
      <c r="AJ515" s="32">
        <v>1813.324902731594</v>
      </c>
      <c r="AK515">
        <v>320</v>
      </c>
      <c r="AL515" s="7">
        <v>0.39589695581175199</v>
      </c>
    </row>
    <row r="516" spans="28:38" x14ac:dyDescent="0.3">
      <c r="AB516">
        <v>511</v>
      </c>
      <c r="AC516" s="7">
        <v>0.58410221653644068</v>
      </c>
      <c r="AD516">
        <v>1.3216237374414401</v>
      </c>
      <c r="AE516">
        <v>0.94986008226164209</v>
      </c>
      <c r="AF516" s="7">
        <v>5.1440587064434724E-2</v>
      </c>
      <c r="AG516" s="10">
        <v>120.13649857695781</v>
      </c>
      <c r="AH516" s="1">
        <v>0.82210327220507795</v>
      </c>
      <c r="AI516" s="10">
        <v>51.394045475965619</v>
      </c>
      <c r="AJ516" s="32">
        <v>1736.3357648105323</v>
      </c>
      <c r="AK516">
        <v>320</v>
      </c>
      <c r="AL516" s="7">
        <v>0.40075727331190453</v>
      </c>
    </row>
    <row r="517" spans="28:38" x14ac:dyDescent="0.3">
      <c r="AB517">
        <v>512</v>
      </c>
      <c r="AC517" s="7">
        <v>0.5524987596962263</v>
      </c>
      <c r="AD517">
        <v>1.0554047251986125</v>
      </c>
      <c r="AE517">
        <v>0.9569514696578254</v>
      </c>
      <c r="AF517" s="7">
        <v>4.4002599726387738E-2</v>
      </c>
      <c r="AG517" s="10">
        <v>127.1996372359109</v>
      </c>
      <c r="AH517" s="1">
        <v>0.62615833199194459</v>
      </c>
      <c r="AI517" s="10">
        <v>44.619063104313739</v>
      </c>
      <c r="AJ517" s="32">
        <v>1784.2448461624854</v>
      </c>
      <c r="AK517">
        <v>320</v>
      </c>
      <c r="AL517" s="7">
        <v>0.37340938954581798</v>
      </c>
    </row>
    <row r="518" spans="28:38" x14ac:dyDescent="0.3">
      <c r="AB518">
        <v>513</v>
      </c>
      <c r="AC518" s="7">
        <v>0.35958745031428302</v>
      </c>
      <c r="AD518">
        <v>0.69759045376318352</v>
      </c>
      <c r="AE518">
        <v>0.94540751422156399</v>
      </c>
      <c r="AF518" s="7">
        <v>5.6139212461691658E-2</v>
      </c>
      <c r="AG518" s="10">
        <v>120.10890236357181</v>
      </c>
      <c r="AH518" s="1">
        <v>0.30543725841072289</v>
      </c>
      <c r="AI518" s="10">
        <v>8.2091404561228192</v>
      </c>
      <c r="AJ518" s="32">
        <v>1779.837212727374</v>
      </c>
      <c r="AK518">
        <v>320</v>
      </c>
      <c r="AL518" s="7">
        <v>0.16016729980050176</v>
      </c>
    </row>
    <row r="519" spans="28:38" x14ac:dyDescent="0.3">
      <c r="AB519">
        <v>514</v>
      </c>
      <c r="AC519" s="7">
        <v>0.32037222778840474</v>
      </c>
      <c r="AD519">
        <v>0.62684079542750393</v>
      </c>
      <c r="AE519">
        <v>0.94403687297683947</v>
      </c>
      <c r="AF519" s="7">
        <v>5.7590053242650763E-2</v>
      </c>
      <c r="AG519" s="10">
        <v>116.22827394364045</v>
      </c>
      <c r="AH519" s="1">
        <v>0.25678550912292564</v>
      </c>
      <c r="AI519" s="10">
        <v>6.3770020664147173</v>
      </c>
      <c r="AJ519" s="32">
        <v>1806.5887769434205</v>
      </c>
      <c r="AK519">
        <v>320</v>
      </c>
      <c r="AL519" s="7">
        <v>0.14116703389086985</v>
      </c>
    </row>
    <row r="520" spans="28:38" x14ac:dyDescent="0.3">
      <c r="AB520">
        <v>515</v>
      </c>
      <c r="AC520" s="7">
        <v>0.43645748718224253</v>
      </c>
      <c r="AD520">
        <v>0.89911635243781474</v>
      </c>
      <c r="AE520">
        <v>0.94300251479279196</v>
      </c>
      <c r="AF520" s="7">
        <v>5.8686329551819814E-2</v>
      </c>
      <c r="AG520" s="10">
        <v>113.42924624055121</v>
      </c>
      <c r="AH520" s="1">
        <v>0.44942354907668025</v>
      </c>
      <c r="AI520" s="10">
        <v>17.58001193578707</v>
      </c>
      <c r="AJ520" s="32">
        <v>1803.1899626908205</v>
      </c>
      <c r="AK520">
        <v>320</v>
      </c>
      <c r="AL520" s="7">
        <v>0.23438757923434125</v>
      </c>
    </row>
    <row r="521" spans="28:38" x14ac:dyDescent="0.3">
      <c r="AB521">
        <v>516</v>
      </c>
      <c r="AC521" s="7">
        <v>0.52865212437946463</v>
      </c>
      <c r="AD521">
        <v>1.078582139934269</v>
      </c>
      <c r="AE521">
        <v>0.95124576547662831</v>
      </c>
      <c r="AF521" s="7">
        <v>4.9982821351888536E-2</v>
      </c>
      <c r="AG521" s="10">
        <v>122.36397878870244</v>
      </c>
      <c r="AH521" s="1">
        <v>0.61894897411737193</v>
      </c>
      <c r="AI521" s="10">
        <v>35.551418366197588</v>
      </c>
      <c r="AJ521" s="32">
        <v>1775.5556107697812</v>
      </c>
      <c r="AK521">
        <v>320</v>
      </c>
      <c r="AL521" s="7">
        <v>0.33331393969404799</v>
      </c>
    </row>
    <row r="522" spans="28:38" x14ac:dyDescent="0.3">
      <c r="AB522">
        <v>517</v>
      </c>
      <c r="AC522" s="7">
        <v>0.84495347802775023</v>
      </c>
      <c r="AD522">
        <v>2.4235713128493068</v>
      </c>
      <c r="AE522">
        <v>0.96669437147759774</v>
      </c>
      <c r="AF522" s="7">
        <v>3.3872891937136544E-2</v>
      </c>
      <c r="AG522" s="10">
        <v>133.44353092931507</v>
      </c>
      <c r="AH522" s="1">
        <v>2.0811106385627047</v>
      </c>
      <c r="AI522" s="10">
        <v>582.58521633706334</v>
      </c>
      <c r="AJ522" s="32">
        <v>1788.7683110445112</v>
      </c>
      <c r="AK522">
        <v>320</v>
      </c>
      <c r="AL522" s="7">
        <v>1.3492882572131586</v>
      </c>
    </row>
    <row r="523" spans="28:38" x14ac:dyDescent="0.3">
      <c r="AB523">
        <v>518</v>
      </c>
      <c r="AC523" s="7">
        <v>0.15298294563436704</v>
      </c>
      <c r="AD523">
        <v>0.37812525543515235</v>
      </c>
      <c r="AE523">
        <v>0.94698693624453789</v>
      </c>
      <c r="AF523" s="7">
        <v>5.4469980775540786E-2</v>
      </c>
      <c r="AG523" s="10">
        <v>124.24901496028735</v>
      </c>
      <c r="AH523" s="1">
        <v>0.11085977915067917</v>
      </c>
      <c r="AI523" s="10">
        <v>1.2629406369968936</v>
      </c>
      <c r="AJ523" s="32">
        <v>1764.130698518682</v>
      </c>
      <c r="AK523">
        <v>320</v>
      </c>
      <c r="AL523" s="7">
        <v>6.2822682930732052E-2</v>
      </c>
    </row>
    <row r="524" spans="28:38" x14ac:dyDescent="0.3">
      <c r="AB524">
        <v>519</v>
      </c>
      <c r="AC524" s="7">
        <v>0.30915377985143838</v>
      </c>
      <c r="AD524">
        <v>0.56488588400425477</v>
      </c>
      <c r="AE524">
        <v>0.94931629663166595</v>
      </c>
      <c r="AF524" s="7">
        <v>5.2013241243246119E-2</v>
      </c>
      <c r="AG524" s="10">
        <v>124.6878918906967</v>
      </c>
      <c r="AH524" s="1">
        <v>0.22532030959297059</v>
      </c>
      <c r="AI524" s="10">
        <v>5.4823661105950467</v>
      </c>
      <c r="AJ524" s="32">
        <v>1795.3527256841412</v>
      </c>
      <c r="AK524">
        <v>320</v>
      </c>
      <c r="AL524" s="7">
        <v>0.13089077162126259</v>
      </c>
    </row>
    <row r="525" spans="28:38" x14ac:dyDescent="0.3">
      <c r="AB525">
        <v>520</v>
      </c>
      <c r="AC525" s="7">
        <v>0.77824959980290342</v>
      </c>
      <c r="AD525">
        <v>2.1507000312989595</v>
      </c>
      <c r="AE525">
        <v>0.96148363583827723</v>
      </c>
      <c r="AF525" s="7">
        <v>3.9277733507102452E-2</v>
      </c>
      <c r="AG525" s="10">
        <v>131.06531548515878</v>
      </c>
      <c r="AH525" s="1">
        <v>1.7122978028162299</v>
      </c>
      <c r="AI525" s="10">
        <v>304.40967164039597</v>
      </c>
      <c r="AJ525" s="32">
        <v>1766.1281773307442</v>
      </c>
      <c r="AK525">
        <v>320</v>
      </c>
      <c r="AL525" s="7">
        <v>0.97533595436456533</v>
      </c>
    </row>
    <row r="526" spans="28:38" x14ac:dyDescent="0.3">
      <c r="AB526">
        <v>521</v>
      </c>
      <c r="AC526" s="7">
        <v>0.31710875376596165</v>
      </c>
      <c r="AD526">
        <v>0.733028889547651</v>
      </c>
      <c r="AE526">
        <v>0.93256402132015592</v>
      </c>
      <c r="AF526" s="7">
        <v>6.9817474249639522E-2</v>
      </c>
      <c r="AG526" s="10">
        <v>110.57725680726993</v>
      </c>
      <c r="AH526" s="1">
        <v>0.29988585631874642</v>
      </c>
      <c r="AI526" s="10">
        <v>6.1309724259040532</v>
      </c>
      <c r="AJ526" s="32">
        <v>1797.5376743304173</v>
      </c>
      <c r="AK526">
        <v>320</v>
      </c>
      <c r="AL526" s="7">
        <v>0.13841708287256368</v>
      </c>
    </row>
    <row r="527" spans="28:38" x14ac:dyDescent="0.3">
      <c r="AB527">
        <v>522</v>
      </c>
      <c r="AC527" s="7">
        <v>0.18907553725820073</v>
      </c>
      <c r="AD527">
        <v>0.39343239695142423</v>
      </c>
      <c r="AE527">
        <v>0.94999254354918128</v>
      </c>
      <c r="AF527" s="7">
        <v>5.1301143313951927E-2</v>
      </c>
      <c r="AG527" s="10">
        <v>123.93427623140447</v>
      </c>
      <c r="AH527" s="1">
        <v>0.12439589827919095</v>
      </c>
      <c r="AI527" s="10">
        <v>2.1813379570274738</v>
      </c>
      <c r="AJ527" s="32">
        <v>1837.1093526567679</v>
      </c>
      <c r="AK527">
        <v>320</v>
      </c>
      <c r="AL527" s="7">
        <v>8.2563194679656476E-2</v>
      </c>
    </row>
    <row r="528" spans="28:38" x14ac:dyDescent="0.3">
      <c r="AB528">
        <v>523</v>
      </c>
      <c r="AC528" s="7">
        <v>0.31580697037030686</v>
      </c>
      <c r="AD528">
        <v>0.65809420155433229</v>
      </c>
      <c r="AE528">
        <v>0.93946902895352902</v>
      </c>
      <c r="AF528" s="7">
        <v>6.2440426128584629E-2</v>
      </c>
      <c r="AG528" s="10">
        <v>111.6620847362874</v>
      </c>
      <c r="AH528" s="1">
        <v>0.26836170705761075</v>
      </c>
      <c r="AI528" s="10">
        <v>5.2148759210701607</v>
      </c>
      <c r="AJ528" s="32">
        <v>1751.2804605177832</v>
      </c>
      <c r="AK528">
        <v>320</v>
      </c>
      <c r="AL528" s="7">
        <v>0.12765769562914825</v>
      </c>
    </row>
    <row r="529" spans="28:38" x14ac:dyDescent="0.3">
      <c r="AB529">
        <v>524</v>
      </c>
      <c r="AC529" s="7">
        <v>1.0715080552689102</v>
      </c>
      <c r="AD529">
        <v>6.7095824299846285</v>
      </c>
      <c r="AE529">
        <v>0.9599405588584079</v>
      </c>
      <c r="AF529" s="7">
        <v>4.0883914293069798E-2</v>
      </c>
      <c r="AG529" s="10">
        <v>127.58992996752379</v>
      </c>
      <c r="AH529" s="1">
        <v>7.2294310623608702</v>
      </c>
      <c r="AI529" s="10">
        <v>4045.3721754374374</v>
      </c>
      <c r="AJ529" s="32">
        <v>1766.7624763928661</v>
      </c>
      <c r="AK529">
        <v>320</v>
      </c>
      <c r="AL529" s="7">
        <v>3.5555292219642904</v>
      </c>
    </row>
    <row r="530" spans="28:38" x14ac:dyDescent="0.3">
      <c r="AB530">
        <v>525</v>
      </c>
      <c r="AC530" s="7">
        <v>0.34472219434227769</v>
      </c>
      <c r="AD530">
        <v>0.73550428945906066</v>
      </c>
      <c r="AE530">
        <v>0.93827215384690599</v>
      </c>
      <c r="AF530" s="7">
        <v>6.3715229365234272E-2</v>
      </c>
      <c r="AG530" s="10">
        <v>113.35020389294242</v>
      </c>
      <c r="AH530" s="1">
        <v>0.31527249876357916</v>
      </c>
      <c r="AI530" s="10">
        <v>7.579606349145501</v>
      </c>
      <c r="AJ530" s="32">
        <v>1791.0085285628872</v>
      </c>
      <c r="AK530">
        <v>320</v>
      </c>
      <c r="AL530" s="7">
        <v>0.15390344323984337</v>
      </c>
    </row>
    <row r="531" spans="28:38" x14ac:dyDescent="0.3">
      <c r="AB531">
        <v>526</v>
      </c>
      <c r="AC531" s="7">
        <v>0.30156567444783361</v>
      </c>
      <c r="AD531">
        <v>0.55311392993926078</v>
      </c>
      <c r="AE531">
        <v>0.94850067512086178</v>
      </c>
      <c r="AF531" s="7">
        <v>5.2872777829923702E-2</v>
      </c>
      <c r="AG531" s="10">
        <v>120.22148901283003</v>
      </c>
      <c r="AH531" s="1">
        <v>0.21829950020776318</v>
      </c>
      <c r="AI531" s="10">
        <v>5.1182630316154167</v>
      </c>
      <c r="AJ531" s="32">
        <v>1791.8849551483672</v>
      </c>
      <c r="AK531">
        <v>320</v>
      </c>
      <c r="AL531" s="7">
        <v>0.12646964842917124</v>
      </c>
    </row>
    <row r="532" spans="28:38" x14ac:dyDescent="0.3">
      <c r="AB532">
        <v>527</v>
      </c>
      <c r="AC532" s="7">
        <v>0.38800673137946207</v>
      </c>
      <c r="AD532">
        <v>0.77849443490677739</v>
      </c>
      <c r="AE532">
        <v>0.94390350798486211</v>
      </c>
      <c r="AF532" s="7">
        <v>5.7731334178790554E-2</v>
      </c>
      <c r="AG532" s="10">
        <v>118.86748095001917</v>
      </c>
      <c r="AH532" s="1">
        <v>0.35815757310041796</v>
      </c>
      <c r="AI532" s="10">
        <v>11.236237281995422</v>
      </c>
      <c r="AJ532" s="32">
        <v>1799.5177457776788</v>
      </c>
      <c r="AK532">
        <v>320</v>
      </c>
      <c r="AL532" s="7">
        <v>0.18738527558545173</v>
      </c>
    </row>
    <row r="533" spans="28:38" x14ac:dyDescent="0.3">
      <c r="AB533">
        <v>528</v>
      </c>
      <c r="AC533" s="7">
        <v>0.52218879951039554</v>
      </c>
      <c r="AD533">
        <v>1.0888177171824358</v>
      </c>
      <c r="AE533">
        <v>0.94842664279107347</v>
      </c>
      <c r="AF533" s="7">
        <v>5.2950832828791441E-2</v>
      </c>
      <c r="AG533" s="10">
        <v>117.04235964260825</v>
      </c>
      <c r="AH533" s="1">
        <v>0.62014177383007207</v>
      </c>
      <c r="AI533" s="10">
        <v>30.66243371532622</v>
      </c>
      <c r="AJ533" s="32">
        <v>1743.3991535888701</v>
      </c>
      <c r="AK533">
        <v>320</v>
      </c>
      <c r="AL533" s="7">
        <v>0.30954822784243885</v>
      </c>
    </row>
    <row r="534" spans="28:38" x14ac:dyDescent="0.3">
      <c r="AB534">
        <v>529</v>
      </c>
      <c r="AC534" s="7">
        <v>0.60074971721435655</v>
      </c>
      <c r="AD534">
        <v>1.3177732528624704</v>
      </c>
      <c r="AE534">
        <v>0.955042728039042</v>
      </c>
      <c r="AF534" s="7">
        <v>4.5999198100135266E-2</v>
      </c>
      <c r="AG534" s="10">
        <v>129.88634682690812</v>
      </c>
      <c r="AH534" s="1">
        <v>0.83660918097072989</v>
      </c>
      <c r="AI534" s="10">
        <v>64.1696520110373</v>
      </c>
      <c r="AJ534" s="32">
        <v>1765.3568060766243</v>
      </c>
      <c r="AK534">
        <v>320</v>
      </c>
      <c r="AL534" s="7">
        <v>0.44780594294235487</v>
      </c>
    </row>
    <row r="535" spans="28:38" x14ac:dyDescent="0.3">
      <c r="AB535">
        <v>530</v>
      </c>
      <c r="AC535" s="7">
        <v>0.54750188263742161</v>
      </c>
      <c r="AD535">
        <v>1.0613454922260857</v>
      </c>
      <c r="AE535">
        <v>0.95563941597222613</v>
      </c>
      <c r="AF535" s="7">
        <v>4.5374617026353051E-2</v>
      </c>
      <c r="AG535" s="10">
        <v>125.59684871273652</v>
      </c>
      <c r="AH535" s="1">
        <v>0.62544923915029671</v>
      </c>
      <c r="AI535" s="10">
        <v>37.141114639573175</v>
      </c>
      <c r="AJ535" s="32">
        <v>1738.7067506632534</v>
      </c>
      <c r="AK535">
        <v>320</v>
      </c>
      <c r="AL535" s="7">
        <v>0.34068458029189724</v>
      </c>
    </row>
    <row r="536" spans="28:38" x14ac:dyDescent="0.3">
      <c r="AB536">
        <v>531</v>
      </c>
      <c r="AC536" s="7">
        <v>0.53629955056459677</v>
      </c>
      <c r="AD536">
        <v>1.0718409468876831</v>
      </c>
      <c r="AE536">
        <v>0.95394554335768122</v>
      </c>
      <c r="AF536" s="7">
        <v>4.7148691597411092E-2</v>
      </c>
      <c r="AG536" s="10">
        <v>127.80331894730385</v>
      </c>
      <c r="AH536" s="1">
        <v>0.62088227473491509</v>
      </c>
      <c r="AI536" s="10">
        <v>36.215246574781695</v>
      </c>
      <c r="AJ536" s="32">
        <v>1762.7107324163899</v>
      </c>
      <c r="AK536">
        <v>320</v>
      </c>
      <c r="AL536" s="7">
        <v>0.33641142303166938</v>
      </c>
    </row>
    <row r="537" spans="28:38" x14ac:dyDescent="0.3">
      <c r="AB537">
        <v>532</v>
      </c>
      <c r="AC537" s="7">
        <v>0.62386313841204444</v>
      </c>
      <c r="AD537">
        <v>1.4695726957445681</v>
      </c>
      <c r="AE537">
        <v>0.95151184923549337</v>
      </c>
      <c r="AF537" s="7">
        <v>4.9703139106980238E-2</v>
      </c>
      <c r="AG537" s="10">
        <v>120.84550624068719</v>
      </c>
      <c r="AH537" s="1">
        <v>0.96530038485636138</v>
      </c>
      <c r="AI537" s="10">
        <v>88.202756186118933</v>
      </c>
      <c r="AJ537" s="32">
        <v>1798.1135519610671</v>
      </c>
      <c r="AK537">
        <v>320</v>
      </c>
      <c r="AL537" s="7">
        <v>0.52500820287079486</v>
      </c>
    </row>
    <row r="538" spans="28:38" x14ac:dyDescent="0.3">
      <c r="AB538">
        <v>533</v>
      </c>
      <c r="AC538" s="7">
        <v>0.35536739632502162</v>
      </c>
      <c r="AD538">
        <v>0.71421377787421558</v>
      </c>
      <c r="AE538">
        <v>0.94336747536885412</v>
      </c>
      <c r="AF538" s="7">
        <v>5.8299384697396449E-2</v>
      </c>
      <c r="AG538" s="10">
        <v>120.03084631445158</v>
      </c>
      <c r="AH538" s="1">
        <v>0.31044081529376322</v>
      </c>
      <c r="AI538" s="10">
        <v>9.0473135660037531</v>
      </c>
      <c r="AJ538" s="32">
        <v>1822.5050701529285</v>
      </c>
      <c r="AK538">
        <v>320</v>
      </c>
      <c r="AL538" s="7">
        <v>0.16814533860253672</v>
      </c>
    </row>
    <row r="539" spans="28:38" x14ac:dyDescent="0.3">
      <c r="AB539">
        <v>534</v>
      </c>
      <c r="AC539" s="7">
        <v>0.35286279972271428</v>
      </c>
      <c r="AD539">
        <v>0.65353570372435588</v>
      </c>
      <c r="AE539">
        <v>0.94788338357875335</v>
      </c>
      <c r="AF539" s="7">
        <v>5.3523797396428353E-2</v>
      </c>
      <c r="AG539" s="10">
        <v>120.56698818596776</v>
      </c>
      <c r="AH539" s="1">
        <v>0.28272505455617719</v>
      </c>
      <c r="AI539" s="10">
        <v>7.4318940812611896</v>
      </c>
      <c r="AJ539" s="32">
        <v>1767.3671796571264</v>
      </c>
      <c r="AK539">
        <v>320</v>
      </c>
      <c r="AL539" s="7">
        <v>0.15239642057456998</v>
      </c>
    </row>
    <row r="540" spans="28:38" x14ac:dyDescent="0.3">
      <c r="AB540">
        <v>535</v>
      </c>
      <c r="AC540" s="7">
        <v>0.43633777301315096</v>
      </c>
      <c r="AD540">
        <v>0.88675904492538726</v>
      </c>
      <c r="AE540">
        <v>0.94490136683110404</v>
      </c>
      <c r="AF540" s="7">
        <v>5.6674730659409867E-2</v>
      </c>
      <c r="AG540" s="10">
        <v>118.16558128375981</v>
      </c>
      <c r="AH540" s="1">
        <v>0.44202510003090811</v>
      </c>
      <c r="AI540" s="10">
        <v>17.675465863989665</v>
      </c>
      <c r="AJ540" s="32">
        <v>1808.4422236213086</v>
      </c>
      <c r="AK540">
        <v>320</v>
      </c>
      <c r="AL540" s="7">
        <v>0.23502304317868006</v>
      </c>
    </row>
    <row r="541" spans="28:38" x14ac:dyDescent="0.3">
      <c r="AB541">
        <v>536</v>
      </c>
      <c r="AC541" s="7">
        <v>0.64229190542345072</v>
      </c>
      <c r="AD541">
        <v>1.43709850749556</v>
      </c>
      <c r="AE541">
        <v>0.95660215655628078</v>
      </c>
      <c r="AF541" s="7">
        <v>4.4367693341366088E-2</v>
      </c>
      <c r="AG541" s="10">
        <v>125.39316264560368</v>
      </c>
      <c r="AH541" s="1">
        <v>0.9664345821042396</v>
      </c>
      <c r="AI541" s="10">
        <v>97.134790309410789</v>
      </c>
      <c r="AJ541" s="32">
        <v>1780.0061718581196</v>
      </c>
      <c r="AK541">
        <v>320</v>
      </c>
      <c r="AL541" s="7">
        <v>0.55095028788168243</v>
      </c>
    </row>
    <row r="542" spans="28:38" x14ac:dyDescent="0.3">
      <c r="AB542">
        <v>537</v>
      </c>
      <c r="AC542" s="7">
        <v>0.51427379076833368</v>
      </c>
      <c r="AD542">
        <v>0.90026984781351649</v>
      </c>
      <c r="AE542">
        <v>0.9600467586697814</v>
      </c>
      <c r="AF542" s="7">
        <v>4.0773288758711036E-2</v>
      </c>
      <c r="AG542" s="10">
        <v>137.678507158717</v>
      </c>
      <c r="AH542" s="1">
        <v>0.50293842867970651</v>
      </c>
      <c r="AI542" s="10">
        <v>32.648503522937261</v>
      </c>
      <c r="AJ542" s="32">
        <v>1795.7375715376097</v>
      </c>
      <c r="AK542">
        <v>320</v>
      </c>
      <c r="AL542" s="7">
        <v>0.31941598818653233</v>
      </c>
    </row>
    <row r="543" spans="28:38" x14ac:dyDescent="0.3">
      <c r="AB543">
        <v>538</v>
      </c>
      <c r="AC543" s="7">
        <v>0.7013163378095888</v>
      </c>
      <c r="AD543">
        <v>1.6872799423187306</v>
      </c>
      <c r="AE543">
        <v>0.96155302709303436</v>
      </c>
      <c r="AF543" s="7">
        <v>3.9205565091258027E-2</v>
      </c>
      <c r="AG543" s="10">
        <v>138.63259235989952</v>
      </c>
      <c r="AH543" s="1">
        <v>1.221763962913512</v>
      </c>
      <c r="AI543" s="10">
        <v>158.23834879373518</v>
      </c>
      <c r="AJ543" s="32">
        <v>1774.8649474942777</v>
      </c>
      <c r="AK543">
        <v>320</v>
      </c>
      <c r="AL543" s="7">
        <v>0.70320327074070299</v>
      </c>
    </row>
    <row r="544" spans="28:38" x14ac:dyDescent="0.3">
      <c r="AB544">
        <v>539</v>
      </c>
      <c r="AC544" s="7">
        <v>0.45083233755553298</v>
      </c>
      <c r="AD544">
        <v>0.82411385366217005</v>
      </c>
      <c r="AE544">
        <v>0.95275396765393749</v>
      </c>
      <c r="AF544" s="7">
        <v>4.8398574813918155E-2</v>
      </c>
      <c r="AG544" s="10">
        <v>126.45706216898905</v>
      </c>
      <c r="AH544" s="1">
        <v>0.41878320740447705</v>
      </c>
      <c r="AI544" s="10">
        <v>18.20363033030787</v>
      </c>
      <c r="AJ544" s="32">
        <v>1782.1276996414583</v>
      </c>
      <c r="AK544">
        <v>320</v>
      </c>
      <c r="AL544" s="7">
        <v>0.23850858429459534</v>
      </c>
    </row>
    <row r="545" spans="28:38" x14ac:dyDescent="0.3">
      <c r="AB545">
        <v>540</v>
      </c>
      <c r="AC545" s="7">
        <v>0.49120751311506478</v>
      </c>
      <c r="AD545">
        <v>1.1201596947801542</v>
      </c>
      <c r="AE545">
        <v>0.94098205124106959</v>
      </c>
      <c r="AF545" s="7">
        <v>6.0831213711434448E-2</v>
      </c>
      <c r="AG545" s="10">
        <v>115.85507012894695</v>
      </c>
      <c r="AH545" s="1">
        <v>0.60924880672361992</v>
      </c>
      <c r="AI545" s="10">
        <v>25.301771424840087</v>
      </c>
      <c r="AJ545" s="32">
        <v>1766.6604431789419</v>
      </c>
      <c r="AK545">
        <v>320</v>
      </c>
      <c r="AL545" s="7">
        <v>0.28119039048770011</v>
      </c>
    </row>
    <row r="546" spans="28:38" x14ac:dyDescent="0.3">
      <c r="AB546">
        <v>541</v>
      </c>
      <c r="AC546" s="7">
        <v>0.45054781377848285</v>
      </c>
      <c r="AD546">
        <v>0.93145294615529617</v>
      </c>
      <c r="AE546">
        <v>0.94392307800973785</v>
      </c>
      <c r="AF546" s="7">
        <v>5.7710601315908314E-2</v>
      </c>
      <c r="AG546" s="10">
        <v>115.08437875809352</v>
      </c>
      <c r="AH546" s="1">
        <v>0.47574101051805773</v>
      </c>
      <c r="AI546" s="10">
        <v>22.025296743009761</v>
      </c>
      <c r="AJ546" s="32">
        <v>1836.7613438988294</v>
      </c>
      <c r="AK546">
        <v>320</v>
      </c>
      <c r="AL546" s="7">
        <v>0.26235291559634993</v>
      </c>
    </row>
    <row r="547" spans="28:38" x14ac:dyDescent="0.3">
      <c r="AB547">
        <v>542</v>
      </c>
      <c r="AC547" s="7">
        <v>0.76913598030594765</v>
      </c>
      <c r="AD547">
        <v>2.3357631538015102</v>
      </c>
      <c r="AE547">
        <v>0.95414291599521472</v>
      </c>
      <c r="AF547" s="7">
        <v>4.6941811630950431E-2</v>
      </c>
      <c r="AG547" s="10">
        <v>121.73642205966387</v>
      </c>
      <c r="AH547" s="1">
        <v>1.8423765670664216</v>
      </c>
      <c r="AI547" s="10">
        <v>342.19395432754908</v>
      </c>
      <c r="AJ547" s="32">
        <v>1824.4100790269033</v>
      </c>
      <c r="AK547">
        <v>320</v>
      </c>
      <c r="AL547" s="7">
        <v>1.0340967591447092</v>
      </c>
    </row>
    <row r="548" spans="28:38" x14ac:dyDescent="0.3">
      <c r="AB548">
        <v>543</v>
      </c>
      <c r="AC548" s="7">
        <v>0.30288762420422843</v>
      </c>
      <c r="AD548">
        <v>0.63150118360224639</v>
      </c>
      <c r="AE548">
        <v>0.93952903338726956</v>
      </c>
      <c r="AF548" s="7">
        <v>6.2376557586127285E-2</v>
      </c>
      <c r="AG548" s="10">
        <v>110.92465703965324</v>
      </c>
      <c r="AH548" s="1">
        <v>0.25174485979617311</v>
      </c>
      <c r="AI548" s="10">
        <v>4.5426722809946787</v>
      </c>
      <c r="AJ548" s="32">
        <v>1742.90038892089</v>
      </c>
      <c r="AK548">
        <v>320</v>
      </c>
      <c r="AL548" s="7">
        <v>0.11914634227750498</v>
      </c>
    </row>
    <row r="549" spans="28:38" x14ac:dyDescent="0.3">
      <c r="AB549">
        <v>544</v>
      </c>
      <c r="AC549" s="7">
        <v>0.62149014938912261</v>
      </c>
      <c r="AD549">
        <v>1.2481911375428543</v>
      </c>
      <c r="AE549">
        <v>0.96103445363179563</v>
      </c>
      <c r="AF549" s="7">
        <v>3.9745018800401169E-2</v>
      </c>
      <c r="AG549" s="10">
        <v>133.18058382542085</v>
      </c>
      <c r="AH549" s="1">
        <v>0.81470404290589171</v>
      </c>
      <c r="AI549" s="10">
        <v>79.42616827092327</v>
      </c>
      <c r="AJ549" s="32">
        <v>1777.4753015763442</v>
      </c>
      <c r="AK549">
        <v>320</v>
      </c>
      <c r="AL549" s="7">
        <v>0.49820354860903515</v>
      </c>
    </row>
    <row r="550" spans="28:38" x14ac:dyDescent="0.3">
      <c r="AB550">
        <v>545</v>
      </c>
      <c r="AC550" s="7">
        <v>0.14343803597151908</v>
      </c>
      <c r="AD550">
        <v>0.40724674644386016</v>
      </c>
      <c r="AE550">
        <v>0.94023629815320064</v>
      </c>
      <c r="AF550" s="7">
        <v>6.1624054294957216E-2</v>
      </c>
      <c r="AG550" s="10">
        <v>115.96039064978676</v>
      </c>
      <c r="AH550" s="1">
        <v>0.11817837531249788</v>
      </c>
      <c r="AI550" s="10">
        <v>1.4435074217548824</v>
      </c>
      <c r="AJ550" s="32">
        <v>1827.5839039154785</v>
      </c>
      <c r="AK550">
        <v>320</v>
      </c>
      <c r="AL550" s="7">
        <v>6.7163685820419414E-2</v>
      </c>
    </row>
    <row r="551" spans="28:38" x14ac:dyDescent="0.3">
      <c r="AB551">
        <v>546</v>
      </c>
      <c r="AC551" s="7">
        <v>0.51034602902634818</v>
      </c>
      <c r="AD551">
        <v>1.1032500728448291</v>
      </c>
      <c r="AE551">
        <v>0.94526626007433878</v>
      </c>
      <c r="AF551" s="7">
        <v>5.6288634481934822E-2</v>
      </c>
      <c r="AG551" s="10">
        <v>115.47045533603485</v>
      </c>
      <c r="AH551" s="1">
        <v>0.6177730336250491</v>
      </c>
      <c r="AI551" s="10">
        <v>29.615853750298157</v>
      </c>
      <c r="AJ551" s="32">
        <v>1764.0429190330085</v>
      </c>
      <c r="AK551">
        <v>320</v>
      </c>
      <c r="AL551" s="7">
        <v>0.30421956375236903</v>
      </c>
    </row>
    <row r="552" spans="28:38" x14ac:dyDescent="0.3">
      <c r="AB552">
        <v>547</v>
      </c>
      <c r="AC552" s="7">
        <v>0.507017853971509</v>
      </c>
      <c r="AD552">
        <v>0.98978857709513512</v>
      </c>
      <c r="AE552">
        <v>0.95176263176381537</v>
      </c>
      <c r="AF552" s="7">
        <v>4.9439611662802384E-2</v>
      </c>
      <c r="AG552" s="10">
        <v>121.56797677637009</v>
      </c>
      <c r="AH552" s="1">
        <v>0.55007784848047359</v>
      </c>
      <c r="AI552" s="10">
        <v>28.52199778664189</v>
      </c>
      <c r="AJ552" s="32">
        <v>1765.7350072828024</v>
      </c>
      <c r="AK552">
        <v>320</v>
      </c>
      <c r="AL552" s="7">
        <v>0.29854856067858693</v>
      </c>
    </row>
    <row r="553" spans="28:38" x14ac:dyDescent="0.3">
      <c r="AB553">
        <v>548</v>
      </c>
      <c r="AC553" s="7">
        <v>0.28821976030116425</v>
      </c>
      <c r="AD553">
        <v>0.47610055796954642</v>
      </c>
      <c r="AE553">
        <v>0.95606757039856416</v>
      </c>
      <c r="AF553" s="7">
        <v>4.492668809524672E-2</v>
      </c>
      <c r="AG553" s="10">
        <v>136.36411438689973</v>
      </c>
      <c r="AH553" s="1">
        <v>0.18115401829866906</v>
      </c>
      <c r="AI553" s="10">
        <v>3.8914061268036564</v>
      </c>
      <c r="AJ553" s="32">
        <v>1750.2666862200549</v>
      </c>
      <c r="AK553">
        <v>320</v>
      </c>
      <c r="AL553" s="7">
        <v>0.11027531068313264</v>
      </c>
    </row>
    <row r="554" spans="28:38" x14ac:dyDescent="0.3">
      <c r="AB554">
        <v>549</v>
      </c>
      <c r="AC554" s="7">
        <v>0.28022569438325079</v>
      </c>
      <c r="AD554">
        <v>0.57815808154109671</v>
      </c>
      <c r="AE554">
        <v>0.94211820167554672</v>
      </c>
      <c r="AF554" s="7">
        <v>5.9624532791947779E-2</v>
      </c>
      <c r="AG554" s="10">
        <v>117.11309057239342</v>
      </c>
      <c r="AH554" s="1">
        <v>0.21989654818759524</v>
      </c>
      <c r="AI554" s="10">
        <v>4.4234912608698327</v>
      </c>
      <c r="AJ554" s="32">
        <v>1803.0091552166921</v>
      </c>
      <c r="AK554">
        <v>320</v>
      </c>
      <c r="AL554" s="7">
        <v>0.11757299940980594</v>
      </c>
    </row>
    <row r="555" spans="28:38" x14ac:dyDescent="0.3">
      <c r="AB555">
        <v>550</v>
      </c>
      <c r="AC555" s="7">
        <v>0.64248583059291142</v>
      </c>
      <c r="AD555">
        <v>1.4962373201712384</v>
      </c>
      <c r="AE555">
        <v>0.9533686361444651</v>
      </c>
      <c r="AF555" s="7">
        <v>4.7753633601208503E-2</v>
      </c>
      <c r="AG555" s="10">
        <v>119.53351990011973</v>
      </c>
      <c r="AH555" s="1">
        <v>1.0079426412698651</v>
      </c>
      <c r="AI555" s="10">
        <v>100.84944556771065</v>
      </c>
      <c r="AJ555" s="32">
        <v>1788.6990541748969</v>
      </c>
      <c r="AK555">
        <v>320</v>
      </c>
      <c r="AL555" s="7">
        <v>0.56138624617913091</v>
      </c>
    </row>
    <row r="556" spans="28:38" x14ac:dyDescent="0.3">
      <c r="AB556">
        <v>551</v>
      </c>
      <c r="AC556" s="7">
        <v>0.13209057082348558</v>
      </c>
      <c r="AD556">
        <v>0.35886211302964682</v>
      </c>
      <c r="AE556">
        <v>0.94676042034871133</v>
      </c>
      <c r="AF556" s="7">
        <v>5.4709205819069635E-2</v>
      </c>
      <c r="AG556" s="10">
        <v>124.04942711309994</v>
      </c>
      <c r="AH556" s="1">
        <v>0.10064188100829692</v>
      </c>
      <c r="AI556" s="10">
        <v>1.0918968463506791</v>
      </c>
      <c r="AJ556" s="32">
        <v>1776.1532914374129</v>
      </c>
      <c r="AK556">
        <v>320</v>
      </c>
      <c r="AL556" s="7">
        <v>5.8413848057167678E-2</v>
      </c>
    </row>
    <row r="557" spans="28:38" x14ac:dyDescent="0.3">
      <c r="AB557">
        <v>552</v>
      </c>
      <c r="AC557" s="7">
        <v>0.5689374768686154</v>
      </c>
      <c r="AD557">
        <v>1.0397476288873586</v>
      </c>
      <c r="AE557">
        <v>0.96029981138137577</v>
      </c>
      <c r="AF557" s="7">
        <v>4.050973975458274E-2</v>
      </c>
      <c r="AG557" s="10">
        <v>129.32217507419375</v>
      </c>
      <c r="AH557" s="1">
        <v>0.63125158117792357</v>
      </c>
      <c r="AI557" s="10">
        <v>50.360611005863866</v>
      </c>
      <c r="AJ557" s="32">
        <v>1778.0082774976458</v>
      </c>
      <c r="AK557">
        <v>320</v>
      </c>
      <c r="AL557" s="7">
        <v>0.39670758676048101</v>
      </c>
    </row>
    <row r="558" spans="28:38" x14ac:dyDescent="0.3">
      <c r="AB558">
        <v>553</v>
      </c>
      <c r="AC558" s="7">
        <v>0.54526005541301781</v>
      </c>
      <c r="AD558">
        <v>1.270200986430807</v>
      </c>
      <c r="AE558">
        <v>0.94433748595138656</v>
      </c>
      <c r="AF558" s="7">
        <v>5.7271670422353337E-2</v>
      </c>
      <c r="AG558" s="10">
        <v>117.38906611918296</v>
      </c>
      <c r="AH558" s="1">
        <v>0.74825237429554514</v>
      </c>
      <c r="AI558" s="10">
        <v>45.677367148786097</v>
      </c>
      <c r="AJ558" s="32">
        <v>1805.2216544057658</v>
      </c>
      <c r="AK558">
        <v>320</v>
      </c>
      <c r="AL558" s="7">
        <v>0.37781182133432056</v>
      </c>
    </row>
    <row r="559" spans="28:38" x14ac:dyDescent="0.3">
      <c r="AB559">
        <v>554</v>
      </c>
      <c r="AC559" s="7">
        <v>0.32171414865645859</v>
      </c>
      <c r="AD559">
        <v>0.48404087454388262</v>
      </c>
      <c r="AE559">
        <v>0.95951287686171793</v>
      </c>
      <c r="AF559" s="7">
        <v>4.1329543237027089E-2</v>
      </c>
      <c r="AG559" s="10">
        <v>135.04399920885618</v>
      </c>
      <c r="AH559" s="1">
        <v>0.19620992100709495</v>
      </c>
      <c r="AI559" s="10">
        <v>5.3640789825341066</v>
      </c>
      <c r="AJ559" s="32">
        <v>1757.791821317795</v>
      </c>
      <c r="AK559">
        <v>320</v>
      </c>
      <c r="AL559" s="7">
        <v>0.12947102695359716</v>
      </c>
    </row>
    <row r="560" spans="28:38" x14ac:dyDescent="0.3">
      <c r="AB560">
        <v>555</v>
      </c>
      <c r="AC560" s="7">
        <v>0.45827618515067231</v>
      </c>
      <c r="AD560">
        <v>0.90030455582504521</v>
      </c>
      <c r="AE560">
        <v>0.94868477169548271</v>
      </c>
      <c r="AF560" s="7">
        <v>5.2678704471931542E-2</v>
      </c>
      <c r="AG560" s="10">
        <v>122.03202264248679</v>
      </c>
      <c r="AH560" s="1">
        <v>0.46390336562178952</v>
      </c>
      <c r="AI560" s="10">
        <v>17.810583371771571</v>
      </c>
      <c r="AJ560" s="32">
        <v>1751.8070200197644</v>
      </c>
      <c r="AK560">
        <v>320</v>
      </c>
      <c r="AL560" s="7">
        <v>0.23591963258022033</v>
      </c>
    </row>
    <row r="561" spans="28:38" x14ac:dyDescent="0.3">
      <c r="AB561">
        <v>556</v>
      </c>
      <c r="AC561" s="7">
        <v>0.51736881348163655</v>
      </c>
      <c r="AD561">
        <v>1.0444428359571976</v>
      </c>
      <c r="AE561">
        <v>0.95098642693212387</v>
      </c>
      <c r="AF561" s="7">
        <v>5.0255488954872175E-2</v>
      </c>
      <c r="AG561" s="10">
        <v>122.3579988413088</v>
      </c>
      <c r="AH561" s="1">
        <v>0.58937572385644699</v>
      </c>
      <c r="AI561" s="10">
        <v>36.210065744419417</v>
      </c>
      <c r="AJ561" s="32">
        <v>1813.1271333811771</v>
      </c>
      <c r="AK561">
        <v>320</v>
      </c>
      <c r="AL561" s="7">
        <v>0.33638735923234492</v>
      </c>
    </row>
    <row r="562" spans="28:38" x14ac:dyDescent="0.3">
      <c r="AB562">
        <v>557</v>
      </c>
      <c r="AC562" s="7">
        <v>0.22246015447707909</v>
      </c>
      <c r="AD562">
        <v>0.53179341866008578</v>
      </c>
      <c r="AE562">
        <v>0.93697141103773529</v>
      </c>
      <c r="AF562" s="7">
        <v>6.5102508374894008E-2</v>
      </c>
      <c r="AG562" s="10">
        <v>115.61148178996963</v>
      </c>
      <c r="AH562" s="1">
        <v>0.18133143502728138</v>
      </c>
      <c r="AI562" s="10">
        <v>2.8109751342693459</v>
      </c>
      <c r="AJ562" s="32">
        <v>1818.6197774016737</v>
      </c>
      <c r="AK562">
        <v>320</v>
      </c>
      <c r="AL562" s="7">
        <v>9.3724582125457909E-2</v>
      </c>
    </row>
    <row r="563" spans="28:38" x14ac:dyDescent="0.3">
      <c r="AB563">
        <v>558</v>
      </c>
      <c r="AC563" s="7">
        <v>0.92215862442220886</v>
      </c>
      <c r="AD563">
        <v>4.2444083377062105</v>
      </c>
      <c r="AE563">
        <v>0.95283338550670427</v>
      </c>
      <c r="AF563" s="7">
        <v>4.8315222190191902E-2</v>
      </c>
      <c r="AG563" s="10">
        <v>122.07180378207774</v>
      </c>
      <c r="AH563" s="1">
        <v>3.9611843686786088</v>
      </c>
      <c r="AI563" s="10">
        <v>1288.4439339208859</v>
      </c>
      <c r="AJ563" s="32">
        <v>1817.1581964024788</v>
      </c>
      <c r="AK563">
        <v>320</v>
      </c>
      <c r="AL563" s="7">
        <v>2.0065859795938894</v>
      </c>
    </row>
    <row r="564" spans="28:38" x14ac:dyDescent="0.3">
      <c r="AB564">
        <v>559</v>
      </c>
      <c r="AC564" s="7">
        <v>0.65046217500003733</v>
      </c>
      <c r="AD564">
        <v>1.4718190234784163</v>
      </c>
      <c r="AE564">
        <v>0.95882519282324885</v>
      </c>
      <c r="AF564" s="7">
        <v>4.2046501398671117E-2</v>
      </c>
      <c r="AG564" s="10">
        <v>134.53782794657249</v>
      </c>
      <c r="AH564" s="1">
        <v>0.99853741039495281</v>
      </c>
      <c r="AI564" s="10">
        <v>110.06106751167242</v>
      </c>
      <c r="AJ564" s="32">
        <v>1800.1603745689886</v>
      </c>
      <c r="AK564">
        <v>320</v>
      </c>
      <c r="AL564" s="7">
        <v>0.58646469286221847</v>
      </c>
    </row>
    <row r="565" spans="28:38" x14ac:dyDescent="0.3">
      <c r="AB565">
        <v>560</v>
      </c>
      <c r="AC565" s="7">
        <v>0.75752429679049127</v>
      </c>
      <c r="AD565">
        <v>2.3785012117380342</v>
      </c>
      <c r="AE565">
        <v>0.95040477534065637</v>
      </c>
      <c r="AF565" s="7">
        <v>5.0867305827608192E-2</v>
      </c>
      <c r="AG565" s="10">
        <v>118.91884594512042</v>
      </c>
      <c r="AH565" s="1">
        <v>1.8513676824965293</v>
      </c>
      <c r="AI565" s="10">
        <v>255.03071464679178</v>
      </c>
      <c r="AJ565" s="32">
        <v>1760.8415433240971</v>
      </c>
      <c r="AK565">
        <v>320</v>
      </c>
      <c r="AL565" s="7">
        <v>0.89273231333430758</v>
      </c>
    </row>
    <row r="566" spans="28:38" x14ac:dyDescent="0.3">
      <c r="AB566">
        <v>561</v>
      </c>
      <c r="AC566" s="7">
        <v>0.40994013357078707</v>
      </c>
      <c r="AD566">
        <v>0.78805538851666823</v>
      </c>
      <c r="AE566">
        <v>0.94721266801571369</v>
      </c>
      <c r="AF566" s="7">
        <v>5.4231640769834229E-2</v>
      </c>
      <c r="AG566" s="10">
        <v>120.09221389563537</v>
      </c>
      <c r="AH566" s="1">
        <v>0.3758428632139878</v>
      </c>
      <c r="AI566" s="10">
        <v>14.082913489985007</v>
      </c>
      <c r="AJ566" s="32">
        <v>1811.2040797030013</v>
      </c>
      <c r="AK566">
        <v>320</v>
      </c>
      <c r="AL566" s="7">
        <v>0.20978347088415508</v>
      </c>
    </row>
    <row r="567" spans="28:38" x14ac:dyDescent="0.3">
      <c r="AB567">
        <v>562</v>
      </c>
      <c r="AC567" s="7">
        <v>0.30013340222049473</v>
      </c>
      <c r="AD567">
        <v>0.60719015257366804</v>
      </c>
      <c r="AE567">
        <v>0.94191386580191871</v>
      </c>
      <c r="AF567" s="7">
        <v>5.9841446164025119E-2</v>
      </c>
      <c r="AG567" s="10">
        <v>113.45829549223542</v>
      </c>
      <c r="AH567" s="1">
        <v>0.24032418048479756</v>
      </c>
      <c r="AI567" s="10">
        <v>4.6717306259993192</v>
      </c>
      <c r="AJ567" s="32">
        <v>1761.8872494754035</v>
      </c>
      <c r="AK567">
        <v>320</v>
      </c>
      <c r="AL567" s="7">
        <v>0.12082697631840281</v>
      </c>
    </row>
    <row r="568" spans="28:38" x14ac:dyDescent="0.3">
      <c r="AB568">
        <v>563</v>
      </c>
      <c r="AC568" s="7">
        <v>0.13901222048005152</v>
      </c>
      <c r="AD568">
        <v>0.36594315701236324</v>
      </c>
      <c r="AE568">
        <v>0.94699886770457065</v>
      </c>
      <c r="AF568" s="7">
        <v>5.4457381462485709E-2</v>
      </c>
      <c r="AG568" s="10">
        <v>126.49126934542737</v>
      </c>
      <c r="AH568" s="1">
        <v>0.1038717031211981</v>
      </c>
      <c r="AI568" s="10">
        <v>1.2070095860735834</v>
      </c>
      <c r="AJ568" s="32">
        <v>1790.3508338296665</v>
      </c>
      <c r="AK568">
        <v>320</v>
      </c>
      <c r="AL568" s="7">
        <v>6.1415836365549467E-2</v>
      </c>
    </row>
    <row r="569" spans="28:38" x14ac:dyDescent="0.3">
      <c r="AB569">
        <v>564</v>
      </c>
      <c r="AC569" s="7">
        <v>0.83873224684699121</v>
      </c>
      <c r="AD569">
        <v>2.8876612662400798</v>
      </c>
      <c r="AE569">
        <v>0.95786153262216556</v>
      </c>
      <c r="AF569" s="7">
        <v>4.3052049430583224E-2</v>
      </c>
      <c r="AG569" s="10">
        <v>127.858445492203</v>
      </c>
      <c r="AH569" s="1">
        <v>2.4641130893444041</v>
      </c>
      <c r="AI569" s="10">
        <v>554.92164347318396</v>
      </c>
      <c r="AJ569" s="32">
        <v>1785.9638402371597</v>
      </c>
      <c r="AK569">
        <v>320</v>
      </c>
      <c r="AL569" s="7">
        <v>1.3168637499201274</v>
      </c>
    </row>
    <row r="570" spans="28:38" x14ac:dyDescent="0.3">
      <c r="AB570">
        <v>565</v>
      </c>
      <c r="AC570" s="7">
        <v>0.48848935293660084</v>
      </c>
      <c r="AD570">
        <v>0.8821569868501713</v>
      </c>
      <c r="AE570">
        <v>0.95541965933234729</v>
      </c>
      <c r="AF570" s="7">
        <v>4.5604601168326722E-2</v>
      </c>
      <c r="AG570" s="10">
        <v>127.19509893316021</v>
      </c>
      <c r="AH570" s="1">
        <v>0.47550463636259438</v>
      </c>
      <c r="AI570" s="10">
        <v>24.097614613063016</v>
      </c>
      <c r="AJ570" s="32">
        <v>1766.7255733750867</v>
      </c>
      <c r="AK570">
        <v>320</v>
      </c>
      <c r="AL570" s="7">
        <v>0.27441764824045467</v>
      </c>
    </row>
    <row r="571" spans="28:38" x14ac:dyDescent="0.3">
      <c r="AB571">
        <v>566</v>
      </c>
      <c r="AC571" s="7">
        <v>0.5136589442837004</v>
      </c>
      <c r="AD571">
        <v>1.099275529226563</v>
      </c>
      <c r="AE571">
        <v>0.94675406761914827</v>
      </c>
      <c r="AF571" s="7">
        <v>5.4715915806876389E-2</v>
      </c>
      <c r="AG571" s="10">
        <v>118.20651649666576</v>
      </c>
      <c r="AH571" s="1">
        <v>0.61789864020027419</v>
      </c>
      <c r="AI571" s="10">
        <v>34.572980209905467</v>
      </c>
      <c r="AJ571" s="32">
        <v>1805.8907717216418</v>
      </c>
      <c r="AK571">
        <v>320</v>
      </c>
      <c r="AL571" s="7">
        <v>0.32869524358583985</v>
      </c>
    </row>
    <row r="572" spans="28:38" x14ac:dyDescent="0.3">
      <c r="AB572">
        <v>567</v>
      </c>
      <c r="AC572" s="7">
        <v>0.73996236766042878</v>
      </c>
      <c r="AD572">
        <v>2.2113494701716929</v>
      </c>
      <c r="AE572">
        <v>0.95216098551425632</v>
      </c>
      <c r="AF572" s="7">
        <v>4.9021156056034645E-2</v>
      </c>
      <c r="AG572" s="10">
        <v>123.05686881030168</v>
      </c>
      <c r="AH572" s="1">
        <v>1.6841544041586243</v>
      </c>
      <c r="AI572" s="10">
        <v>242.05720696705433</v>
      </c>
      <c r="AJ572" s="32">
        <v>1795.2709108710533</v>
      </c>
      <c r="AK572">
        <v>320</v>
      </c>
      <c r="AL572" s="7">
        <v>0.86972913701453325</v>
      </c>
    </row>
    <row r="573" spans="28:38" x14ac:dyDescent="0.3">
      <c r="AB573">
        <v>568</v>
      </c>
      <c r="AC573" s="7">
        <v>0.80007863378560662</v>
      </c>
      <c r="AD573">
        <v>2.6253754234740589</v>
      </c>
      <c r="AE573">
        <v>0.95269443200777604</v>
      </c>
      <c r="AF573" s="7">
        <v>4.8461064720431921E-2</v>
      </c>
      <c r="AG573" s="10">
        <v>117.80168818305364</v>
      </c>
      <c r="AH573" s="1">
        <v>2.1478123499796578</v>
      </c>
      <c r="AI573" s="10">
        <v>379.44960170796287</v>
      </c>
      <c r="AJ573" s="32">
        <v>1769.0332818236279</v>
      </c>
      <c r="AK573">
        <v>320</v>
      </c>
      <c r="AL573" s="7">
        <v>1.088935262234346</v>
      </c>
    </row>
    <row r="574" spans="28:38" x14ac:dyDescent="0.3">
      <c r="AB574">
        <v>569</v>
      </c>
      <c r="AC574" s="7">
        <v>0.69219216306976772</v>
      </c>
      <c r="AD574">
        <v>1.7187671984390283</v>
      </c>
      <c r="AE574">
        <v>0.9575862530755439</v>
      </c>
      <c r="AF574" s="7">
        <v>4.3339480443396354E-2</v>
      </c>
      <c r="AG574" s="10">
        <v>129.95468666562928</v>
      </c>
      <c r="AH574" s="1">
        <v>1.2321309318253317</v>
      </c>
      <c r="AI574" s="10">
        <v>140.39202184361096</v>
      </c>
      <c r="AJ574" s="32">
        <v>1759.1490493086305</v>
      </c>
      <c r="AK574">
        <v>320</v>
      </c>
      <c r="AL574" s="7">
        <v>0.66236324495044585</v>
      </c>
    </row>
    <row r="575" spans="28:38" x14ac:dyDescent="0.3">
      <c r="AB575">
        <v>570</v>
      </c>
      <c r="AC575" s="7">
        <v>0.68249787016148078</v>
      </c>
      <c r="AD575">
        <v>1.6459523738089124</v>
      </c>
      <c r="AE575">
        <v>0.95593615339940252</v>
      </c>
      <c r="AF575" s="7">
        <v>4.5064153308031492E-2</v>
      </c>
      <c r="AG575" s="10">
        <v>121.67512072495566</v>
      </c>
      <c r="AH575" s="1">
        <v>1.1674228361124137</v>
      </c>
      <c r="AI575" s="10">
        <v>168.63535758575364</v>
      </c>
      <c r="AJ575" s="32">
        <v>1842.2736322455805</v>
      </c>
      <c r="AK575">
        <v>320</v>
      </c>
      <c r="AL575" s="7">
        <v>0.72593766430422946</v>
      </c>
    </row>
    <row r="576" spans="28:38" x14ac:dyDescent="0.3">
      <c r="AB576">
        <v>571</v>
      </c>
      <c r="AC576" s="7">
        <v>0.54264908735343176</v>
      </c>
      <c r="AD576">
        <v>1.0688439571345381</v>
      </c>
      <c r="AE576">
        <v>0.95381648559656029</v>
      </c>
      <c r="AF576" s="7">
        <v>4.7283989144336847E-2</v>
      </c>
      <c r="AG576" s="10">
        <v>122.03022850423608</v>
      </c>
      <c r="AH576" s="1">
        <v>0.62619071226572731</v>
      </c>
      <c r="AI576" s="10">
        <v>38.554538624411592</v>
      </c>
      <c r="AJ576" s="32">
        <v>1762.6023277249371</v>
      </c>
      <c r="AK576">
        <v>320</v>
      </c>
      <c r="AL576" s="7">
        <v>0.34710651564222506</v>
      </c>
    </row>
    <row r="577" spans="28:38" x14ac:dyDescent="0.3">
      <c r="AB577">
        <v>572</v>
      </c>
      <c r="AC577" s="7">
        <v>0.78702117651365866</v>
      </c>
      <c r="AD577">
        <v>2.7481554158201842</v>
      </c>
      <c r="AE577">
        <v>0.94574485565101951</v>
      </c>
      <c r="AF577" s="7">
        <v>5.578245492231243E-2</v>
      </c>
      <c r="AG577" s="10">
        <v>111.53196274416597</v>
      </c>
      <c r="AH577" s="1">
        <v>2.2171116529501651</v>
      </c>
      <c r="AI577" s="10">
        <v>397.794092709567</v>
      </c>
      <c r="AJ577" s="32">
        <v>1816.2123711001757</v>
      </c>
      <c r="AK577">
        <v>320</v>
      </c>
      <c r="AL577" s="7">
        <v>1.1149468775315696</v>
      </c>
    </row>
    <row r="578" spans="28:38" x14ac:dyDescent="0.3">
      <c r="AB578">
        <v>573</v>
      </c>
      <c r="AC578" s="7">
        <v>0.3579404332360166</v>
      </c>
      <c r="AD578">
        <v>0.74266006603873846</v>
      </c>
      <c r="AE578">
        <v>0.94036080982193959</v>
      </c>
      <c r="AF578" s="7">
        <v>6.1491637129799555E-2</v>
      </c>
      <c r="AG578" s="10">
        <v>114.5337667427634</v>
      </c>
      <c r="AH578" s="1">
        <v>0.32546725596305515</v>
      </c>
      <c r="AI578" s="10">
        <v>7.5475426068675686</v>
      </c>
      <c r="AJ578" s="32">
        <v>1753.3419266154408</v>
      </c>
      <c r="AK578">
        <v>320</v>
      </c>
      <c r="AL578" s="7">
        <v>0.15357757208154174</v>
      </c>
    </row>
    <row r="579" spans="28:38" x14ac:dyDescent="0.3">
      <c r="AB579">
        <v>574</v>
      </c>
      <c r="AC579" s="7">
        <v>0.24350125934256789</v>
      </c>
      <c r="AD579">
        <v>0.45004752700228445</v>
      </c>
      <c r="AE579">
        <v>0.95138361527085336</v>
      </c>
      <c r="AF579" s="7">
        <v>4.983791683621025E-2</v>
      </c>
      <c r="AG579" s="10">
        <v>127.18584603172239</v>
      </c>
      <c r="AH579" s="1">
        <v>0.15820352431821122</v>
      </c>
      <c r="AI579" s="10">
        <v>2.5978215268981106</v>
      </c>
      <c r="AJ579" s="32">
        <v>1742.2217352631556</v>
      </c>
      <c r="AK579">
        <v>320</v>
      </c>
      <c r="AL579" s="7">
        <v>9.0101011490196919E-2</v>
      </c>
    </row>
    <row r="580" spans="28:38" x14ac:dyDescent="0.3">
      <c r="AB580">
        <v>575</v>
      </c>
      <c r="AC580" s="7">
        <v>0.52286506147459577</v>
      </c>
      <c r="AD580">
        <v>1.085323173714339</v>
      </c>
      <c r="AE580">
        <v>0.94845406412322342</v>
      </c>
      <c r="AF580" s="7">
        <v>5.2921920802798554E-2</v>
      </c>
      <c r="AG580" s="10">
        <v>116.04074990651247</v>
      </c>
      <c r="AH580" s="1">
        <v>0.61902350382072779</v>
      </c>
      <c r="AI580" s="10">
        <v>41.498577935147189</v>
      </c>
      <c r="AJ580" s="32">
        <v>1837.7820827679238</v>
      </c>
      <c r="AK580">
        <v>320</v>
      </c>
      <c r="AL580" s="7">
        <v>0.36011533714538591</v>
      </c>
    </row>
    <row r="581" spans="28:38" x14ac:dyDescent="0.3">
      <c r="AB581">
        <v>576</v>
      </c>
      <c r="AC581" s="7">
        <v>0.3697165723159383</v>
      </c>
      <c r="AD581">
        <v>0.70257389397236469</v>
      </c>
      <c r="AE581">
        <v>0.94604445027025641</v>
      </c>
      <c r="AF581" s="7">
        <v>5.5465723433447627E-2</v>
      </c>
      <c r="AG581" s="10">
        <v>116.88924962581176</v>
      </c>
      <c r="AH581" s="1">
        <v>0.3137087616078677</v>
      </c>
      <c r="AI581" s="10">
        <v>9.3423729236937927</v>
      </c>
      <c r="AJ581" s="32">
        <v>1790.8559248785857</v>
      </c>
      <c r="AK581">
        <v>320</v>
      </c>
      <c r="AL581" s="7">
        <v>0.17086519653382634</v>
      </c>
    </row>
    <row r="582" spans="28:38" x14ac:dyDescent="0.3">
      <c r="AB582">
        <v>577</v>
      </c>
      <c r="AC582" s="7">
        <v>0.20016930083261664</v>
      </c>
      <c r="AD582">
        <v>0.50032915724723781</v>
      </c>
      <c r="AE582">
        <v>0.9359633049474636</v>
      </c>
      <c r="AF582" s="7">
        <v>6.6179007389004132E-2</v>
      </c>
      <c r="AG582" s="10">
        <v>110.36290091377053</v>
      </c>
      <c r="AH582" s="1">
        <v>0.1641872326448883</v>
      </c>
      <c r="AI582" s="10">
        <v>2.2296072454888174</v>
      </c>
      <c r="AJ582" s="32">
        <v>1802.8299335050594</v>
      </c>
      <c r="AK582">
        <v>320</v>
      </c>
      <c r="AL582" s="7">
        <v>8.3471687668050382E-2</v>
      </c>
    </row>
    <row r="583" spans="28:38" x14ac:dyDescent="0.3">
      <c r="AB583">
        <v>578</v>
      </c>
      <c r="AC583" s="7">
        <v>0.43118618777333712</v>
      </c>
      <c r="AD583">
        <v>0.90021863146879566</v>
      </c>
      <c r="AE583">
        <v>0.94272143119169061</v>
      </c>
      <c r="AF583" s="7">
        <v>5.8984446997675716E-2</v>
      </c>
      <c r="AG583" s="10">
        <v>116.39195964865823</v>
      </c>
      <c r="AH583" s="1">
        <v>0.44544040867387008</v>
      </c>
      <c r="AI583" s="10">
        <v>16.815534568659135</v>
      </c>
      <c r="AJ583" s="32">
        <v>1805.4762797521685</v>
      </c>
      <c r="AK583">
        <v>320</v>
      </c>
      <c r="AL583" s="7">
        <v>0.22923469529514898</v>
      </c>
    </row>
    <row r="584" spans="28:38" x14ac:dyDescent="0.3">
      <c r="AB584">
        <v>579</v>
      </c>
      <c r="AC584" s="7">
        <v>0.54184042186210879</v>
      </c>
      <c r="AD584">
        <v>1.221474759909613</v>
      </c>
      <c r="AE584">
        <v>0.94630753747007579</v>
      </c>
      <c r="AF584" s="7">
        <v>5.5187670298281637E-2</v>
      </c>
      <c r="AG584" s="10">
        <v>119.05232494010839</v>
      </c>
      <c r="AH584" s="1">
        <v>0.71553686173326692</v>
      </c>
      <c r="AI584" s="10">
        <v>40.147084852065205</v>
      </c>
      <c r="AJ584" s="32">
        <v>1774.8402186466897</v>
      </c>
      <c r="AK584">
        <v>320</v>
      </c>
      <c r="AL584" s="7">
        <v>0.35420282348211707</v>
      </c>
    </row>
    <row r="585" spans="28:38" x14ac:dyDescent="0.3">
      <c r="AB585">
        <v>580</v>
      </c>
      <c r="AC585" s="7">
        <v>0.80037768056267988</v>
      </c>
      <c r="AD585">
        <v>2.0317505856732825</v>
      </c>
      <c r="AE585">
        <v>0.96773956731361099</v>
      </c>
      <c r="AF585" s="7">
        <v>3.2792269935253686E-2</v>
      </c>
      <c r="AG585" s="10">
        <v>137.33267534374784</v>
      </c>
      <c r="AH585" s="1">
        <v>1.6584282539294373</v>
      </c>
      <c r="AI585" s="10">
        <v>491.38363562640683</v>
      </c>
      <c r="AJ585" s="32">
        <v>1860.4967734907514</v>
      </c>
      <c r="AK585">
        <v>320</v>
      </c>
      <c r="AL585" s="7">
        <v>1.2391827392812254</v>
      </c>
    </row>
    <row r="586" spans="28:38" x14ac:dyDescent="0.3">
      <c r="AB586">
        <v>581</v>
      </c>
      <c r="AC586" s="7">
        <v>0.50442170085935589</v>
      </c>
      <c r="AD586">
        <v>1.1104008963223635</v>
      </c>
      <c r="AE586">
        <v>0.94456512285535099</v>
      </c>
      <c r="AF586" s="7">
        <v>5.7030644861792275E-2</v>
      </c>
      <c r="AG586" s="10">
        <v>118.20195158837667</v>
      </c>
      <c r="AH586" s="1">
        <v>0.61554518590332885</v>
      </c>
      <c r="AI586" s="10">
        <v>28.231146598628186</v>
      </c>
      <c r="AJ586" s="32">
        <v>1766.6050364007428</v>
      </c>
      <c r="AK586">
        <v>320</v>
      </c>
      <c r="AL586" s="7">
        <v>0.29702244548301915</v>
      </c>
    </row>
    <row r="587" spans="28:38" x14ac:dyDescent="0.3">
      <c r="AB587">
        <v>582</v>
      </c>
      <c r="AC587" s="7">
        <v>0.43143096959798682</v>
      </c>
      <c r="AD587">
        <v>0.83080782698223477</v>
      </c>
      <c r="AE587">
        <v>0.94801367344404319</v>
      </c>
      <c r="AF587" s="7">
        <v>5.3386353366951828E-2</v>
      </c>
      <c r="AG587" s="10">
        <v>120.20441742027596</v>
      </c>
      <c r="AH587" s="1">
        <v>0.41042255290049884</v>
      </c>
      <c r="AI587" s="10">
        <v>15.799274788575591</v>
      </c>
      <c r="AJ587" s="32">
        <v>1787.7612166088961</v>
      </c>
      <c r="AK587">
        <v>320</v>
      </c>
      <c r="AL587" s="7">
        <v>0.22219976083312673</v>
      </c>
    </row>
    <row r="588" spans="28:38" x14ac:dyDescent="0.3">
      <c r="AB588">
        <v>583</v>
      </c>
      <c r="AC588" s="7">
        <v>0.40674054583382924</v>
      </c>
      <c r="AD588">
        <v>0.66962312046779515</v>
      </c>
      <c r="AE588">
        <v>0.95570641764944353</v>
      </c>
      <c r="AF588" s="7">
        <v>4.5304507602860714E-2</v>
      </c>
      <c r="AG588" s="10">
        <v>125.95840639355876</v>
      </c>
      <c r="AH588" s="1">
        <v>0.31665645587257946</v>
      </c>
      <c r="AI588" s="10">
        <v>12.313469820608956</v>
      </c>
      <c r="AJ588" s="32">
        <v>1780.9340469604788</v>
      </c>
      <c r="AK588">
        <v>320</v>
      </c>
      <c r="AL588" s="7">
        <v>0.19616216044233145</v>
      </c>
    </row>
    <row r="589" spans="28:38" x14ac:dyDescent="0.3">
      <c r="AB589">
        <v>584</v>
      </c>
      <c r="AC589" s="7">
        <v>0.53169975859656915</v>
      </c>
      <c r="AD589">
        <v>1.0795762486566056</v>
      </c>
      <c r="AE589">
        <v>0.95158489603528773</v>
      </c>
      <c r="AF589" s="7">
        <v>4.9626372857432745E-2</v>
      </c>
      <c r="AG589" s="10">
        <v>121.88884363910472</v>
      </c>
      <c r="AH589" s="1">
        <v>0.62242553476201923</v>
      </c>
      <c r="AI589" s="10">
        <v>34.667551110914111</v>
      </c>
      <c r="AJ589" s="32">
        <v>1758.853159192872</v>
      </c>
      <c r="AK589">
        <v>320</v>
      </c>
      <c r="AL589" s="7">
        <v>0.32914449292310299</v>
      </c>
    </row>
    <row r="590" spans="28:38" x14ac:dyDescent="0.3">
      <c r="AB590">
        <v>585</v>
      </c>
      <c r="AC590" s="7">
        <v>0.62499814899334649</v>
      </c>
      <c r="AD590">
        <v>1.6193351536888316</v>
      </c>
      <c r="AE590">
        <v>0.94476679734201496</v>
      </c>
      <c r="AF590" s="7">
        <v>5.6817157241883881E-2</v>
      </c>
      <c r="AG590" s="10">
        <v>114.22303681228024</v>
      </c>
      <c r="AH590" s="1">
        <v>1.067314676313361</v>
      </c>
      <c r="AI590" s="10">
        <v>88.119374643009806</v>
      </c>
      <c r="AJ590" s="32">
        <v>1789.9483563312551</v>
      </c>
      <c r="AK590">
        <v>320</v>
      </c>
      <c r="AL590" s="7">
        <v>0.52475998871808593</v>
      </c>
    </row>
    <row r="591" spans="28:38" x14ac:dyDescent="0.3">
      <c r="AB591">
        <v>586</v>
      </c>
      <c r="AC591" s="7">
        <v>0.334985955632432</v>
      </c>
      <c r="AD591">
        <v>0.70812964114038013</v>
      </c>
      <c r="AE591">
        <v>0.93943439269879481</v>
      </c>
      <c r="AF591" s="7">
        <v>6.2477294713035529E-2</v>
      </c>
      <c r="AG591" s="10">
        <v>116.08270823418343</v>
      </c>
      <c r="AH591" s="1">
        <v>0.29777909185026658</v>
      </c>
      <c r="AI591" s="10">
        <v>7.3367422220030187</v>
      </c>
      <c r="AJ591" s="32">
        <v>1809.7078260465973</v>
      </c>
      <c r="AK591">
        <v>320</v>
      </c>
      <c r="AL591" s="7">
        <v>0.15141769858163687</v>
      </c>
    </row>
    <row r="592" spans="28:38" x14ac:dyDescent="0.3">
      <c r="AB592">
        <v>587</v>
      </c>
      <c r="AC592" s="7">
        <v>0.18360753634514379</v>
      </c>
      <c r="AD592">
        <v>0.41905363856687566</v>
      </c>
      <c r="AE592">
        <v>0.94564536552831269</v>
      </c>
      <c r="AF592" s="7">
        <v>5.5887658091583921E-2</v>
      </c>
      <c r="AG592" s="10">
        <v>121.9138342409144</v>
      </c>
      <c r="AH592" s="1">
        <v>0.13129604064541969</v>
      </c>
      <c r="AI592" s="10">
        <v>2.075258246044525</v>
      </c>
      <c r="AJ592" s="32">
        <v>1835.5415534687168</v>
      </c>
      <c r="AK592">
        <v>320</v>
      </c>
      <c r="AL592" s="7">
        <v>8.0530627831211773E-2</v>
      </c>
    </row>
    <row r="593" spans="28:38" x14ac:dyDescent="0.3">
      <c r="AB593">
        <v>588</v>
      </c>
      <c r="AC593" s="7">
        <v>0.71510167725106633</v>
      </c>
      <c r="AD593">
        <v>1.7861778266229009</v>
      </c>
      <c r="AE593">
        <v>0.95961648144327494</v>
      </c>
      <c r="AF593" s="7">
        <v>4.1221572837627687E-2</v>
      </c>
      <c r="AG593" s="10">
        <v>130.80707647632087</v>
      </c>
      <c r="AH593" s="1">
        <v>1.3176822782434257</v>
      </c>
      <c r="AI593" s="10">
        <v>177.26105408936922</v>
      </c>
      <c r="AJ593" s="32">
        <v>1770.0867335913699</v>
      </c>
      <c r="AK593">
        <v>320</v>
      </c>
      <c r="AL593" s="7">
        <v>0.74427198928165961</v>
      </c>
    </row>
    <row r="594" spans="28:38" x14ac:dyDescent="0.3">
      <c r="AB594">
        <v>589</v>
      </c>
      <c r="AC594" s="7">
        <v>0.6876269538325932</v>
      </c>
      <c r="AD594">
        <v>1.8558610635905066</v>
      </c>
      <c r="AE594">
        <v>0.95187956460425904</v>
      </c>
      <c r="AF594" s="7">
        <v>4.9316759962189913E-2</v>
      </c>
      <c r="AG594" s="10">
        <v>124.06259398033647</v>
      </c>
      <c r="AH594" s="1">
        <v>1.3242605252889976</v>
      </c>
      <c r="AI594" s="10">
        <v>136.51116464679117</v>
      </c>
      <c r="AJ594" s="32">
        <v>1759.587069438101</v>
      </c>
      <c r="AK594">
        <v>320</v>
      </c>
      <c r="AL594" s="7">
        <v>0.65314423332157068</v>
      </c>
    </row>
    <row r="595" spans="28:38" x14ac:dyDescent="0.3">
      <c r="AB595">
        <v>590</v>
      </c>
      <c r="AC595" s="7">
        <v>0.55665829599794059</v>
      </c>
      <c r="AD595">
        <v>1.2716462797308261</v>
      </c>
      <c r="AE595">
        <v>0.94484346560120436</v>
      </c>
      <c r="AF595" s="7">
        <v>5.6736010075470793E-2</v>
      </c>
      <c r="AG595" s="10">
        <v>112.1065371540416</v>
      </c>
      <c r="AH595" s="1">
        <v>0.76302898558587784</v>
      </c>
      <c r="AI595" s="10">
        <v>46.450353331465806</v>
      </c>
      <c r="AJ595" s="32">
        <v>1776.1514633532865</v>
      </c>
      <c r="AK595">
        <v>320</v>
      </c>
      <c r="AL595" s="7">
        <v>0.38099521540411846</v>
      </c>
    </row>
    <row r="596" spans="28:38" x14ac:dyDescent="0.3">
      <c r="AB596">
        <v>591</v>
      </c>
      <c r="AC596" s="7">
        <v>0.35294446994702994</v>
      </c>
      <c r="AD596">
        <v>0.63728968790583052</v>
      </c>
      <c r="AE596">
        <v>0.94954534664989909</v>
      </c>
      <c r="AF596" s="7">
        <v>5.1771991418484556E-2</v>
      </c>
      <c r="AG596" s="10">
        <v>122.53122410635464</v>
      </c>
      <c r="AH596" s="1">
        <v>0.27538252445073241</v>
      </c>
      <c r="AI596" s="10">
        <v>8.7579083615700544</v>
      </c>
      <c r="AJ596" s="32">
        <v>1820.8246307067889</v>
      </c>
      <c r="AK596">
        <v>320</v>
      </c>
      <c r="AL596" s="7">
        <v>0.16543416705719052</v>
      </c>
    </row>
    <row r="597" spans="28:38" x14ac:dyDescent="0.3">
      <c r="AB597">
        <v>592</v>
      </c>
      <c r="AC597" s="7">
        <v>0.57593414275512633</v>
      </c>
      <c r="AD597">
        <v>1.2415278297815528</v>
      </c>
      <c r="AE597">
        <v>0.95321792918985271</v>
      </c>
      <c r="AF597" s="7">
        <v>4.7911724461247522E-2</v>
      </c>
      <c r="AG597" s="10">
        <v>127.06131379609641</v>
      </c>
      <c r="AH597" s="1">
        <v>0.76182033716201836</v>
      </c>
      <c r="AI597" s="10">
        <v>56.582643552222912</v>
      </c>
      <c r="AJ597" s="32">
        <v>1793.5971970670466</v>
      </c>
      <c r="AK597">
        <v>320</v>
      </c>
      <c r="AL597" s="7">
        <v>0.42050060772928333</v>
      </c>
    </row>
    <row r="598" spans="28:38" x14ac:dyDescent="0.3">
      <c r="AB598">
        <v>593</v>
      </c>
      <c r="AC598" s="7">
        <v>0.33899053938613011</v>
      </c>
      <c r="AD598">
        <v>0.70479896765636574</v>
      </c>
      <c r="AE598">
        <v>0.94007221420582698</v>
      </c>
      <c r="AF598" s="7">
        <v>6.1798583045650696E-2</v>
      </c>
      <c r="AG598" s="10">
        <v>114.42729915372551</v>
      </c>
      <c r="AH598" s="1">
        <v>0.2988479679987921</v>
      </c>
      <c r="AI598" s="10">
        <v>8.6930108596241116</v>
      </c>
      <c r="AJ598" s="32">
        <v>1851.8619263412427</v>
      </c>
      <c r="AK598">
        <v>320</v>
      </c>
      <c r="AL598" s="7">
        <v>0.16482008050090666</v>
      </c>
    </row>
    <row r="599" spans="28:38" x14ac:dyDescent="0.3">
      <c r="AB599">
        <v>594</v>
      </c>
      <c r="AC599" s="7">
        <v>0.53079527149348449</v>
      </c>
      <c r="AD599">
        <v>1.0758906521307245</v>
      </c>
      <c r="AE599">
        <v>0.95228643149027614</v>
      </c>
      <c r="AF599" s="7">
        <v>4.888941602994501E-2</v>
      </c>
      <c r="AG599" s="10">
        <v>124.93079459853028</v>
      </c>
      <c r="AH599" s="1">
        <v>0.61879123930475388</v>
      </c>
      <c r="AI599" s="10">
        <v>35.685499035891461</v>
      </c>
      <c r="AJ599" s="32">
        <v>1772.0457252551432</v>
      </c>
      <c r="AK599">
        <v>320</v>
      </c>
      <c r="AL599" s="7">
        <v>0.33394188788943624</v>
      </c>
    </row>
    <row r="600" spans="28:38" x14ac:dyDescent="0.3">
      <c r="AB600">
        <v>595</v>
      </c>
      <c r="AC600" s="7">
        <v>0.44998523921427913</v>
      </c>
      <c r="AD600">
        <v>0.94238299067989351</v>
      </c>
      <c r="AE600">
        <v>0.94370748246013814</v>
      </c>
      <c r="AF600" s="7">
        <v>5.793903113162769E-2</v>
      </c>
      <c r="AG600" s="10">
        <v>117.27264718612417</v>
      </c>
      <c r="AH600" s="1">
        <v>0.48035095303242153</v>
      </c>
      <c r="AI600" s="10">
        <v>19.246181744396068</v>
      </c>
      <c r="AJ600" s="32">
        <v>1796.3500819458552</v>
      </c>
      <c r="AK600">
        <v>320</v>
      </c>
      <c r="AL600" s="7">
        <v>0.24524338513247959</v>
      </c>
    </row>
    <row r="601" spans="28:38" x14ac:dyDescent="0.3">
      <c r="AB601">
        <v>596</v>
      </c>
      <c r="AC601" s="7">
        <v>0.37478151425852135</v>
      </c>
      <c r="AD601">
        <v>0.7629191469517338</v>
      </c>
      <c r="AE601">
        <v>0.94177443772212743</v>
      </c>
      <c r="AF601" s="7">
        <v>5.9989483479737142E-2</v>
      </c>
      <c r="AG601" s="10">
        <v>114.52556086495656</v>
      </c>
      <c r="AH601" s="1">
        <v>0.34415355542926274</v>
      </c>
      <c r="AI601" s="10">
        <v>10.903865684923661</v>
      </c>
      <c r="AJ601" s="32">
        <v>1824.009653489446</v>
      </c>
      <c r="AK601">
        <v>320</v>
      </c>
      <c r="AL601" s="7">
        <v>0.18459301250422899</v>
      </c>
    </row>
    <row r="602" spans="28:38" x14ac:dyDescent="0.3">
      <c r="AB602">
        <v>597</v>
      </c>
      <c r="AC602" s="7">
        <v>0.60628543277064773</v>
      </c>
      <c r="AD602">
        <v>1.23386480066715</v>
      </c>
      <c r="AE602">
        <v>0.95705496373506593</v>
      </c>
      <c r="AF602" s="7">
        <v>4.3894455808440785E-2</v>
      </c>
      <c r="AG602" s="10">
        <v>122.15973769607389</v>
      </c>
      <c r="AH602" s="1">
        <v>0.79101929091788603</v>
      </c>
      <c r="AI602" s="10">
        <v>66.910100780987989</v>
      </c>
      <c r="AJ602" s="32">
        <v>1761.1097513470511</v>
      </c>
      <c r="AK602">
        <v>320</v>
      </c>
      <c r="AL602" s="7">
        <v>0.45726804495895784</v>
      </c>
    </row>
    <row r="603" spans="28:38" x14ac:dyDescent="0.3">
      <c r="AB603">
        <v>598</v>
      </c>
      <c r="AC603" s="7">
        <v>0.55497774858793258</v>
      </c>
      <c r="AD603">
        <v>1.0473294693471036</v>
      </c>
      <c r="AE603">
        <v>0.95792590702990899</v>
      </c>
      <c r="AF603" s="7">
        <v>4.2984845307166127E-2</v>
      </c>
      <c r="AG603" s="10">
        <v>128.66060018788016</v>
      </c>
      <c r="AH603" s="1">
        <v>0.62331864389814073</v>
      </c>
      <c r="AI603" s="10">
        <v>44.735053400894593</v>
      </c>
      <c r="AJ603" s="32">
        <v>1778.7179308783739</v>
      </c>
      <c r="AK603">
        <v>320</v>
      </c>
      <c r="AL603" s="7">
        <v>0.37389442611223239</v>
      </c>
    </row>
    <row r="604" spans="28:38" x14ac:dyDescent="0.3">
      <c r="AB604">
        <v>599</v>
      </c>
      <c r="AC604" s="7">
        <v>0.32933397851494794</v>
      </c>
      <c r="AD604">
        <v>0.59860924626234802</v>
      </c>
      <c r="AE604">
        <v>0.94946915247015895</v>
      </c>
      <c r="AF604" s="7">
        <v>5.185223744063587E-2</v>
      </c>
      <c r="AG604" s="10">
        <v>124.77187630378029</v>
      </c>
      <c r="AH604" s="1">
        <v>0.24767321217725435</v>
      </c>
      <c r="AI604" s="10">
        <v>6.3911123768063378</v>
      </c>
      <c r="AJ604" s="32">
        <v>1787.6630833968147</v>
      </c>
      <c r="AK604">
        <v>320</v>
      </c>
      <c r="AL604" s="7">
        <v>0.14132312683180984</v>
      </c>
    </row>
    <row r="605" spans="28:38" x14ac:dyDescent="0.3">
      <c r="AB605">
        <v>600</v>
      </c>
      <c r="AC605" s="7">
        <v>0.68254809337431832</v>
      </c>
      <c r="AD605">
        <v>1.8823013192917279</v>
      </c>
      <c r="AE605">
        <v>0.94801427580720188</v>
      </c>
      <c r="AF605" s="7">
        <v>5.3385717972142456E-2</v>
      </c>
      <c r="AG605" s="10">
        <v>116.42074298037383</v>
      </c>
      <c r="AH605" s="1">
        <v>1.3367469008313311</v>
      </c>
      <c r="AI605" s="10">
        <v>145.76018168292794</v>
      </c>
      <c r="AJ605" s="32">
        <v>1791.1183731400797</v>
      </c>
      <c r="AK605">
        <v>320</v>
      </c>
      <c r="AL605" s="7">
        <v>0.67490782167578245</v>
      </c>
    </row>
    <row r="606" spans="28:38" x14ac:dyDescent="0.3">
      <c r="AB606">
        <v>601</v>
      </c>
      <c r="AC606" s="7">
        <v>0.82397027057006678</v>
      </c>
      <c r="AD606">
        <v>2.4825189716037088</v>
      </c>
      <c r="AE606">
        <v>0.96380073494444252</v>
      </c>
      <c r="AF606" s="7">
        <v>3.6870712227489763E-2</v>
      </c>
      <c r="AG606" s="10">
        <v>136.66678032743351</v>
      </c>
      <c r="AH606" s="1">
        <v>2.0817210937831891</v>
      </c>
      <c r="AI606" s="10">
        <v>445.68455923493133</v>
      </c>
      <c r="AJ606" s="32">
        <v>1761.2841035150709</v>
      </c>
      <c r="AK606">
        <v>320</v>
      </c>
      <c r="AL606" s="7">
        <v>1.1801543321147283</v>
      </c>
    </row>
    <row r="607" spans="28:38" x14ac:dyDescent="0.3">
      <c r="AB607">
        <v>602</v>
      </c>
      <c r="AC607" s="7">
        <v>0.16849104111189864</v>
      </c>
      <c r="AD607">
        <v>0.43086171097874065</v>
      </c>
      <c r="AE607">
        <v>0.94109934516705829</v>
      </c>
      <c r="AF607" s="7">
        <v>6.0706570934172636E-2</v>
      </c>
      <c r="AG607" s="10">
        <v>117.52065753410177</v>
      </c>
      <c r="AH607" s="1">
        <v>0.13149699309100371</v>
      </c>
      <c r="AI607" s="10">
        <v>1.5991769652607513</v>
      </c>
      <c r="AJ607" s="32">
        <v>1791.6417368626189</v>
      </c>
      <c r="AK607">
        <v>320</v>
      </c>
      <c r="AL607" s="7">
        <v>7.0692489109097353E-2</v>
      </c>
    </row>
    <row r="608" spans="28:38" x14ac:dyDescent="0.3">
      <c r="AB608">
        <v>603</v>
      </c>
      <c r="AC608" s="7">
        <v>0.6313472427923692</v>
      </c>
      <c r="AD608">
        <v>1.6350556391624673</v>
      </c>
      <c r="AE608">
        <v>0.9457632066460836</v>
      </c>
      <c r="AF608" s="7">
        <v>5.5763051362337779E-2</v>
      </c>
      <c r="AG608" s="10">
        <v>115.30644901335486</v>
      </c>
      <c r="AH608" s="1">
        <v>1.086524662951255</v>
      </c>
      <c r="AI608" s="10">
        <v>93.878421572191982</v>
      </c>
      <c r="AJ608" s="32">
        <v>1793.0837650652202</v>
      </c>
      <c r="AK608">
        <v>320</v>
      </c>
      <c r="AL608" s="7">
        <v>0.54163647164228146</v>
      </c>
    </row>
    <row r="609" spans="28:38" x14ac:dyDescent="0.3">
      <c r="AB609">
        <v>604</v>
      </c>
      <c r="AC609" s="7">
        <v>0.91984530936777253</v>
      </c>
      <c r="AD609">
        <v>4.2960773099411869</v>
      </c>
      <c r="AE609">
        <v>0.94955058307831752</v>
      </c>
      <c r="AF609" s="7">
        <v>5.1766476764552156E-2</v>
      </c>
      <c r="AG609" s="10">
        <v>116.13307723725684</v>
      </c>
      <c r="AH609" s="1">
        <v>4.0021759791524012</v>
      </c>
      <c r="AI609" s="10">
        <v>1133.7529617360101</v>
      </c>
      <c r="AJ609" s="32">
        <v>1780.378620827652</v>
      </c>
      <c r="AK609">
        <v>320</v>
      </c>
      <c r="AL609" s="7">
        <v>1.8822800018660963</v>
      </c>
    </row>
    <row r="610" spans="28:38" x14ac:dyDescent="0.3">
      <c r="AB610">
        <v>605</v>
      </c>
      <c r="AC610" s="7">
        <v>0.36612534683639975</v>
      </c>
      <c r="AD610">
        <v>0.72820866049233668</v>
      </c>
      <c r="AE610">
        <v>0.94411422500243225</v>
      </c>
      <c r="AF610" s="7">
        <v>5.7508119094775802E-2</v>
      </c>
      <c r="AG610" s="10">
        <v>119.99200286532124</v>
      </c>
      <c r="AH610" s="1">
        <v>0.32250142338959459</v>
      </c>
      <c r="AI610" s="10">
        <v>8.6989471685108963</v>
      </c>
      <c r="AJ610" s="32">
        <v>1779.8804186044174</v>
      </c>
      <c r="AK610">
        <v>320</v>
      </c>
      <c r="AL610" s="7">
        <v>0.1648763473079039</v>
      </c>
    </row>
    <row r="611" spans="28:38" x14ac:dyDescent="0.3">
      <c r="AB611">
        <v>606</v>
      </c>
      <c r="AC611" s="7">
        <v>0.12439266914153532</v>
      </c>
      <c r="AD611">
        <v>0.42860115444052233</v>
      </c>
      <c r="AE611">
        <v>0.93321943789141892</v>
      </c>
      <c r="AF611" s="7">
        <v>6.9114909763941648E-2</v>
      </c>
      <c r="AG611" s="10">
        <v>111.93495517863167</v>
      </c>
      <c r="AH611" s="1">
        <v>0.12009540370658106</v>
      </c>
      <c r="AI611" s="10">
        <v>0.99810897301465218</v>
      </c>
      <c r="AJ611" s="32">
        <v>1759.5740552762754</v>
      </c>
      <c r="AK611">
        <v>320</v>
      </c>
      <c r="AL611" s="7">
        <v>5.5848818614817525E-2</v>
      </c>
    </row>
    <row r="612" spans="28:38" x14ac:dyDescent="0.3">
      <c r="AB612">
        <v>607</v>
      </c>
      <c r="AC612" s="7">
        <v>0.5726375459789802</v>
      </c>
      <c r="AD612">
        <v>1.2560387731441656</v>
      </c>
      <c r="AE612">
        <v>0.94999293560485454</v>
      </c>
      <c r="AF612" s="7">
        <v>5.130073062061552E-2</v>
      </c>
      <c r="AG612" s="10">
        <v>118.28765006411501</v>
      </c>
      <c r="AH612" s="1">
        <v>0.76926202510286945</v>
      </c>
      <c r="AI612" s="10">
        <v>56.091451702431776</v>
      </c>
      <c r="AJ612" s="32">
        <v>1795.7650452792805</v>
      </c>
      <c r="AK612">
        <v>320</v>
      </c>
      <c r="AL612" s="7">
        <v>0.41867145420974106</v>
      </c>
    </row>
    <row r="613" spans="28:38" x14ac:dyDescent="0.3">
      <c r="AB613">
        <v>608</v>
      </c>
      <c r="AC613" s="7">
        <v>0.20879690555515829</v>
      </c>
      <c r="AD613">
        <v>0.45545086137678303</v>
      </c>
      <c r="AE613">
        <v>0.9449512561065081</v>
      </c>
      <c r="AF613" s="7">
        <v>5.6621933658405524E-2</v>
      </c>
      <c r="AG613" s="10">
        <v>122.18763404922794</v>
      </c>
      <c r="AH613" s="1">
        <v>0.15014547438139556</v>
      </c>
      <c r="AI613" s="10">
        <v>2.2142989295985238</v>
      </c>
      <c r="AJ613" s="32">
        <v>1785.7855329750823</v>
      </c>
      <c r="AK613">
        <v>320</v>
      </c>
      <c r="AL613" s="7">
        <v>8.318463893649708E-2</v>
      </c>
    </row>
    <row r="614" spans="28:38" x14ac:dyDescent="0.3">
      <c r="AB614">
        <v>609</v>
      </c>
      <c r="AC614" s="7">
        <v>0.56572090976995126</v>
      </c>
      <c r="AD614">
        <v>1.3170746530856183</v>
      </c>
      <c r="AE614">
        <v>0.94595711801582605</v>
      </c>
      <c r="AF614" s="7">
        <v>5.5558040750680611E-2</v>
      </c>
      <c r="AG614" s="10">
        <v>116.93722281036804</v>
      </c>
      <c r="AH614" s="1">
        <v>0.79913955296271288</v>
      </c>
      <c r="AI614" s="10">
        <v>49.627617399685889</v>
      </c>
      <c r="AJ614" s="32">
        <v>1774.534514248322</v>
      </c>
      <c r="AK614">
        <v>320</v>
      </c>
      <c r="AL614" s="7">
        <v>0.393809985112133</v>
      </c>
    </row>
    <row r="615" spans="28:38" x14ac:dyDescent="0.3">
      <c r="AB615">
        <v>610</v>
      </c>
      <c r="AC615" s="7">
        <v>0.76278935585120511</v>
      </c>
      <c r="AD615">
        <v>2.0568839882321837</v>
      </c>
      <c r="AE615">
        <v>0.96114332915388234</v>
      </c>
      <c r="AF615" s="7">
        <v>3.9631735291270849E-2</v>
      </c>
      <c r="AG615" s="10">
        <v>131.69044288416137</v>
      </c>
      <c r="AH615" s="1">
        <v>1.6078258832904027</v>
      </c>
      <c r="AI615" s="10">
        <v>286.05018626327217</v>
      </c>
      <c r="AJ615" s="32">
        <v>1789.6719429821687</v>
      </c>
      <c r="AK615">
        <v>320</v>
      </c>
      <c r="AL615" s="7">
        <v>0.94546646269062629</v>
      </c>
    </row>
    <row r="616" spans="28:38" x14ac:dyDescent="0.3">
      <c r="AB616">
        <v>611</v>
      </c>
      <c r="AC616" s="7">
        <v>0.3340631041928922</v>
      </c>
      <c r="AD616">
        <v>0.64441174049050809</v>
      </c>
      <c r="AE616">
        <v>0.94512384138659034</v>
      </c>
      <c r="AF616" s="7">
        <v>5.64393109882367E-2</v>
      </c>
      <c r="AG616" s="10">
        <v>118.06711017469098</v>
      </c>
      <c r="AH616" s="1">
        <v>0.27015034502001328</v>
      </c>
      <c r="AI616" s="10">
        <v>7.9480377157265831</v>
      </c>
      <c r="AJ616" s="32">
        <v>1839.7820080136594</v>
      </c>
      <c r="AK616">
        <v>320</v>
      </c>
      <c r="AL616" s="7">
        <v>0.15759954905279891</v>
      </c>
    </row>
    <row r="617" spans="28:38" x14ac:dyDescent="0.3">
      <c r="AB617">
        <v>612</v>
      </c>
      <c r="AC617" s="7">
        <v>0.50127131105512468</v>
      </c>
      <c r="AD617">
        <v>1.1136132277605397</v>
      </c>
      <c r="AE617">
        <v>0.94330948624289523</v>
      </c>
      <c r="AF617" s="7">
        <v>5.8360856933669068E-2</v>
      </c>
      <c r="AG617" s="10">
        <v>116.2398315583535</v>
      </c>
      <c r="AH617" s="1">
        <v>0.61491287644495973</v>
      </c>
      <c r="AI617" s="10">
        <v>29.850062665009958</v>
      </c>
      <c r="AJ617" s="32">
        <v>1792.0026543886331</v>
      </c>
      <c r="AK617">
        <v>320</v>
      </c>
      <c r="AL617" s="7">
        <v>0.30542011366011262</v>
      </c>
    </row>
    <row r="618" spans="28:38" x14ac:dyDescent="0.3">
      <c r="AB618">
        <v>613</v>
      </c>
      <c r="AC618" s="7">
        <v>0.12527974173439377</v>
      </c>
      <c r="AD618">
        <v>0.40001041838916651</v>
      </c>
      <c r="AE618">
        <v>0.93885565496529244</v>
      </c>
      <c r="AF618" s="7">
        <v>6.309353367201502E-2</v>
      </c>
      <c r="AG618" s="10">
        <v>118.8889342232347</v>
      </c>
      <c r="AH618" s="1">
        <v>0.11125754694156914</v>
      </c>
      <c r="AI618" s="10">
        <v>1.1116978180982098</v>
      </c>
      <c r="AJ618" s="32">
        <v>1797.9720413266114</v>
      </c>
      <c r="AK618">
        <v>320</v>
      </c>
      <c r="AL618" s="7">
        <v>5.8941120464043657E-2</v>
      </c>
    </row>
    <row r="619" spans="28:38" x14ac:dyDescent="0.3">
      <c r="AB619">
        <v>614</v>
      </c>
      <c r="AC619" s="7">
        <v>0.53530861007435249</v>
      </c>
      <c r="AD619">
        <v>1.1442341701459813</v>
      </c>
      <c r="AE619">
        <v>0.94853368376594671</v>
      </c>
      <c r="AF619" s="7">
        <v>5.283797756926039E-2</v>
      </c>
      <c r="AG619" s="10">
        <v>118.78359556970672</v>
      </c>
      <c r="AH619" s="1">
        <v>0.66398471945447868</v>
      </c>
      <c r="AI619" s="10">
        <v>38.245562733042384</v>
      </c>
      <c r="AJ619" s="32">
        <v>1778.0514264519024</v>
      </c>
      <c r="AK619">
        <v>320</v>
      </c>
      <c r="AL619" s="7">
        <v>0.34571286285117803</v>
      </c>
    </row>
    <row r="620" spans="28:38" x14ac:dyDescent="0.3">
      <c r="AB620">
        <v>615</v>
      </c>
      <c r="AC620" s="7">
        <v>0.29877131465033124</v>
      </c>
      <c r="AD620">
        <v>0.56367404172229751</v>
      </c>
      <c r="AE620">
        <v>0.9470223133964617</v>
      </c>
      <c r="AF620" s="7">
        <v>5.4432623880969519E-2</v>
      </c>
      <c r="AG620" s="10">
        <v>119.87063258961916</v>
      </c>
      <c r="AH620" s="1">
        <v>0.2213873210831748</v>
      </c>
      <c r="AI620" s="10">
        <v>4.7624774519239228</v>
      </c>
      <c r="AJ620" s="32">
        <v>1776.3781414542625</v>
      </c>
      <c r="AK620">
        <v>320</v>
      </c>
      <c r="AL620" s="7">
        <v>0.12199484430606999</v>
      </c>
    </row>
    <row r="621" spans="28:38" x14ac:dyDescent="0.3">
      <c r="AB621">
        <v>616</v>
      </c>
      <c r="AC621" s="7">
        <v>0.46005498545687618</v>
      </c>
      <c r="AD621">
        <v>0.89390653978604251</v>
      </c>
      <c r="AE621">
        <v>0.949668162657333</v>
      </c>
      <c r="AF621" s="7">
        <v>5.1642657873832272E-2</v>
      </c>
      <c r="AG621" s="10">
        <v>123.5745074981683</v>
      </c>
      <c r="AH621" s="1">
        <v>0.46157799750374129</v>
      </c>
      <c r="AI621" s="10">
        <v>18.932897268270541</v>
      </c>
      <c r="AJ621" s="32">
        <v>1767.1148068110579</v>
      </c>
      <c r="AK621">
        <v>320</v>
      </c>
      <c r="AL621" s="7">
        <v>0.2432391908458533</v>
      </c>
    </row>
    <row r="622" spans="28:38" x14ac:dyDescent="0.3">
      <c r="AB622">
        <v>617</v>
      </c>
      <c r="AC622" s="7">
        <v>0.40907555700328663</v>
      </c>
      <c r="AD622">
        <v>0.81288175208403513</v>
      </c>
      <c r="AE622">
        <v>0.94516395594775005</v>
      </c>
      <c r="AF622" s="7">
        <v>5.639686818008622E-2</v>
      </c>
      <c r="AG622" s="10">
        <v>118.99997635388405</v>
      </c>
      <c r="AH622" s="1">
        <v>0.38736609956383417</v>
      </c>
      <c r="AI622" s="10">
        <v>11.065058663488115</v>
      </c>
      <c r="AJ622" s="32">
        <v>1735.5759134814325</v>
      </c>
      <c r="AK622">
        <v>320</v>
      </c>
      <c r="AL622" s="7">
        <v>0.18595243564793756</v>
      </c>
    </row>
    <row r="623" spans="28:38" x14ac:dyDescent="0.3">
      <c r="AB623">
        <v>618</v>
      </c>
      <c r="AC623" s="7">
        <v>0.89161213042163168</v>
      </c>
      <c r="AD623">
        <v>3.8353945426573097</v>
      </c>
      <c r="AE623">
        <v>0.95116509479085187</v>
      </c>
      <c r="AF623" s="7">
        <v>5.0067630251490226E-2</v>
      </c>
      <c r="AG623" s="10">
        <v>119.25562586018378</v>
      </c>
      <c r="AH623" s="1">
        <v>3.4685192043953315</v>
      </c>
      <c r="AI623" s="10">
        <v>860.1894644775432</v>
      </c>
      <c r="AJ623" s="32">
        <v>1772.7268327971353</v>
      </c>
      <c r="AK623">
        <v>320</v>
      </c>
      <c r="AL623" s="7">
        <v>1.6395402027679353</v>
      </c>
    </row>
    <row r="624" spans="28:38" x14ac:dyDescent="0.3">
      <c r="AB624">
        <v>619</v>
      </c>
      <c r="AC624" s="7">
        <v>0.74610656532331721</v>
      </c>
      <c r="AD624">
        <v>2.3652498129606712</v>
      </c>
      <c r="AE624">
        <v>0.94800105833699422</v>
      </c>
      <c r="AF624" s="7">
        <v>5.3399660338504004E-2</v>
      </c>
      <c r="AG624" s="10">
        <v>117.07520106204956</v>
      </c>
      <c r="AH624" s="1">
        <v>1.8167273557427106</v>
      </c>
      <c r="AI624" s="10">
        <v>275.89270167193894</v>
      </c>
      <c r="AJ624" s="32">
        <v>1816.6048009324825</v>
      </c>
      <c r="AK624">
        <v>320</v>
      </c>
      <c r="AL624" s="7">
        <v>0.92852824013317403</v>
      </c>
    </row>
    <row r="625" spans="28:38" x14ac:dyDescent="0.3">
      <c r="AB625">
        <v>620</v>
      </c>
      <c r="AC625" s="7">
        <v>0.68327252172738862</v>
      </c>
      <c r="AD625">
        <v>2.079176090039792</v>
      </c>
      <c r="AE625">
        <v>0.94171750617846095</v>
      </c>
      <c r="AF625" s="7">
        <v>6.0049936664969161E-2</v>
      </c>
      <c r="AG625" s="10">
        <v>113.60953078841035</v>
      </c>
      <c r="AH625" s="1">
        <v>1.4789263839783198</v>
      </c>
      <c r="AI625" s="10">
        <v>132.42486312118609</v>
      </c>
      <c r="AJ625" s="32">
        <v>1754.9920876056094</v>
      </c>
      <c r="AK625">
        <v>320</v>
      </c>
      <c r="AL625" s="7">
        <v>0.64329440946871796</v>
      </c>
    </row>
    <row r="626" spans="28:38" x14ac:dyDescent="0.3">
      <c r="AB626">
        <v>621</v>
      </c>
      <c r="AC626" s="7">
        <v>0.85674747419367225</v>
      </c>
      <c r="AD626">
        <v>3.2413830634194638</v>
      </c>
      <c r="AE626">
        <v>0.95236662760510704</v>
      </c>
      <c r="AF626" s="7">
        <v>4.8805205297186807E-2</v>
      </c>
      <c r="AG626" s="10">
        <v>117.36057555656582</v>
      </c>
      <c r="AH626" s="1">
        <v>2.8246801248736664</v>
      </c>
      <c r="AI626" s="10">
        <v>700.58355914736171</v>
      </c>
      <c r="AJ626" s="32">
        <v>1805.5649778894069</v>
      </c>
      <c r="AK626">
        <v>320</v>
      </c>
      <c r="AL626" s="7">
        <v>1.4796363142122138</v>
      </c>
    </row>
    <row r="627" spans="28:38" x14ac:dyDescent="0.3">
      <c r="AB627">
        <v>622</v>
      </c>
      <c r="AC627" s="7">
        <v>0.31768300027533397</v>
      </c>
      <c r="AD627">
        <v>0.57583798590597068</v>
      </c>
      <c r="AE627">
        <v>0.94951100911520403</v>
      </c>
      <c r="AF627" s="7">
        <v>5.1808154152249215E-2</v>
      </c>
      <c r="AG627" s="10">
        <v>123.91226147536221</v>
      </c>
      <c r="AH627" s="1">
        <v>0.2334229299199102</v>
      </c>
      <c r="AI627" s="10">
        <v>5.7986241929047333</v>
      </c>
      <c r="AJ627" s="32">
        <v>1788.8533398542495</v>
      </c>
      <c r="AK627">
        <v>320</v>
      </c>
      <c r="AL627" s="7">
        <v>0.13461315167110266</v>
      </c>
    </row>
    <row r="628" spans="28:38" x14ac:dyDescent="0.3">
      <c r="AB628">
        <v>623</v>
      </c>
      <c r="AC628" s="7">
        <v>0.76311539090884661</v>
      </c>
      <c r="AD628">
        <v>1.9227632101452306</v>
      </c>
      <c r="AE628">
        <v>0.96465796388430292</v>
      </c>
      <c r="AF628" s="7">
        <v>3.5981682043081831E-2</v>
      </c>
      <c r="AG628" s="10">
        <v>136.17441467850585</v>
      </c>
      <c r="AH628" s="1">
        <v>1.5026322348508234</v>
      </c>
      <c r="AI628" s="10">
        <v>285.92458543559121</v>
      </c>
      <c r="AJ628" s="32">
        <v>1790.7068778767939</v>
      </c>
      <c r="AK628">
        <v>320</v>
      </c>
      <c r="AL628" s="7">
        <v>0.94525886903335776</v>
      </c>
    </row>
    <row r="629" spans="28:38" x14ac:dyDescent="0.3">
      <c r="AB629">
        <v>624</v>
      </c>
      <c r="AC629" s="7">
        <v>0.62695071142961278</v>
      </c>
      <c r="AD629">
        <v>1.5684055829153911</v>
      </c>
      <c r="AE629">
        <v>0.94885079058372324</v>
      </c>
      <c r="AF629" s="7">
        <v>5.2503720780490495E-2</v>
      </c>
      <c r="AG629" s="10">
        <v>121.03197077821709</v>
      </c>
      <c r="AH629" s="1">
        <v>1.0344622054352577</v>
      </c>
      <c r="AI629" s="10">
        <v>91.473804576527954</v>
      </c>
      <c r="AJ629" s="32">
        <v>1800.3321199937666</v>
      </c>
      <c r="AK629">
        <v>320</v>
      </c>
      <c r="AL629" s="7">
        <v>0.53465469164840396</v>
      </c>
    </row>
    <row r="630" spans="28:38" x14ac:dyDescent="0.3">
      <c r="AB630">
        <v>625</v>
      </c>
      <c r="AC630" s="7">
        <v>0.47408031587338539</v>
      </c>
      <c r="AD630">
        <v>0.7823542805904925</v>
      </c>
      <c r="AE630">
        <v>0.95926121973385403</v>
      </c>
      <c r="AF630" s="7">
        <v>4.1591853562930887E-2</v>
      </c>
      <c r="AG630" s="10">
        <v>131.47826528517641</v>
      </c>
      <c r="AH630" s="1">
        <v>0.41163754473338182</v>
      </c>
      <c r="AI630" s="10">
        <v>21.932841210078877</v>
      </c>
      <c r="AJ630" s="32">
        <v>1779.1336822040039</v>
      </c>
      <c r="AK630">
        <v>320</v>
      </c>
      <c r="AL630" s="7">
        <v>0.26180169743814968</v>
      </c>
    </row>
    <row r="631" spans="28:38" x14ac:dyDescent="0.3">
      <c r="AB631">
        <v>626</v>
      </c>
      <c r="AC631" s="7">
        <v>0.19055539192653884</v>
      </c>
      <c r="AD631">
        <v>0.4597167902388804</v>
      </c>
      <c r="AE631">
        <v>0.94056806387290959</v>
      </c>
      <c r="AF631" s="7">
        <v>6.1271262978807188E-2</v>
      </c>
      <c r="AG631" s="10">
        <v>116.00373647077853</v>
      </c>
      <c r="AH631" s="1">
        <v>0.14703344926627071</v>
      </c>
      <c r="AI631" s="10">
        <v>1.8578602956750381</v>
      </c>
      <c r="AJ631" s="32">
        <v>1776.301956764958</v>
      </c>
      <c r="AK631">
        <v>320</v>
      </c>
      <c r="AL631" s="7">
        <v>7.6195888497900557E-2</v>
      </c>
    </row>
    <row r="632" spans="28:38" x14ac:dyDescent="0.3">
      <c r="AB632">
        <v>627</v>
      </c>
      <c r="AC632" s="7">
        <v>0.708316411093037</v>
      </c>
      <c r="AD632">
        <v>1.8729625825502252</v>
      </c>
      <c r="AE632">
        <v>0.95444038651570429</v>
      </c>
      <c r="AF632" s="7">
        <v>4.6630092962441756E-2</v>
      </c>
      <c r="AG632" s="10">
        <v>122.41218745206453</v>
      </c>
      <c r="AH632" s="1">
        <v>1.3722097480678173</v>
      </c>
      <c r="AI632" s="10">
        <v>158.43267426423412</v>
      </c>
      <c r="AJ632" s="32">
        <v>1749.4409095695692</v>
      </c>
      <c r="AK632">
        <v>320</v>
      </c>
      <c r="AL632" s="7">
        <v>0.70363492457078314</v>
      </c>
    </row>
    <row r="633" spans="28:38" x14ac:dyDescent="0.3">
      <c r="AB633">
        <v>628</v>
      </c>
      <c r="AC633" s="7">
        <v>0.46482364378505558</v>
      </c>
      <c r="AD633">
        <v>0.84442026170204854</v>
      </c>
      <c r="AE633">
        <v>0.95353219496741282</v>
      </c>
      <c r="AF633" s="7">
        <v>4.7582089469830217E-2</v>
      </c>
      <c r="AG633" s="10">
        <v>125.36809826516381</v>
      </c>
      <c r="AH633" s="1">
        <v>0.43897430796286363</v>
      </c>
      <c r="AI633" s="10">
        <v>18.43238857759922</v>
      </c>
      <c r="AJ633" s="32">
        <v>1746.4880537408005</v>
      </c>
      <c r="AK633">
        <v>320</v>
      </c>
      <c r="AL633" s="7">
        <v>0.24000252978874526</v>
      </c>
    </row>
    <row r="634" spans="28:38" x14ac:dyDescent="0.3">
      <c r="AB634">
        <v>629</v>
      </c>
      <c r="AC634" s="7">
        <v>0.60093044244300131</v>
      </c>
      <c r="AD634">
        <v>1.5039487386554029</v>
      </c>
      <c r="AE634">
        <v>0.94660819764652571</v>
      </c>
      <c r="AF634" s="7">
        <v>5.4870001451855374E-2</v>
      </c>
      <c r="AG634" s="10">
        <v>121.88458885018755</v>
      </c>
      <c r="AH634" s="1">
        <v>0.95716038328525932</v>
      </c>
      <c r="AI634" s="10">
        <v>68.981054556789104</v>
      </c>
      <c r="AJ634" s="32">
        <v>1782.9004975230571</v>
      </c>
      <c r="AK634">
        <v>320</v>
      </c>
      <c r="AL634" s="7">
        <v>0.46429063687518612</v>
      </c>
    </row>
    <row r="635" spans="28:38" x14ac:dyDescent="0.3">
      <c r="AB635">
        <v>630</v>
      </c>
      <c r="AC635" s="7">
        <v>0.79184489277252856</v>
      </c>
      <c r="AD635">
        <v>2.4449581194436645</v>
      </c>
      <c r="AE635">
        <v>0.95769738346059341</v>
      </c>
      <c r="AF635" s="7">
        <v>4.3223434565851863E-2</v>
      </c>
      <c r="AG635" s="10">
        <v>128.50275868681155</v>
      </c>
      <c r="AH635" s="1">
        <v>1.9783302164635983</v>
      </c>
      <c r="AI635" s="10">
        <v>362.18335445073438</v>
      </c>
      <c r="AJ635" s="32">
        <v>1781.5296104155705</v>
      </c>
      <c r="AK635">
        <v>320</v>
      </c>
      <c r="AL635" s="7">
        <v>1.0638716946411089</v>
      </c>
    </row>
    <row r="636" spans="28:38" x14ac:dyDescent="0.3">
      <c r="AB636">
        <v>631</v>
      </c>
      <c r="AC636" s="7">
        <v>0.42711626221088933</v>
      </c>
      <c r="AD636">
        <v>0.94185308115428523</v>
      </c>
      <c r="AE636">
        <v>0.93754656418614502</v>
      </c>
      <c r="AF636" s="7">
        <v>6.4488853905787194E-2</v>
      </c>
      <c r="AG636" s="10">
        <v>109.84372699682002</v>
      </c>
      <c r="AH636" s="1">
        <v>0.4647342033882827</v>
      </c>
      <c r="AI636" s="10">
        <v>17.458282019340327</v>
      </c>
      <c r="AJ636" s="32">
        <v>1823.6430423155098</v>
      </c>
      <c r="AK636">
        <v>320</v>
      </c>
      <c r="AL636" s="7">
        <v>0.23357468037105075</v>
      </c>
    </row>
    <row r="637" spans="28:38" x14ac:dyDescent="0.3">
      <c r="AB637">
        <v>632</v>
      </c>
      <c r="AC637" s="7">
        <v>0.30438763208565461</v>
      </c>
      <c r="AD637">
        <v>0.57560677734794841</v>
      </c>
      <c r="AE637">
        <v>0.94760476834723306</v>
      </c>
      <c r="AF637" s="7">
        <v>5.3817774684805218E-2</v>
      </c>
      <c r="AG637" s="10">
        <v>124.63402201513632</v>
      </c>
      <c r="AH637" s="1">
        <v>0.22760281562216356</v>
      </c>
      <c r="AI637" s="10">
        <v>4.6801259244009232</v>
      </c>
      <c r="AJ637" s="32">
        <v>1758.1691057237288</v>
      </c>
      <c r="AK637">
        <v>320</v>
      </c>
      <c r="AL637" s="7">
        <v>0.12093549319266401</v>
      </c>
    </row>
    <row r="638" spans="28:38" x14ac:dyDescent="0.3">
      <c r="AB638">
        <v>633</v>
      </c>
      <c r="AC638" s="7">
        <v>0.41898093327707325</v>
      </c>
      <c r="AD638">
        <v>0.86452828344886279</v>
      </c>
      <c r="AE638">
        <v>0.94298327832969353</v>
      </c>
      <c r="AF638" s="7">
        <v>5.8706728924041218E-2</v>
      </c>
      <c r="AG638" s="10">
        <v>116.95341090050536</v>
      </c>
      <c r="AH638" s="1">
        <v>0.41923758871413713</v>
      </c>
      <c r="AI638" s="10">
        <v>14.191155911090718</v>
      </c>
      <c r="AJ638" s="32">
        <v>1785.8076220512278</v>
      </c>
      <c r="AK638">
        <v>320</v>
      </c>
      <c r="AL638" s="7">
        <v>0.21058813409629351</v>
      </c>
    </row>
    <row r="639" spans="28:38" x14ac:dyDescent="0.3">
      <c r="AB639">
        <v>634</v>
      </c>
      <c r="AC639" s="7">
        <v>0.46240367467804661</v>
      </c>
      <c r="AD639">
        <v>0.85211727461741127</v>
      </c>
      <c r="AE639">
        <v>0.95249526735302115</v>
      </c>
      <c r="AF639" s="7">
        <v>4.8670140651870364E-2</v>
      </c>
      <c r="AG639" s="10">
        <v>124.13245743425432</v>
      </c>
      <c r="AH639" s="1">
        <v>0.441526891686712</v>
      </c>
      <c r="AI639" s="10">
        <v>18.38146523972619</v>
      </c>
      <c r="AJ639" s="32">
        <v>1751.7277134939382</v>
      </c>
      <c r="AK639">
        <v>320</v>
      </c>
      <c r="AL639" s="7">
        <v>0.23967077183950558</v>
      </c>
    </row>
    <row r="640" spans="28:38" x14ac:dyDescent="0.3">
      <c r="AB640">
        <v>635</v>
      </c>
      <c r="AC640" s="7">
        <v>0.32293725018217168</v>
      </c>
      <c r="AD640">
        <v>0.65880926983478283</v>
      </c>
      <c r="AE640">
        <v>0.9409498118299956</v>
      </c>
      <c r="AF640" s="7">
        <v>6.0865475750044647E-2</v>
      </c>
      <c r="AG640" s="10">
        <v>113.01566224981941</v>
      </c>
      <c r="AH640" s="1">
        <v>0.27180424216497351</v>
      </c>
      <c r="AI640" s="10">
        <v>5.8897366300247018</v>
      </c>
      <c r="AJ640" s="32">
        <v>1771.5438294185858</v>
      </c>
      <c r="AK640">
        <v>320</v>
      </c>
      <c r="AL640" s="7">
        <v>0.13566660226019961</v>
      </c>
    </row>
    <row r="641" spans="28:38" x14ac:dyDescent="0.3">
      <c r="AB641">
        <v>636</v>
      </c>
      <c r="AC641" s="7">
        <v>0.43107831387228512</v>
      </c>
      <c r="AD641">
        <v>0.87436849191023747</v>
      </c>
      <c r="AE641">
        <v>0.94471349059720022</v>
      </c>
      <c r="AF641" s="7">
        <v>5.687358201135001E-2</v>
      </c>
      <c r="AG641" s="10">
        <v>117.9559077941616</v>
      </c>
      <c r="AH641" s="1">
        <v>0.43220780459851771</v>
      </c>
      <c r="AI641" s="10">
        <v>14.778372330436309</v>
      </c>
      <c r="AJ641" s="32">
        <v>1765.6188189564484</v>
      </c>
      <c r="AK641">
        <v>320</v>
      </c>
      <c r="AL641" s="7">
        <v>0.21490093888257786</v>
      </c>
    </row>
    <row r="642" spans="28:38" x14ac:dyDescent="0.3">
      <c r="AB642">
        <v>637</v>
      </c>
      <c r="AC642" s="7">
        <v>0.63421285000709138</v>
      </c>
      <c r="AD642">
        <v>1.5319621169663511</v>
      </c>
      <c r="AE642">
        <v>0.94936194701883014</v>
      </c>
      <c r="AF642" s="7">
        <v>5.1965154752208836E-2</v>
      </c>
      <c r="AG642" s="10">
        <v>114.23007933430004</v>
      </c>
      <c r="AH642" s="1">
        <v>1.0222281132852964</v>
      </c>
      <c r="AI642" s="10">
        <v>99.955681611857912</v>
      </c>
      <c r="AJ642" s="32">
        <v>1805.8592840015924</v>
      </c>
      <c r="AK642">
        <v>320</v>
      </c>
      <c r="AL642" s="7">
        <v>0.55889310698652916</v>
      </c>
    </row>
    <row r="643" spans="28:38" x14ac:dyDescent="0.3">
      <c r="AB643">
        <v>638</v>
      </c>
      <c r="AC643" s="7">
        <v>0.22326816895798085</v>
      </c>
      <c r="AD643">
        <v>0.52105405218683865</v>
      </c>
      <c r="AE643">
        <v>0.93751828763924294</v>
      </c>
      <c r="AF643" s="7">
        <v>6.4519014512634143E-2</v>
      </c>
      <c r="AG643" s="10">
        <v>110.99901786769081</v>
      </c>
      <c r="AH643" s="1">
        <v>0.17881649652064874</v>
      </c>
      <c r="AI643" s="10">
        <v>2.6599047869198129</v>
      </c>
      <c r="AJ643" s="32">
        <v>1794.858914291673</v>
      </c>
      <c r="AK643">
        <v>320</v>
      </c>
      <c r="AL643" s="7">
        <v>9.1171280890006229E-2</v>
      </c>
    </row>
    <row r="644" spans="28:38" x14ac:dyDescent="0.3">
      <c r="AB644">
        <v>639</v>
      </c>
      <c r="AC644" s="7">
        <v>1.377591019986431</v>
      </c>
      <c r="AD644">
        <v>18.204264646575702</v>
      </c>
      <c r="AE644">
        <v>0.97211249819945855</v>
      </c>
      <c r="AF644" s="7">
        <v>2.8283742330594521E-2</v>
      </c>
      <c r="AG644" s="10">
        <v>139.50474318175694</v>
      </c>
      <c r="AH644" s="1">
        <v>25.10591900437969</v>
      </c>
      <c r="AI644" s="10">
        <v>55694.950058798611</v>
      </c>
      <c r="AJ644" s="32">
        <v>1751.7676920346958</v>
      </c>
      <c r="AK644">
        <v>320</v>
      </c>
      <c r="AL644" s="7">
        <v>13.192676716032485</v>
      </c>
    </row>
    <row r="645" spans="28:38" x14ac:dyDescent="0.3">
      <c r="AB645">
        <v>640</v>
      </c>
      <c r="AC645" s="7">
        <v>0.37691527122373347</v>
      </c>
      <c r="AD645">
        <v>0.74147514316088303</v>
      </c>
      <c r="AE645">
        <v>0.94439540366034802</v>
      </c>
      <c r="AF645" s="7">
        <v>5.721034072422803E-2</v>
      </c>
      <c r="AG645" s="10">
        <v>117.36097782265277</v>
      </c>
      <c r="AH645" s="1">
        <v>0.33507790102979279</v>
      </c>
      <c r="AI645" s="10">
        <v>9.6625101404587088</v>
      </c>
      <c r="AJ645" s="32">
        <v>1781.624544584366</v>
      </c>
      <c r="AK645">
        <v>320</v>
      </c>
      <c r="AL645" s="7">
        <v>0.17376807586243645</v>
      </c>
    </row>
    <row r="646" spans="28:38" x14ac:dyDescent="0.3">
      <c r="AB646">
        <v>641</v>
      </c>
      <c r="AC646" s="7">
        <v>0.87453986379332882</v>
      </c>
      <c r="AD646">
        <v>2.9799732241274866</v>
      </c>
      <c r="AE646">
        <v>0.96380095187874137</v>
      </c>
      <c r="AF646" s="7">
        <v>3.6870487145409435E-2</v>
      </c>
      <c r="AG646" s="10">
        <v>135.07960635605397</v>
      </c>
      <c r="AH646" s="1">
        <v>2.6423044256574775</v>
      </c>
      <c r="AI646" s="10">
        <v>822.16953197733835</v>
      </c>
      <c r="AJ646" s="32">
        <v>1814.5708991700135</v>
      </c>
      <c r="AK646">
        <v>320</v>
      </c>
      <c r="AL646" s="7">
        <v>1.6028973103194049</v>
      </c>
    </row>
    <row r="647" spans="28:38" x14ac:dyDescent="0.3">
      <c r="AB647">
        <v>642</v>
      </c>
      <c r="AC647" s="7">
        <v>0.32076178961722457</v>
      </c>
      <c r="AD647">
        <v>0.54366235942705665</v>
      </c>
      <c r="AE647">
        <v>0.95295366523160163</v>
      </c>
      <c r="AF647" s="7">
        <v>4.8188996413801539E-2</v>
      </c>
      <c r="AG647" s="10">
        <v>125.09591864728237</v>
      </c>
      <c r="AH647" s="1">
        <v>0.22143244612574384</v>
      </c>
      <c r="AI647" s="10">
        <v>6.4771993323814305</v>
      </c>
      <c r="AJ647" s="32">
        <v>1816.2396089830747</v>
      </c>
      <c r="AK647">
        <v>320</v>
      </c>
      <c r="AL647" s="7">
        <v>0.1422717396874445</v>
      </c>
    </row>
    <row r="648" spans="28:38" x14ac:dyDescent="0.3">
      <c r="AB648">
        <v>643</v>
      </c>
      <c r="AC648" s="7">
        <v>0.36173142697218391</v>
      </c>
      <c r="AD648">
        <v>0.68574540679345442</v>
      </c>
      <c r="AE648">
        <v>0.94722718680324558</v>
      </c>
      <c r="AF648" s="7">
        <v>5.4216312980466579E-2</v>
      </c>
      <c r="AG648" s="10">
        <v>122.94077763969837</v>
      </c>
      <c r="AH648" s="1">
        <v>0.30082847773577143</v>
      </c>
      <c r="AI648" s="10">
        <v>8.6777845491319479</v>
      </c>
      <c r="AJ648" s="32">
        <v>1793.452636402357</v>
      </c>
      <c r="AK648">
        <v>320</v>
      </c>
      <c r="AL648" s="7">
        <v>0.16467567129372007</v>
      </c>
    </row>
    <row r="649" spans="28:38" x14ac:dyDescent="0.3">
      <c r="AB649">
        <v>644</v>
      </c>
      <c r="AC649" s="7">
        <v>0.57664247697162518</v>
      </c>
      <c r="AD649">
        <v>1.2896196917778966</v>
      </c>
      <c r="AE649">
        <v>0.95032506365520264</v>
      </c>
      <c r="AF649" s="7">
        <v>5.0951180646496258E-2</v>
      </c>
      <c r="AG649" s="10">
        <v>122.11200411412814</v>
      </c>
      <c r="AH649" s="1">
        <v>0.79332442976298745</v>
      </c>
      <c r="AI649" s="10">
        <v>59.010479202228275</v>
      </c>
      <c r="AJ649" s="32">
        <v>1802.3867876031704</v>
      </c>
      <c r="AK649">
        <v>320</v>
      </c>
      <c r="AL649" s="7">
        <v>0.4294272319112557</v>
      </c>
    </row>
    <row r="650" spans="28:38" x14ac:dyDescent="0.3">
      <c r="AB650">
        <v>645</v>
      </c>
      <c r="AC650" s="7">
        <v>0.28435072041694598</v>
      </c>
      <c r="AD650">
        <v>0.56094030710655152</v>
      </c>
      <c r="AE650">
        <v>0.9450155833081002</v>
      </c>
      <c r="AF650" s="7">
        <v>5.6553861351235447E-2</v>
      </c>
      <c r="AG650" s="10">
        <v>119.94859853825456</v>
      </c>
      <c r="AH650" s="1">
        <v>0.21448819712855063</v>
      </c>
      <c r="AI650" s="10">
        <v>4.7532208610084927</v>
      </c>
      <c r="AJ650" s="32">
        <v>1816.3655640378065</v>
      </c>
      <c r="AK650">
        <v>320</v>
      </c>
      <c r="AL650" s="7">
        <v>0.12187622898109188</v>
      </c>
    </row>
    <row r="651" spans="28:38" x14ac:dyDescent="0.3">
      <c r="AB651">
        <v>646</v>
      </c>
      <c r="AC651" s="7">
        <v>0.64868808503464959</v>
      </c>
      <c r="AD651">
        <v>1.9059355802456763</v>
      </c>
      <c r="AE651">
        <v>0.93946704554723814</v>
      </c>
      <c r="AF651" s="7">
        <v>6.2442537330043575E-2</v>
      </c>
      <c r="AG651" s="10">
        <v>112.64116717982859</v>
      </c>
      <c r="AH651" s="1">
        <v>1.2968906562017333</v>
      </c>
      <c r="AI651" s="10">
        <v>108.6398409394255</v>
      </c>
      <c r="AJ651" s="32">
        <v>1787.7392905573765</v>
      </c>
      <c r="AK651">
        <v>320</v>
      </c>
      <c r="AL651" s="7">
        <v>0.58266585873526577</v>
      </c>
    </row>
    <row r="652" spans="28:38" x14ac:dyDescent="0.3">
      <c r="AB652">
        <v>647</v>
      </c>
      <c r="AC652" s="7">
        <v>0.60372124340097688</v>
      </c>
      <c r="AD652">
        <v>1.3932431243151726</v>
      </c>
      <c r="AE652">
        <v>0.95135276712121075</v>
      </c>
      <c r="AF652" s="7">
        <v>4.9870341874098598E-2</v>
      </c>
      <c r="AG652" s="10">
        <v>123.23631844629826</v>
      </c>
      <c r="AH652" s="1">
        <v>0.88977770425020708</v>
      </c>
      <c r="AI652" s="10">
        <v>71.73127397634866</v>
      </c>
      <c r="AJ652" s="32">
        <v>1789.3516399970554</v>
      </c>
      <c r="AK652">
        <v>320</v>
      </c>
      <c r="AL652" s="7">
        <v>0.4734556274626901</v>
      </c>
    </row>
    <row r="653" spans="28:38" x14ac:dyDescent="0.3">
      <c r="AB653">
        <v>648</v>
      </c>
      <c r="AC653" s="7">
        <v>0.23706246993641375</v>
      </c>
      <c r="AD653">
        <v>0.42894745570509585</v>
      </c>
      <c r="AE653">
        <v>0.95310512082590526</v>
      </c>
      <c r="AF653" s="7">
        <v>4.8030076242261965E-2</v>
      </c>
      <c r="AG653" s="10">
        <v>129.62778396074435</v>
      </c>
      <c r="AH653" s="1">
        <v>0.14858222249648517</v>
      </c>
      <c r="AI653" s="10">
        <v>2.9067367679003882</v>
      </c>
      <c r="AJ653" s="32">
        <v>1797.2090974368145</v>
      </c>
      <c r="AK653">
        <v>320</v>
      </c>
      <c r="AL653" s="7">
        <v>9.5307672302332058E-2</v>
      </c>
    </row>
    <row r="654" spans="28:38" x14ac:dyDescent="0.3">
      <c r="AB654">
        <v>649</v>
      </c>
      <c r="AC654" s="7">
        <v>0.49884823356889818</v>
      </c>
      <c r="AD654">
        <v>0.97849611577822271</v>
      </c>
      <c r="AE654">
        <v>0.95112701597136495</v>
      </c>
      <c r="AF654" s="7">
        <v>5.0107664922586816E-2</v>
      </c>
      <c r="AG654" s="10">
        <v>122.0696761980336</v>
      </c>
      <c r="AH654" s="1">
        <v>0.53699404293862951</v>
      </c>
      <c r="AI654" s="10">
        <v>24.404443125530211</v>
      </c>
      <c r="AJ654" s="32">
        <v>1738.8995459135581</v>
      </c>
      <c r="AK654">
        <v>320</v>
      </c>
      <c r="AL654" s="7">
        <v>0.27615916564054488</v>
      </c>
    </row>
    <row r="655" spans="28:38" x14ac:dyDescent="0.3">
      <c r="AB655">
        <v>650</v>
      </c>
      <c r="AC655" s="7">
        <v>0.47893762578611765</v>
      </c>
      <c r="AD655">
        <v>0.91678883357963492</v>
      </c>
      <c r="AE655">
        <v>0.95099012137366967</v>
      </c>
      <c r="AF655" s="7">
        <v>5.0251604110393845E-2</v>
      </c>
      <c r="AG655" s="10">
        <v>121.4055905772548</v>
      </c>
      <c r="AH655" s="1">
        <v>0.4880945459281848</v>
      </c>
      <c r="AI655" s="10">
        <v>20.659248124977736</v>
      </c>
      <c r="AJ655" s="32">
        <v>1741.1109872493398</v>
      </c>
      <c r="AK655">
        <v>320</v>
      </c>
      <c r="AL655" s="7">
        <v>0.25408689535384432</v>
      </c>
    </row>
    <row r="656" spans="28:38" x14ac:dyDescent="0.3">
      <c r="AB656">
        <v>651</v>
      </c>
      <c r="AC656" s="7">
        <v>0.86060431421674077</v>
      </c>
      <c r="AD656">
        <v>3.1238186221980455</v>
      </c>
      <c r="AE656">
        <v>0.95800965580603137</v>
      </c>
      <c r="AF656" s="7">
        <v>4.2897421932601522E-2</v>
      </c>
      <c r="AG656" s="10">
        <v>127.86199951589521</v>
      </c>
      <c r="AH656" s="1">
        <v>2.7303621272882017</v>
      </c>
      <c r="AI656" s="10">
        <v>654.06044374300552</v>
      </c>
      <c r="AJ656" s="32">
        <v>1777.0272384063555</v>
      </c>
      <c r="AK656">
        <v>320</v>
      </c>
      <c r="AL656" s="7">
        <v>1.4296639069015109</v>
      </c>
    </row>
    <row r="657" spans="28:38" x14ac:dyDescent="0.3">
      <c r="AB657">
        <v>652</v>
      </c>
      <c r="AC657" s="7">
        <v>0.60845061377959464</v>
      </c>
      <c r="AD657">
        <v>1.4454947118004726</v>
      </c>
      <c r="AE657">
        <v>0.9495911399996374</v>
      </c>
      <c r="AF657" s="7">
        <v>5.1723765974901012E-2</v>
      </c>
      <c r="AG657" s="10">
        <v>120.39121499600199</v>
      </c>
      <c r="AH657" s="1">
        <v>0.92992100461051841</v>
      </c>
      <c r="AI657" s="10">
        <v>77.369983885153616</v>
      </c>
      <c r="AJ657" s="32">
        <v>1798.7799383406682</v>
      </c>
      <c r="AK657">
        <v>320</v>
      </c>
      <c r="AL657" s="7">
        <v>0.49171251727112364</v>
      </c>
    </row>
    <row r="658" spans="28:38" x14ac:dyDescent="0.3">
      <c r="AB658">
        <v>653</v>
      </c>
      <c r="AC658" s="7">
        <v>0.28341453518352561</v>
      </c>
      <c r="AD658">
        <v>0.51574640689432039</v>
      </c>
      <c r="AE658">
        <v>0.94952749934302227</v>
      </c>
      <c r="AF658" s="7">
        <v>5.179078722920346E-2</v>
      </c>
      <c r="AG658" s="10">
        <v>121.32581090197441</v>
      </c>
      <c r="AH658" s="1">
        <v>0.196642528839505</v>
      </c>
      <c r="AI658" s="10">
        <v>4.188728281126969</v>
      </c>
      <c r="AJ658" s="32">
        <v>1779.5603562776848</v>
      </c>
      <c r="AK658">
        <v>320</v>
      </c>
      <c r="AL658" s="7">
        <v>0.11441055842238415</v>
      </c>
    </row>
    <row r="659" spans="28:38" x14ac:dyDescent="0.3">
      <c r="AB659">
        <v>654</v>
      </c>
      <c r="AC659" s="7">
        <v>0.6843159868505253</v>
      </c>
      <c r="AD659">
        <v>1.6222108776889541</v>
      </c>
      <c r="AE659">
        <v>0.96072357883486426</v>
      </c>
      <c r="AF659" s="7">
        <v>4.0068550477533306E-2</v>
      </c>
      <c r="AG659" s="10">
        <v>138.92187526704043</v>
      </c>
      <c r="AH659" s="1">
        <v>1.1493812588105092</v>
      </c>
      <c r="AI659" s="10">
        <v>155.48984929998065</v>
      </c>
      <c r="AJ659" s="32">
        <v>1817.0278663241847</v>
      </c>
      <c r="AK659">
        <v>320</v>
      </c>
      <c r="AL659" s="7">
        <v>0.69706942198208599</v>
      </c>
    </row>
    <row r="660" spans="28:38" x14ac:dyDescent="0.3">
      <c r="AB660">
        <v>655</v>
      </c>
      <c r="AC660" s="7">
        <v>0.33325136349999163</v>
      </c>
      <c r="AD660">
        <v>0.61880557662362268</v>
      </c>
      <c r="AE660">
        <v>0.94742990105536939</v>
      </c>
      <c r="AF660" s="7">
        <v>5.4002327817455953E-2</v>
      </c>
      <c r="AG660" s="10">
        <v>119.43354044397222</v>
      </c>
      <c r="AH660" s="1">
        <v>0.25878790109585137</v>
      </c>
      <c r="AI660" s="10">
        <v>6.556069055773003</v>
      </c>
      <c r="AJ660" s="32">
        <v>1781.7932640598167</v>
      </c>
      <c r="AK660">
        <v>320</v>
      </c>
      <c r="AL660" s="7">
        <v>0.14313530591468562</v>
      </c>
    </row>
    <row r="661" spans="28:38" x14ac:dyDescent="0.3">
      <c r="AB661">
        <v>656</v>
      </c>
      <c r="AC661" s="7">
        <v>0.42105523332868861</v>
      </c>
      <c r="AD661">
        <v>0.81881597146572316</v>
      </c>
      <c r="AE661">
        <v>0.94667955675480531</v>
      </c>
      <c r="AF661" s="7">
        <v>5.4794620297408565E-2</v>
      </c>
      <c r="AG661" s="10">
        <v>118.45755601605629</v>
      </c>
      <c r="AH661" s="1">
        <v>0.39808719316395158</v>
      </c>
      <c r="AI661" s="10">
        <v>14.338441247911037</v>
      </c>
      <c r="AJ661" s="32">
        <v>1784.6581362878885</v>
      </c>
      <c r="AK661">
        <v>320</v>
      </c>
      <c r="AL661" s="7">
        <v>0.21167812569966221</v>
      </c>
    </row>
    <row r="662" spans="28:38" x14ac:dyDescent="0.3">
      <c r="AB662">
        <v>657</v>
      </c>
      <c r="AC662" s="7">
        <v>0.21725240620373445</v>
      </c>
      <c r="AD662">
        <v>0.43574208795079505</v>
      </c>
      <c r="AE662">
        <v>0.94840408336513693</v>
      </c>
      <c r="AF662" s="7">
        <v>5.2974619269644092E-2</v>
      </c>
      <c r="AG662" s="10">
        <v>121.0331494617111</v>
      </c>
      <c r="AH662" s="1">
        <v>0.14626193372641258</v>
      </c>
      <c r="AI662" s="10">
        <v>2.2243088131952691</v>
      </c>
      <c r="AJ662" s="32">
        <v>1762.4960129057517</v>
      </c>
      <c r="AK662">
        <v>320</v>
      </c>
      <c r="AL662" s="7">
        <v>8.3372447734459704E-2</v>
      </c>
    </row>
    <row r="663" spans="28:38" x14ac:dyDescent="0.3">
      <c r="AB663">
        <v>658</v>
      </c>
      <c r="AC663" s="7">
        <v>0.18250280825164589</v>
      </c>
      <c r="AD663">
        <v>0.47033629233141733</v>
      </c>
      <c r="AE663">
        <v>0.9382579230897774</v>
      </c>
      <c r="AF663" s="7">
        <v>6.3730396462531314E-2</v>
      </c>
      <c r="AG663" s="10">
        <v>118.47933305921342</v>
      </c>
      <c r="AH663" s="1">
        <v>0.14757977108337333</v>
      </c>
      <c r="AI663" s="10">
        <v>1.6105260608996996</v>
      </c>
      <c r="AJ663" s="32">
        <v>1755.1209188367675</v>
      </c>
      <c r="AK663">
        <v>320</v>
      </c>
      <c r="AL663" s="7">
        <v>7.0942892105633537E-2</v>
      </c>
    </row>
    <row r="664" spans="28:38" x14ac:dyDescent="0.3">
      <c r="AB664">
        <v>659</v>
      </c>
      <c r="AC664" s="7">
        <v>0.63724005506349424</v>
      </c>
      <c r="AD664">
        <v>1.4687469718671524</v>
      </c>
      <c r="AE664">
        <v>0.95572347781673728</v>
      </c>
      <c r="AF664" s="7">
        <v>4.5286656917010643E-2</v>
      </c>
      <c r="AG664" s="10">
        <v>129.09240254407007</v>
      </c>
      <c r="AH664" s="1">
        <v>0.98022092341022737</v>
      </c>
      <c r="AI664" s="10">
        <v>89.138152160507943</v>
      </c>
      <c r="AJ664" s="32">
        <v>1767.7980748634814</v>
      </c>
      <c r="AK664">
        <v>320</v>
      </c>
      <c r="AL664" s="7">
        <v>0.52778473405507598</v>
      </c>
    </row>
    <row r="665" spans="28:38" x14ac:dyDescent="0.3">
      <c r="AB665">
        <v>660</v>
      </c>
      <c r="AC665" s="7">
        <v>0.34205518074745023</v>
      </c>
      <c r="AD665">
        <v>0.61086915165683253</v>
      </c>
      <c r="AE665">
        <v>0.95024915790199715</v>
      </c>
      <c r="AF665" s="7">
        <v>5.1031057298915182E-2</v>
      </c>
      <c r="AG665" s="10">
        <v>123.94432137967978</v>
      </c>
      <c r="AH665" s="1">
        <v>0.25870180018102229</v>
      </c>
      <c r="AI665" s="10">
        <v>6.4989470555574371</v>
      </c>
      <c r="AJ665" s="32">
        <v>1756.9647393359896</v>
      </c>
      <c r="AK665">
        <v>320</v>
      </c>
      <c r="AL665" s="7">
        <v>0.14251038400277011</v>
      </c>
    </row>
    <row r="666" spans="28:38" x14ac:dyDescent="0.3">
      <c r="AB666">
        <v>661</v>
      </c>
      <c r="AC666" s="7">
        <v>0.61819294748651399</v>
      </c>
      <c r="AD666">
        <v>1.4220678496027055</v>
      </c>
      <c r="AE666">
        <v>0.9517521535419744</v>
      </c>
      <c r="AF666" s="7">
        <v>4.9450621003966383E-2</v>
      </c>
      <c r="AG666" s="10">
        <v>119.30267735352297</v>
      </c>
      <c r="AH666" s="1">
        <v>0.92736016192973081</v>
      </c>
      <c r="AI666" s="10">
        <v>82.510992121620177</v>
      </c>
      <c r="AJ666" s="32">
        <v>1792.1931459008554</v>
      </c>
      <c r="AK666">
        <v>320</v>
      </c>
      <c r="AL666" s="7">
        <v>0.50778622507908089</v>
      </c>
    </row>
    <row r="667" spans="28:38" x14ac:dyDescent="0.3">
      <c r="AB667">
        <v>662</v>
      </c>
      <c r="AC667" s="7">
        <v>0.24622687596885637</v>
      </c>
      <c r="AD667">
        <v>0.49587926694922513</v>
      </c>
      <c r="AE667">
        <v>0.94564062035595553</v>
      </c>
      <c r="AF667" s="7">
        <v>5.5892676023713256E-2</v>
      </c>
      <c r="AG667" s="10">
        <v>119.34755842515209</v>
      </c>
      <c r="AH667" s="1">
        <v>0.17645818240267874</v>
      </c>
      <c r="AI667" s="10">
        <v>2.9630061023913927</v>
      </c>
      <c r="AJ667" s="32">
        <v>1771.9111573469336</v>
      </c>
      <c r="AK667">
        <v>320</v>
      </c>
      <c r="AL667" s="7">
        <v>9.6225745359405257E-2</v>
      </c>
    </row>
    <row r="668" spans="28:38" x14ac:dyDescent="0.3">
      <c r="AB668">
        <v>663</v>
      </c>
      <c r="AC668" s="7">
        <v>0.48488635520510093</v>
      </c>
      <c r="AD668">
        <v>1.1306998762513709</v>
      </c>
      <c r="AE668">
        <v>0.93756152296317141</v>
      </c>
      <c r="AF668" s="7">
        <v>6.447289879671457E-2</v>
      </c>
      <c r="AG668" s="10">
        <v>110.27811318693492</v>
      </c>
      <c r="AH668" s="1">
        <v>0.61069941886321444</v>
      </c>
      <c r="AI668" s="10">
        <v>25.602367004079731</v>
      </c>
      <c r="AJ668" s="32">
        <v>1784.2200070435997</v>
      </c>
      <c r="AK668">
        <v>320</v>
      </c>
      <c r="AL668" s="7">
        <v>0.28285578814609602</v>
      </c>
    </row>
    <row r="669" spans="28:38" x14ac:dyDescent="0.3">
      <c r="AB669">
        <v>664</v>
      </c>
      <c r="AC669" s="7">
        <v>6.9230032402927535E-2</v>
      </c>
      <c r="AD669">
        <v>0.3170765272818597</v>
      </c>
      <c r="AE669">
        <v>0.94435170163583138</v>
      </c>
      <c r="AF669" s="7">
        <v>5.7256616929657438E-2</v>
      </c>
      <c r="AG669" s="10">
        <v>121.87171588955228</v>
      </c>
      <c r="AH669" s="1">
        <v>7.7599516622099504E-2</v>
      </c>
      <c r="AI669" s="10">
        <v>0.69097408653675962</v>
      </c>
      <c r="AJ669" s="32">
        <v>1804.903655128323</v>
      </c>
      <c r="AK669">
        <v>320</v>
      </c>
      <c r="AL669" s="7">
        <v>4.6468204402875024E-2</v>
      </c>
    </row>
    <row r="670" spans="28:38" x14ac:dyDescent="0.3">
      <c r="AB670">
        <v>665</v>
      </c>
      <c r="AC670" s="7">
        <v>0.62992327181791574</v>
      </c>
      <c r="AD670">
        <v>1.54248301444044</v>
      </c>
      <c r="AE670">
        <v>0.95052830839127678</v>
      </c>
      <c r="AF670" s="7">
        <v>5.0737334865609059E-2</v>
      </c>
      <c r="AG670" s="10">
        <v>122.21085267057271</v>
      </c>
      <c r="AH670" s="1">
        <v>1.0211176387886067</v>
      </c>
      <c r="AI670" s="10">
        <v>83.757631977037661</v>
      </c>
      <c r="AJ670" s="32">
        <v>1764.712795495994</v>
      </c>
      <c r="AK670">
        <v>320</v>
      </c>
      <c r="AL670" s="7">
        <v>0.51160785757085736</v>
      </c>
    </row>
    <row r="671" spans="28:38" x14ac:dyDescent="0.3">
      <c r="AB671">
        <v>666</v>
      </c>
      <c r="AC671" s="7">
        <v>0.60497876474236112</v>
      </c>
      <c r="AD671">
        <v>1.4233993551684516</v>
      </c>
      <c r="AE671">
        <v>0.94949704461757523</v>
      </c>
      <c r="AF671" s="7">
        <v>5.1822861301701904E-2</v>
      </c>
      <c r="AG671" s="10">
        <v>119.38090959321003</v>
      </c>
      <c r="AH671" s="1">
        <v>0.91162933900730803</v>
      </c>
      <c r="AI671" s="10">
        <v>70.832241142474359</v>
      </c>
      <c r="AJ671" s="32">
        <v>1779.882317723002</v>
      </c>
      <c r="AK671">
        <v>320</v>
      </c>
      <c r="AL671" s="7">
        <v>0.47047928070238371</v>
      </c>
    </row>
    <row r="672" spans="28:38" x14ac:dyDescent="0.3">
      <c r="AB672">
        <v>667</v>
      </c>
      <c r="AC672" s="7">
        <v>0.36295699029211653</v>
      </c>
      <c r="AD672">
        <v>0.6840315805748276</v>
      </c>
      <c r="AE672">
        <v>0.94652764171921555</v>
      </c>
      <c r="AF672" s="7">
        <v>5.4955104618446694E-2</v>
      </c>
      <c r="AG672" s="10">
        <v>117.63279499108242</v>
      </c>
      <c r="AH672" s="1">
        <v>0.30174640203098324</v>
      </c>
      <c r="AI672" s="10">
        <v>8.8822253511232372</v>
      </c>
      <c r="AJ672" s="32">
        <v>1794.2392687267409</v>
      </c>
      <c r="AK672">
        <v>320</v>
      </c>
      <c r="AL672" s="7">
        <v>0.16660418428797075</v>
      </c>
    </row>
    <row r="673" spans="28:38" x14ac:dyDescent="0.3">
      <c r="AB673">
        <v>668</v>
      </c>
      <c r="AC673" s="7">
        <v>0.28998531628350266</v>
      </c>
      <c r="AD673">
        <v>0.54317672253587446</v>
      </c>
      <c r="AE673">
        <v>0.94780491709095804</v>
      </c>
      <c r="AF673" s="7">
        <v>5.3606581562804644E-2</v>
      </c>
      <c r="AG673" s="10">
        <v>121.00861921207877</v>
      </c>
      <c r="AH673" s="1">
        <v>0.20970835659144388</v>
      </c>
      <c r="AI673" s="10">
        <v>4.586176819264459</v>
      </c>
      <c r="AJ673" s="32">
        <v>1789.8383149624417</v>
      </c>
      <c r="AK673">
        <v>320</v>
      </c>
      <c r="AL673" s="7">
        <v>0.11971550676583813</v>
      </c>
    </row>
    <row r="674" spans="28:38" x14ac:dyDescent="0.3">
      <c r="AB674">
        <v>669</v>
      </c>
      <c r="AC674" s="7">
        <v>0.21353913556495119</v>
      </c>
      <c r="AD674">
        <v>0.45798993380348896</v>
      </c>
      <c r="AE674">
        <v>0.94549323242409</v>
      </c>
      <c r="AF674" s="7">
        <v>5.6048548578104131E-2</v>
      </c>
      <c r="AG674" s="10">
        <v>122.98507758204383</v>
      </c>
      <c r="AH674" s="1">
        <v>0.15230554213775627</v>
      </c>
      <c r="AI674" s="10">
        <v>2.7088153815379625</v>
      </c>
      <c r="AJ674" s="32">
        <v>1837.4755663110752</v>
      </c>
      <c r="AK674">
        <v>320</v>
      </c>
      <c r="AL674" s="7">
        <v>9.2005695841649568E-2</v>
      </c>
    </row>
    <row r="675" spans="28:38" x14ac:dyDescent="0.3">
      <c r="AB675">
        <v>670</v>
      </c>
      <c r="AC675" s="7">
        <v>0.60281258624764866</v>
      </c>
      <c r="AD675">
        <v>1.2837425487462328</v>
      </c>
      <c r="AE675">
        <v>0.95528857857254568</v>
      </c>
      <c r="AF675" s="7">
        <v>4.5741807631780276E-2</v>
      </c>
      <c r="AG675" s="10">
        <v>124.32968252407439</v>
      </c>
      <c r="AH675" s="1">
        <v>0.81856758731331913</v>
      </c>
      <c r="AI675" s="10">
        <v>65.858426389992388</v>
      </c>
      <c r="AJ675" s="32">
        <v>1766.0201338814034</v>
      </c>
      <c r="AK675">
        <v>320</v>
      </c>
      <c r="AL675" s="7">
        <v>0.45366020595675594</v>
      </c>
    </row>
    <row r="676" spans="28:38" x14ac:dyDescent="0.3">
      <c r="AB676">
        <v>671</v>
      </c>
      <c r="AC676" s="7">
        <v>0.169405931194582</v>
      </c>
      <c r="AD676">
        <v>0.43413667182885207</v>
      </c>
      <c r="AE676">
        <v>0.94055303719365602</v>
      </c>
      <c r="AF676" s="7">
        <v>6.128723928064695E-2</v>
      </c>
      <c r="AG676" s="10">
        <v>115.94540428478354</v>
      </c>
      <c r="AH676" s="1">
        <v>0.13299228996322732</v>
      </c>
      <c r="AI676" s="10">
        <v>1.5131006444231654</v>
      </c>
      <c r="AJ676" s="32">
        <v>1769.8987061721932</v>
      </c>
      <c r="AK676">
        <v>320</v>
      </c>
      <c r="AL676" s="7">
        <v>6.8763649654613249E-2</v>
      </c>
    </row>
    <row r="677" spans="28:38" x14ac:dyDescent="0.3">
      <c r="AB677">
        <v>672</v>
      </c>
      <c r="AC677" s="7">
        <v>0.95538387896832855</v>
      </c>
      <c r="AD677">
        <v>3.397675547561982</v>
      </c>
      <c r="AE677">
        <v>0.97241545657428163</v>
      </c>
      <c r="AF677" s="7">
        <v>2.7972141382374006E-2</v>
      </c>
      <c r="AG677" s="10">
        <v>148.33421246571649</v>
      </c>
      <c r="AH677" s="1">
        <v>3.2736689875313241</v>
      </c>
      <c r="AI677" s="10">
        <v>1424.1148667128289</v>
      </c>
      <c r="AJ677" s="32">
        <v>1768.0891194635515</v>
      </c>
      <c r="AK677">
        <v>320</v>
      </c>
      <c r="AL677" s="7">
        <v>2.1095873905760789</v>
      </c>
    </row>
    <row r="678" spans="28:38" x14ac:dyDescent="0.3">
      <c r="AB678">
        <v>673</v>
      </c>
      <c r="AC678" s="7">
        <v>0.11920677624108202</v>
      </c>
      <c r="AD678">
        <v>0.3461383560918892</v>
      </c>
      <c r="AE678">
        <v>0.94664466678104542</v>
      </c>
      <c r="AF678" s="7">
        <v>5.4831476080829195E-2</v>
      </c>
      <c r="AG678" s="10">
        <v>122.200021165888</v>
      </c>
      <c r="AH678" s="1">
        <v>9.4617370782056384E-2</v>
      </c>
      <c r="AI678" s="10">
        <v>0.95123804065610018</v>
      </c>
      <c r="AJ678" s="32">
        <v>1766.9371814203605</v>
      </c>
      <c r="AK678">
        <v>320</v>
      </c>
      <c r="AL678" s="7">
        <v>5.4521728485534215E-2</v>
      </c>
    </row>
    <row r="679" spans="28:38" x14ac:dyDescent="0.3">
      <c r="AB679">
        <v>674</v>
      </c>
      <c r="AC679" s="7">
        <v>0.75100334021726567</v>
      </c>
      <c r="AD679">
        <v>2.3299041836696146</v>
      </c>
      <c r="AE679">
        <v>0.95088799704797178</v>
      </c>
      <c r="AF679" s="7">
        <v>5.0358997244377424E-2</v>
      </c>
      <c r="AG679" s="10">
        <v>120.86475879895755</v>
      </c>
      <c r="AH679" s="1">
        <v>1.7988778272740904</v>
      </c>
      <c r="AI679" s="10">
        <v>273.38641750586731</v>
      </c>
      <c r="AJ679" s="32">
        <v>1802.1361303642607</v>
      </c>
      <c r="AK679">
        <v>320</v>
      </c>
      <c r="AL679" s="7">
        <v>0.92430111690175698</v>
      </c>
    </row>
    <row r="680" spans="28:38" x14ac:dyDescent="0.3">
      <c r="AB680">
        <v>675</v>
      </c>
      <c r="AC680" s="7">
        <v>0.26262905297064515</v>
      </c>
      <c r="AD680">
        <v>0.54376186538351123</v>
      </c>
      <c r="AE680">
        <v>0.94266862624261882</v>
      </c>
      <c r="AF680" s="7">
        <v>5.9040461877861779E-2</v>
      </c>
      <c r="AG680" s="10">
        <v>116.76815951506877</v>
      </c>
      <c r="AH680" s="1">
        <v>0.20013903750460416</v>
      </c>
      <c r="AI680" s="10">
        <v>3.6627672069862411</v>
      </c>
      <c r="AJ680" s="32">
        <v>1791.7086382612804</v>
      </c>
      <c r="AK680">
        <v>320</v>
      </c>
      <c r="AL680" s="7">
        <v>0.10698666983242353</v>
      </c>
    </row>
    <row r="681" spans="28:38" x14ac:dyDescent="0.3">
      <c r="AB681">
        <v>676</v>
      </c>
      <c r="AC681" s="7">
        <v>0.39510490265975429</v>
      </c>
      <c r="AD681">
        <v>0.62332710149339121</v>
      </c>
      <c r="AE681">
        <v>0.95816270443072205</v>
      </c>
      <c r="AF681" s="7">
        <v>4.2737677821693645E-2</v>
      </c>
      <c r="AG681" s="10">
        <v>132.12002737469479</v>
      </c>
      <c r="AH681" s="1">
        <v>0.28811688933001106</v>
      </c>
      <c r="AI681" s="10">
        <v>10.100855520824396</v>
      </c>
      <c r="AJ681" s="32">
        <v>1753.0597460578826</v>
      </c>
      <c r="AK681">
        <v>320</v>
      </c>
      <c r="AL681" s="7">
        <v>0.17766590416446326</v>
      </c>
    </row>
    <row r="682" spans="28:38" x14ac:dyDescent="0.3">
      <c r="AB682">
        <v>677</v>
      </c>
      <c r="AC682" s="7">
        <v>4.4833752768933505E-2</v>
      </c>
      <c r="AD682">
        <v>0.29078890109519662</v>
      </c>
      <c r="AE682">
        <v>0.94575445917889711</v>
      </c>
      <c r="AF682" s="7">
        <v>5.5772300514322547E-2</v>
      </c>
      <c r="AG682" s="10">
        <v>122.0001079162615</v>
      </c>
      <c r="AH682" s="1">
        <v>6.7282698520754788E-2</v>
      </c>
      <c r="AI682" s="10">
        <v>0.52357665549323251</v>
      </c>
      <c r="AJ682" s="32">
        <v>1784.4653069966901</v>
      </c>
      <c r="AK682">
        <v>320</v>
      </c>
      <c r="AL682" s="7">
        <v>4.0449685393292634E-2</v>
      </c>
    </row>
    <row r="683" spans="28:38" x14ac:dyDescent="0.3">
      <c r="AB683">
        <v>678</v>
      </c>
      <c r="AC683" s="7">
        <v>0.70077303711410488</v>
      </c>
      <c r="AD683">
        <v>2.0170444602279431</v>
      </c>
      <c r="AE683">
        <v>0.94870068268815355</v>
      </c>
      <c r="AF683" s="7">
        <v>5.2661932979734788E-2</v>
      </c>
      <c r="AG683" s="10">
        <v>119.46084841034696</v>
      </c>
      <c r="AH683" s="1">
        <v>1.4647896896999626</v>
      </c>
      <c r="AI683" s="10">
        <v>159.48006999828903</v>
      </c>
      <c r="AJ683" s="32">
        <v>1769.8701043421743</v>
      </c>
      <c r="AK683">
        <v>320</v>
      </c>
      <c r="AL683" s="7">
        <v>0.70595695247277879</v>
      </c>
    </row>
    <row r="684" spans="28:38" x14ac:dyDescent="0.3">
      <c r="AB684">
        <v>679</v>
      </c>
      <c r="AC684" s="7">
        <v>0.2137027949568491</v>
      </c>
      <c r="AD684">
        <v>0.49244453875872007</v>
      </c>
      <c r="AE684">
        <v>0.94011999926744028</v>
      </c>
      <c r="AF684" s="7">
        <v>6.1747753070628825E-2</v>
      </c>
      <c r="AG684" s="10">
        <v>115.16431247909912</v>
      </c>
      <c r="AH684" s="1">
        <v>0.1651167750265346</v>
      </c>
      <c r="AI684" s="10">
        <v>2.4388616292580201</v>
      </c>
      <c r="AJ684" s="32">
        <v>1797.710052582539</v>
      </c>
      <c r="AK684">
        <v>320</v>
      </c>
      <c r="AL684" s="7">
        <v>8.7300873944258506E-2</v>
      </c>
    </row>
    <row r="685" spans="28:38" x14ac:dyDescent="0.3">
      <c r="AB685">
        <v>680</v>
      </c>
      <c r="AC685" s="7">
        <v>0.57074689105051468</v>
      </c>
      <c r="AD685">
        <v>1.3214634845023536</v>
      </c>
      <c r="AE685">
        <v>0.94748123454733824</v>
      </c>
      <c r="AF685" s="7">
        <v>5.3948147448765395E-2</v>
      </c>
      <c r="AG685" s="10">
        <v>119.87072151291942</v>
      </c>
      <c r="AH685" s="1">
        <v>0.80673994086916012</v>
      </c>
      <c r="AI685" s="10">
        <v>61.585456157334313</v>
      </c>
      <c r="AJ685" s="32">
        <v>1830.9966262620469</v>
      </c>
      <c r="AK685">
        <v>320</v>
      </c>
      <c r="AL685" s="7">
        <v>0.43869642179036489</v>
      </c>
    </row>
    <row r="686" spans="28:38" x14ac:dyDescent="0.3">
      <c r="AB686">
        <v>681</v>
      </c>
      <c r="AC686" s="7">
        <v>0.24964458036822254</v>
      </c>
      <c r="AD686">
        <v>0.5700299341787981</v>
      </c>
      <c r="AE686">
        <v>0.93748244504051281</v>
      </c>
      <c r="AF686" s="7">
        <v>6.4557246603011278E-2</v>
      </c>
      <c r="AG686" s="10">
        <v>115.99443621758429</v>
      </c>
      <c r="AH686" s="1">
        <v>0.20482243867487876</v>
      </c>
      <c r="AI686" s="10">
        <v>2.6402788649638076</v>
      </c>
      <c r="AJ686" s="32">
        <v>1722.6518885939581</v>
      </c>
      <c r="AK686">
        <v>320</v>
      </c>
      <c r="AL686" s="7">
        <v>9.0834307687194374E-2</v>
      </c>
    </row>
    <row r="687" spans="28:38" x14ac:dyDescent="0.3">
      <c r="AB687">
        <v>682</v>
      </c>
      <c r="AC687" s="7">
        <v>0.64637561335589111</v>
      </c>
      <c r="AD687">
        <v>1.6387860332981332</v>
      </c>
      <c r="AE687">
        <v>0.94964596368042797</v>
      </c>
      <c r="AF687" s="7">
        <v>5.1666033656277317E-2</v>
      </c>
      <c r="AG687" s="10">
        <v>119.66278269555677</v>
      </c>
      <c r="AH687" s="1">
        <v>1.1096253637517206</v>
      </c>
      <c r="AI687" s="10">
        <v>95.809515565203199</v>
      </c>
      <c r="AJ687" s="32">
        <v>1760.2452603938177</v>
      </c>
      <c r="AK687">
        <v>320</v>
      </c>
      <c r="AL687" s="7">
        <v>0.54717888861071751</v>
      </c>
    </row>
    <row r="688" spans="28:38" x14ac:dyDescent="0.3">
      <c r="AB688">
        <v>683</v>
      </c>
      <c r="AC688" s="7">
        <v>0.5565308917496381</v>
      </c>
      <c r="AD688">
        <v>1.3082609651226327</v>
      </c>
      <c r="AE688">
        <v>0.94373508677039819</v>
      </c>
      <c r="AF688" s="7">
        <v>5.7909780641348371E-2</v>
      </c>
      <c r="AG688" s="10">
        <v>113.78445190531775</v>
      </c>
      <c r="AH688" s="1">
        <v>0.78435255479054278</v>
      </c>
      <c r="AI688" s="10">
        <v>46.072330163247699</v>
      </c>
      <c r="AJ688" s="32">
        <v>1774.4813895933171</v>
      </c>
      <c r="AK688">
        <v>320</v>
      </c>
      <c r="AL688" s="7">
        <v>0.37944173697703454</v>
      </c>
    </row>
    <row r="689" spans="28:38" x14ac:dyDescent="0.3">
      <c r="AB689">
        <v>684</v>
      </c>
      <c r="AC689" s="7">
        <v>0.71450774798554417</v>
      </c>
      <c r="AD689">
        <v>1.7777114870009463</v>
      </c>
      <c r="AE689">
        <v>0.95949844177969756</v>
      </c>
      <c r="AF689" s="7">
        <v>4.1344587527678653E-2</v>
      </c>
      <c r="AG689" s="10">
        <v>129.83228604315266</v>
      </c>
      <c r="AH689" s="1">
        <v>1.3106901893653817</v>
      </c>
      <c r="AI689" s="10">
        <v>205.06511732977094</v>
      </c>
      <c r="AJ689" s="32">
        <v>1818.1154047930258</v>
      </c>
      <c r="AK689">
        <v>320</v>
      </c>
      <c r="AL689" s="7">
        <v>0.8005176398153474</v>
      </c>
    </row>
    <row r="690" spans="28:38" x14ac:dyDescent="0.3">
      <c r="AB690">
        <v>685</v>
      </c>
      <c r="AC690" s="7">
        <v>0.65830557090360853</v>
      </c>
      <c r="AD690">
        <v>1.8215693632072412</v>
      </c>
      <c r="AE690">
        <v>0.9443869726370997</v>
      </c>
      <c r="AF690" s="7">
        <v>5.7219268193431656E-2</v>
      </c>
      <c r="AG690" s="10">
        <v>113.7263914973415</v>
      </c>
      <c r="AH690" s="1">
        <v>1.2547622869495658</v>
      </c>
      <c r="AI690" s="10">
        <v>121.48555864862298</v>
      </c>
      <c r="AJ690" s="32">
        <v>1798.6401813742013</v>
      </c>
      <c r="AK690">
        <v>320</v>
      </c>
      <c r="AL690" s="7">
        <v>0.61615125641107549</v>
      </c>
    </row>
    <row r="691" spans="28:38" x14ac:dyDescent="0.3">
      <c r="AB691">
        <v>686</v>
      </c>
      <c r="AC691" s="7">
        <v>0.45700923311766722</v>
      </c>
      <c r="AD691">
        <v>0.97916501771805953</v>
      </c>
      <c r="AE691">
        <v>0.94266255699151025</v>
      </c>
      <c r="AF691" s="7">
        <v>5.9046900270397343E-2</v>
      </c>
      <c r="AG691" s="10">
        <v>116.71880332262182</v>
      </c>
      <c r="AH691" s="1">
        <v>0.50482489685146725</v>
      </c>
      <c r="AI691" s="10">
        <v>19.157154458119809</v>
      </c>
      <c r="AJ691" s="32">
        <v>1774.6703259475364</v>
      </c>
      <c r="AK691">
        <v>320</v>
      </c>
      <c r="AL691" s="7">
        <v>0.24467551508400753</v>
      </c>
    </row>
    <row r="692" spans="28:38" x14ac:dyDescent="0.3">
      <c r="AB692">
        <v>687</v>
      </c>
      <c r="AC692" s="7">
        <v>0.8855787709782208</v>
      </c>
      <c r="AD692">
        <v>2.9492654976250003</v>
      </c>
      <c r="AE692">
        <v>0.96777576019285827</v>
      </c>
      <c r="AF692" s="7">
        <v>3.2754871234517875E-2</v>
      </c>
      <c r="AG692" s="10">
        <v>145.0083956597592</v>
      </c>
      <c r="AH692" s="1">
        <v>2.6440311544823603</v>
      </c>
      <c r="AI692" s="10">
        <v>957.27113335166598</v>
      </c>
      <c r="AJ692" s="32">
        <v>1834.9470892016823</v>
      </c>
      <c r="AK692">
        <v>320</v>
      </c>
      <c r="AL692" s="7">
        <v>1.7295873183288424</v>
      </c>
    </row>
    <row r="693" spans="28:38" x14ac:dyDescent="0.3">
      <c r="AB693">
        <v>688</v>
      </c>
      <c r="AC693" s="7">
        <v>0.68020496851965218</v>
      </c>
      <c r="AD693">
        <v>1.7932176148473611</v>
      </c>
      <c r="AE693">
        <v>0.95132831196004275</v>
      </c>
      <c r="AF693" s="7">
        <v>4.9896047875422962E-2</v>
      </c>
      <c r="AG693" s="10">
        <v>120.70061946447487</v>
      </c>
      <c r="AH693" s="1">
        <v>1.2684272192960924</v>
      </c>
      <c r="AI693" s="10">
        <v>140.10241124849924</v>
      </c>
      <c r="AJ693" s="32">
        <v>1787.5814330275139</v>
      </c>
      <c r="AK693">
        <v>320</v>
      </c>
      <c r="AL693" s="7">
        <v>0.66167970737476911</v>
      </c>
    </row>
    <row r="694" spans="28:38" x14ac:dyDescent="0.3">
      <c r="AB694">
        <v>689</v>
      </c>
      <c r="AC694" s="7">
        <v>0.74353855259831692</v>
      </c>
      <c r="AD694">
        <v>2.3350866277347846</v>
      </c>
      <c r="AE694">
        <v>0.9497342311936392</v>
      </c>
      <c r="AF694" s="7">
        <v>5.1573090165013193E-2</v>
      </c>
      <c r="AG694" s="10">
        <v>121.7885907781538</v>
      </c>
      <c r="AH694" s="1">
        <v>1.7864927001839674</v>
      </c>
      <c r="AI694" s="10">
        <v>240.25262741702534</v>
      </c>
      <c r="AJ694" s="32">
        <v>1781.5972256630325</v>
      </c>
      <c r="AK694">
        <v>320</v>
      </c>
      <c r="AL694" s="7">
        <v>0.86648107923843565</v>
      </c>
    </row>
    <row r="695" spans="28:38" x14ac:dyDescent="0.3">
      <c r="AB695">
        <v>690</v>
      </c>
      <c r="AC695" s="7">
        <v>0.58772588792167746</v>
      </c>
      <c r="AD695">
        <v>1.4129478577306251</v>
      </c>
      <c r="AE695">
        <v>0.94567820659503576</v>
      </c>
      <c r="AF695" s="7">
        <v>5.5852929960226144E-2</v>
      </c>
      <c r="AG695" s="10">
        <v>115.32482252320172</v>
      </c>
      <c r="AH695" s="1">
        <v>0.88474782767672788</v>
      </c>
      <c r="AI695" s="10">
        <v>55.36441915044675</v>
      </c>
      <c r="AJ695" s="32">
        <v>1746.7496159807301</v>
      </c>
      <c r="AK695">
        <v>320</v>
      </c>
      <c r="AL695" s="7">
        <v>0.41594928758821798</v>
      </c>
    </row>
    <row r="696" spans="28:38" x14ac:dyDescent="0.3">
      <c r="AB696">
        <v>691</v>
      </c>
      <c r="AC696" s="7">
        <v>0.34096615906400862</v>
      </c>
      <c r="AD696">
        <v>0.64776541676490962</v>
      </c>
      <c r="AE696">
        <v>0.94673197395612485</v>
      </c>
      <c r="AF696" s="7">
        <v>5.4739252301087921E-2</v>
      </c>
      <c r="AG696" s="10">
        <v>122.09756956306779</v>
      </c>
      <c r="AH696" s="1">
        <v>0.27413411217270317</v>
      </c>
      <c r="AI696" s="10">
        <v>7.4473593470667545</v>
      </c>
      <c r="AJ696" s="32">
        <v>1802.2187461942503</v>
      </c>
      <c r="AK696">
        <v>320</v>
      </c>
      <c r="AL696" s="7">
        <v>0.15255490146037134</v>
      </c>
    </row>
    <row r="697" spans="28:38" x14ac:dyDescent="0.3">
      <c r="AB697">
        <v>692</v>
      </c>
      <c r="AC697" s="7">
        <v>0.76222609019079524</v>
      </c>
      <c r="AD697">
        <v>2.2563899182624998</v>
      </c>
      <c r="AE697">
        <v>0.95516545463552627</v>
      </c>
      <c r="AF697" s="7">
        <v>4.5870702580362861E-2</v>
      </c>
      <c r="AG697" s="10">
        <v>123.77578297022168</v>
      </c>
      <c r="AH697" s="1">
        <v>1.7647138107076268</v>
      </c>
      <c r="AI697" s="10">
        <v>295.34962755102373</v>
      </c>
      <c r="AJ697" s="32">
        <v>1797.6156389391649</v>
      </c>
      <c r="AK697">
        <v>320</v>
      </c>
      <c r="AL697" s="7">
        <v>0.96071202037704784</v>
      </c>
    </row>
    <row r="698" spans="28:38" x14ac:dyDescent="0.3">
      <c r="AB698">
        <v>693</v>
      </c>
      <c r="AC698" s="7">
        <v>0.75456959859314787</v>
      </c>
      <c r="AD698">
        <v>2.4422258916326491</v>
      </c>
      <c r="AE698">
        <v>0.94677393983946079</v>
      </c>
      <c r="AF698" s="7">
        <v>5.469492618302612E-2</v>
      </c>
      <c r="AG698" s="10">
        <v>113.87790980001716</v>
      </c>
      <c r="AH698" s="1">
        <v>1.89605547088358</v>
      </c>
      <c r="AI698" s="10">
        <v>235.06082739272239</v>
      </c>
      <c r="AJ698" s="32">
        <v>1740.2059556338495</v>
      </c>
      <c r="AK698">
        <v>320</v>
      </c>
      <c r="AL698" s="7">
        <v>0.85706772521327479</v>
      </c>
    </row>
    <row r="699" spans="28:38" x14ac:dyDescent="0.3">
      <c r="AB699">
        <v>694</v>
      </c>
      <c r="AC699" s="7">
        <v>0.46427302891498362</v>
      </c>
      <c r="AD699">
        <v>0.83283521491442769</v>
      </c>
      <c r="AE699">
        <v>0.95394755050857649</v>
      </c>
      <c r="AF699" s="7">
        <v>4.7146587547764157E-2</v>
      </c>
      <c r="AG699" s="10">
        <v>124.63528143860113</v>
      </c>
      <c r="AH699" s="1">
        <v>0.4327153773068062</v>
      </c>
      <c r="AI699" s="10">
        <v>21.166460007987478</v>
      </c>
      <c r="AJ699" s="32">
        <v>1791.9005300078156</v>
      </c>
      <c r="AK699">
        <v>320</v>
      </c>
      <c r="AL699" s="7">
        <v>0.25718706718060469</v>
      </c>
    </row>
    <row r="700" spans="28:38" x14ac:dyDescent="0.3">
      <c r="AB700">
        <v>695</v>
      </c>
      <c r="AC700" s="7">
        <v>0.51361692505556811</v>
      </c>
      <c r="AD700">
        <v>0.95155378781164157</v>
      </c>
      <c r="AE700">
        <v>0.95429098805890122</v>
      </c>
      <c r="AF700" s="7">
        <v>4.6786635113001261E-2</v>
      </c>
      <c r="AG700" s="10">
        <v>119.99838456572371</v>
      </c>
      <c r="AH700" s="1">
        <v>0.53444314246189262</v>
      </c>
      <c r="AI700" s="10">
        <v>31.561372860363001</v>
      </c>
      <c r="AJ700" s="32">
        <v>1779.2621893498917</v>
      </c>
      <c r="AK700">
        <v>320</v>
      </c>
      <c r="AL700" s="7">
        <v>0.31405300538067515</v>
      </c>
    </row>
    <row r="701" spans="28:38" x14ac:dyDescent="0.3">
      <c r="AB701">
        <v>696</v>
      </c>
      <c r="AC701" s="7">
        <v>0.50927879229056006</v>
      </c>
      <c r="AD701">
        <v>0.99150201654159609</v>
      </c>
      <c r="AE701">
        <v>0.95285310265222967</v>
      </c>
      <c r="AF701" s="7">
        <v>4.8294529231881475E-2</v>
      </c>
      <c r="AG701" s="10">
        <v>125.36853747012796</v>
      </c>
      <c r="AH701" s="1">
        <v>0.55209784688572927</v>
      </c>
      <c r="AI701" s="10">
        <v>32.638466248263867</v>
      </c>
      <c r="AJ701" s="32">
        <v>1804.2778357476118</v>
      </c>
      <c r="AK701">
        <v>320</v>
      </c>
      <c r="AL701" s="7">
        <v>0.31936688467313668</v>
      </c>
    </row>
    <row r="702" spans="28:38" x14ac:dyDescent="0.3">
      <c r="AB702">
        <v>697</v>
      </c>
      <c r="AC702" s="7">
        <v>0.28518268191752238</v>
      </c>
      <c r="AD702">
        <v>0.46302295956583145</v>
      </c>
      <c r="AE702">
        <v>0.95645911388681693</v>
      </c>
      <c r="AF702" s="7">
        <v>4.4517236559809159E-2</v>
      </c>
      <c r="AG702" s="10">
        <v>132.90277349616969</v>
      </c>
      <c r="AH702" s="1">
        <v>0.17558701551155542</v>
      </c>
      <c r="AI702" s="10">
        <v>3.9027141522846227</v>
      </c>
      <c r="AJ702" s="32">
        <v>1757.9068887756978</v>
      </c>
      <c r="AK702">
        <v>320</v>
      </c>
      <c r="AL702" s="7">
        <v>0.1104354188016211</v>
      </c>
    </row>
    <row r="703" spans="28:38" x14ac:dyDescent="0.3">
      <c r="AB703">
        <v>698</v>
      </c>
      <c r="AC703" s="7">
        <v>0.58156944024568757</v>
      </c>
      <c r="AD703">
        <v>1.3608815372519967</v>
      </c>
      <c r="AE703">
        <v>0.94743439579281929</v>
      </c>
      <c r="AF703" s="7">
        <v>5.3997583691496764E-2</v>
      </c>
      <c r="AG703" s="10">
        <v>118.3293957458864</v>
      </c>
      <c r="AH703" s="1">
        <v>0.84401271806751521</v>
      </c>
      <c r="AI703" s="10">
        <v>54.587875749748832</v>
      </c>
      <c r="AJ703" s="32">
        <v>1761.3468273279248</v>
      </c>
      <c r="AK703">
        <v>320</v>
      </c>
      <c r="AL703" s="7">
        <v>0.4130219264372838</v>
      </c>
    </row>
    <row r="704" spans="28:38" x14ac:dyDescent="0.3">
      <c r="AB704">
        <v>699</v>
      </c>
      <c r="AC704" s="7">
        <v>0.2819062440134914</v>
      </c>
      <c r="AD704">
        <v>0.45162903699283363</v>
      </c>
      <c r="AE704">
        <v>0.95721581394152178</v>
      </c>
      <c r="AF704" s="7">
        <v>4.3726402042264995E-2</v>
      </c>
      <c r="AG704" s="10">
        <v>133.75949113357018</v>
      </c>
      <c r="AH704" s="1">
        <v>0.17010123156455811</v>
      </c>
      <c r="AI704" s="10">
        <v>4.03764177466911</v>
      </c>
      <c r="AJ704" s="32">
        <v>1778.3964555896264</v>
      </c>
      <c r="AK704">
        <v>320</v>
      </c>
      <c r="AL704" s="7">
        <v>0.11232822684366102</v>
      </c>
    </row>
    <row r="705" spans="28:38" x14ac:dyDescent="0.3">
      <c r="AB705">
        <v>700</v>
      </c>
      <c r="AC705" s="7">
        <v>0.18149353752799199</v>
      </c>
      <c r="AD705">
        <v>0.43544263210738915</v>
      </c>
      <c r="AE705">
        <v>0.94234725676622078</v>
      </c>
      <c r="AF705" s="7">
        <v>5.938143457990467E-2</v>
      </c>
      <c r="AG705" s="10">
        <v>116.30651534893187</v>
      </c>
      <c r="AH705" s="1">
        <v>0.13668276692544928</v>
      </c>
      <c r="AI705" s="10">
        <v>1.8484113422653698</v>
      </c>
      <c r="AJ705" s="32">
        <v>1800.1675501370614</v>
      </c>
      <c r="AK705">
        <v>320</v>
      </c>
      <c r="AL705" s="7">
        <v>7.6001877901662934E-2</v>
      </c>
    </row>
    <row r="706" spans="28:38" x14ac:dyDescent="0.3">
      <c r="AB706">
        <v>701</v>
      </c>
      <c r="AC706" s="7">
        <v>0.84972821570597257</v>
      </c>
      <c r="AD706">
        <v>2.5874676754367041</v>
      </c>
      <c r="AE706">
        <v>0.96574274265478333</v>
      </c>
      <c r="AF706" s="7">
        <v>3.4857792188513939E-2</v>
      </c>
      <c r="AG706" s="10">
        <v>136.43880735166843</v>
      </c>
      <c r="AH706" s="1">
        <v>2.2329015483909274</v>
      </c>
      <c r="AI706" s="10">
        <v>567.13211769457246</v>
      </c>
      <c r="AJ706" s="32">
        <v>1766.6692540416873</v>
      </c>
      <c r="AK706">
        <v>320</v>
      </c>
      <c r="AL706" s="7">
        <v>1.331273025263991</v>
      </c>
    </row>
    <row r="707" spans="28:38" x14ac:dyDescent="0.3">
      <c r="AB707">
        <v>702</v>
      </c>
      <c r="AC707" s="7">
        <v>0.62801436542837386</v>
      </c>
      <c r="AD707">
        <v>1.3504899078254291</v>
      </c>
      <c r="AE707">
        <v>0.958075870240223</v>
      </c>
      <c r="AF707" s="7">
        <v>4.2828307654227293E-2</v>
      </c>
      <c r="AG707" s="10">
        <v>129.69727590392725</v>
      </c>
      <c r="AH707" s="1">
        <v>0.89005119224018692</v>
      </c>
      <c r="AI707" s="10">
        <v>89.772557094723169</v>
      </c>
      <c r="AJ707" s="32">
        <v>1796.6412494193605</v>
      </c>
      <c r="AK707">
        <v>320</v>
      </c>
      <c r="AL707" s="7">
        <v>0.52965955190198344</v>
      </c>
    </row>
    <row r="708" spans="28:38" x14ac:dyDescent="0.3">
      <c r="AB708">
        <v>703</v>
      </c>
      <c r="AC708" s="7">
        <v>0.71546231317007725</v>
      </c>
      <c r="AD708">
        <v>1.837933952224728</v>
      </c>
      <c r="AE708">
        <v>0.95577530390388366</v>
      </c>
      <c r="AF708" s="7">
        <v>4.523243131388216E-2</v>
      </c>
      <c r="AG708" s="10">
        <v>120.0161370514778</v>
      </c>
      <c r="AH708" s="1">
        <v>1.3591971730086425</v>
      </c>
      <c r="AI708" s="10">
        <v>190.53456074826229</v>
      </c>
      <c r="AJ708" s="32">
        <v>1788.2207303585751</v>
      </c>
      <c r="AK708">
        <v>320</v>
      </c>
      <c r="AL708" s="7">
        <v>0.77163495406721927</v>
      </c>
    </row>
    <row r="709" spans="28:38" x14ac:dyDescent="0.3">
      <c r="AB709">
        <v>704</v>
      </c>
      <c r="AC709" s="7">
        <v>0.64550462823913568</v>
      </c>
      <c r="AD709">
        <v>1.4465075836729944</v>
      </c>
      <c r="AE709">
        <v>0.95677946066803521</v>
      </c>
      <c r="AF709" s="7">
        <v>4.4182362709289533E-2</v>
      </c>
      <c r="AG709" s="10">
        <v>125.27501142565796</v>
      </c>
      <c r="AH709" s="1">
        <v>0.97694787937589145</v>
      </c>
      <c r="AI709" s="10">
        <v>101.25896258400492</v>
      </c>
      <c r="AJ709" s="32">
        <v>1784.304062620547</v>
      </c>
      <c r="AK709">
        <v>320</v>
      </c>
      <c r="AL709" s="7">
        <v>0.56252489551575879</v>
      </c>
    </row>
    <row r="710" spans="28:38" x14ac:dyDescent="0.3">
      <c r="AB710">
        <v>705</v>
      </c>
      <c r="AC710" s="7">
        <v>0.48055060304164315</v>
      </c>
      <c r="AD710">
        <v>0.88805024094377161</v>
      </c>
      <c r="AE710">
        <v>0.95339012918531796</v>
      </c>
      <c r="AF710" s="7">
        <v>4.7731089542416616E-2</v>
      </c>
      <c r="AG710" s="10">
        <v>124.42930992168722</v>
      </c>
      <c r="AH710" s="1">
        <v>0.47336294963148801</v>
      </c>
      <c r="AI710" s="10">
        <v>24.986238478741246</v>
      </c>
      <c r="AJ710" s="32">
        <v>1799.1795697254809</v>
      </c>
      <c r="AK710">
        <v>320</v>
      </c>
      <c r="AL710" s="7">
        <v>0.27943155735540393</v>
      </c>
    </row>
    <row r="711" spans="28:38" x14ac:dyDescent="0.3">
      <c r="AB711">
        <v>706</v>
      </c>
      <c r="AC711" s="7">
        <v>0.43861418825407261</v>
      </c>
      <c r="AD711">
        <v>0.79324391490128432</v>
      </c>
      <c r="AE711">
        <v>0.95325913328346235</v>
      </c>
      <c r="AF711" s="7">
        <v>4.7868499085577283E-2</v>
      </c>
      <c r="AG711" s="10">
        <v>129.54396342647769</v>
      </c>
      <c r="AH711" s="1">
        <v>0.39466890253844711</v>
      </c>
      <c r="AI711" s="10">
        <v>16.163119300925032</v>
      </c>
      <c r="AJ711" s="32">
        <v>1779.8328293383106</v>
      </c>
      <c r="AK711">
        <v>320</v>
      </c>
      <c r="AL711" s="7">
        <v>0.22474373810051021</v>
      </c>
    </row>
    <row r="712" spans="28:38" x14ac:dyDescent="0.3">
      <c r="AB712">
        <v>707</v>
      </c>
      <c r="AC712" s="7">
        <v>0.46242952811135535</v>
      </c>
      <c r="AD712">
        <v>0.86361551634044087</v>
      </c>
      <c r="AE712">
        <v>0.95145575775110081</v>
      </c>
      <c r="AF712" s="7">
        <v>4.9762090698381868E-2</v>
      </c>
      <c r="AG712" s="10">
        <v>122.15459948096088</v>
      </c>
      <c r="AH712" s="1">
        <v>0.44790555793985376</v>
      </c>
      <c r="AI712" s="10">
        <v>24.72077887520696</v>
      </c>
      <c r="AJ712" s="32">
        <v>1845.4216218187407</v>
      </c>
      <c r="AK712">
        <v>320</v>
      </c>
      <c r="AL712" s="7">
        <v>0.27794322079342348</v>
      </c>
    </row>
    <row r="713" spans="28:38" x14ac:dyDescent="0.3">
      <c r="AB713">
        <v>708</v>
      </c>
      <c r="AC713" s="7">
        <v>0.50052261471651804</v>
      </c>
      <c r="AD713">
        <v>0.87721921728855778</v>
      </c>
      <c r="AE713">
        <v>0.95765653157765529</v>
      </c>
      <c r="AF713" s="7">
        <v>4.3266091834175555E-2</v>
      </c>
      <c r="AG713" s="10">
        <v>128.60428878860867</v>
      </c>
      <c r="AH713" s="1">
        <v>0.48141152473919102</v>
      </c>
      <c r="AI713" s="10">
        <v>31.06098661016652</v>
      </c>
      <c r="AJ713" s="32">
        <v>1814.8203569810066</v>
      </c>
      <c r="AK713">
        <v>320</v>
      </c>
      <c r="AL713" s="7">
        <v>0.31155349967023382</v>
      </c>
    </row>
    <row r="714" spans="28:38" x14ac:dyDescent="0.3">
      <c r="AB714">
        <v>709</v>
      </c>
      <c r="AC714" s="7">
        <v>0.85482766955902678</v>
      </c>
      <c r="AD714">
        <v>3.1567812233862225</v>
      </c>
      <c r="AE714">
        <v>0.95383598335769748</v>
      </c>
      <c r="AF714" s="7">
        <v>4.7263547516257116E-2</v>
      </c>
      <c r="AG714" s="10">
        <v>118.98437479987953</v>
      </c>
      <c r="AH714" s="1">
        <v>2.7446679531372409</v>
      </c>
      <c r="AI714" s="10">
        <v>675.86530423388933</v>
      </c>
      <c r="AJ714" s="32">
        <v>1800.4978669180723</v>
      </c>
      <c r="AK714">
        <v>320</v>
      </c>
      <c r="AL714" s="7">
        <v>1.453299375810402</v>
      </c>
    </row>
    <row r="715" spans="28:38" x14ac:dyDescent="0.3">
      <c r="AB715">
        <v>710</v>
      </c>
      <c r="AC715" s="7">
        <v>0.1836990678534271</v>
      </c>
      <c r="AD715">
        <v>0.40101338434196954</v>
      </c>
      <c r="AE715">
        <v>0.94794647339938154</v>
      </c>
      <c r="AF715" s="7">
        <v>5.3457240980071409E-2</v>
      </c>
      <c r="AG715" s="10">
        <v>121.52607070244002</v>
      </c>
      <c r="AH715" s="1">
        <v>0.12571931150098636</v>
      </c>
      <c r="AI715" s="10">
        <v>1.5525839278110454</v>
      </c>
      <c r="AJ715" s="32">
        <v>1742.0488859425125</v>
      </c>
      <c r="AK715">
        <v>320</v>
      </c>
      <c r="AL715" s="7">
        <v>6.965504127060379E-2</v>
      </c>
    </row>
    <row r="716" spans="28:38" x14ac:dyDescent="0.3">
      <c r="AB716">
        <v>711</v>
      </c>
      <c r="AC716" s="7">
        <v>0.5649896324884629</v>
      </c>
      <c r="AD716">
        <v>1.3212650138554871</v>
      </c>
      <c r="AE716">
        <v>0.94607779393992841</v>
      </c>
      <c r="AF716" s="7">
        <v>5.5430478702535035E-2</v>
      </c>
      <c r="AG716" s="10">
        <v>118.46265997404197</v>
      </c>
      <c r="AH716" s="1">
        <v>0.80042324065814707</v>
      </c>
      <c r="AI716" s="10">
        <v>55.694977495513399</v>
      </c>
      <c r="AJ716" s="32">
        <v>1814.0976538397058</v>
      </c>
      <c r="AK716">
        <v>320</v>
      </c>
      <c r="AL716" s="7">
        <v>0.41718917132816308</v>
      </c>
    </row>
    <row r="717" spans="28:38" x14ac:dyDescent="0.3">
      <c r="AB717">
        <v>712</v>
      </c>
      <c r="AC717" s="7">
        <v>0.95884628608350153</v>
      </c>
      <c r="AD717">
        <v>3.7650272515126084</v>
      </c>
      <c r="AE717">
        <v>0.9667936705045429</v>
      </c>
      <c r="AF717" s="7">
        <v>3.3770177025147043E-2</v>
      </c>
      <c r="AG717" s="10">
        <v>134.22743422413771</v>
      </c>
      <c r="AH717" s="1">
        <v>3.6432887266114951</v>
      </c>
      <c r="AI717" s="10">
        <v>1614.2425328688969</v>
      </c>
      <c r="AJ717" s="32">
        <v>1794.685471100059</v>
      </c>
      <c r="AK717">
        <v>320</v>
      </c>
      <c r="AL717" s="7">
        <v>2.2459982001807801</v>
      </c>
    </row>
    <row r="718" spans="28:38" x14ac:dyDescent="0.3">
      <c r="AB718">
        <v>713</v>
      </c>
      <c r="AC718" s="7">
        <v>0.38824284790342162</v>
      </c>
      <c r="AD718">
        <v>0.6698247200329932</v>
      </c>
      <c r="AE718">
        <v>0.95305866636647041</v>
      </c>
      <c r="AF718" s="7">
        <v>4.8078817551645954E-2</v>
      </c>
      <c r="AG718" s="10">
        <v>126.09227593136363</v>
      </c>
      <c r="AH718" s="1">
        <v>0.30699599053525095</v>
      </c>
      <c r="AI718" s="10">
        <v>9.0138205780832497</v>
      </c>
      <c r="AJ718" s="32">
        <v>1733.0573372113843</v>
      </c>
      <c r="AK718">
        <v>320</v>
      </c>
      <c r="AL718" s="7">
        <v>0.16783381455031687</v>
      </c>
    </row>
    <row r="719" spans="28:38" x14ac:dyDescent="0.3">
      <c r="AB719">
        <v>714</v>
      </c>
      <c r="AC719" s="7">
        <v>0.3638986089697242</v>
      </c>
      <c r="AD719">
        <v>0.57871605306386653</v>
      </c>
      <c r="AE719">
        <v>0.95657558569830703</v>
      </c>
      <c r="AF719" s="7">
        <v>4.4395470016150254E-2</v>
      </c>
      <c r="AG719" s="10">
        <v>128.25976139275406</v>
      </c>
      <c r="AH719" s="1">
        <v>0.25401838100008312</v>
      </c>
      <c r="AI719" s="10">
        <v>8.2261844833043281</v>
      </c>
      <c r="AJ719" s="32">
        <v>1773.3674037115647</v>
      </c>
      <c r="AK719">
        <v>320</v>
      </c>
      <c r="AL719" s="7">
        <v>0.160333485305865</v>
      </c>
    </row>
    <row r="720" spans="28:38" x14ac:dyDescent="0.3">
      <c r="AB720">
        <v>715</v>
      </c>
      <c r="AC720" s="7">
        <v>0.4088999648502426</v>
      </c>
      <c r="AD720">
        <v>0.78474889090447153</v>
      </c>
      <c r="AE720">
        <v>0.94700562480510198</v>
      </c>
      <c r="AF720" s="7">
        <v>5.4450246209577835E-2</v>
      </c>
      <c r="AG720" s="10">
        <v>118.87224631980689</v>
      </c>
      <c r="AH720" s="1">
        <v>0.37387816910200328</v>
      </c>
      <c r="AI720" s="10">
        <v>13.296741717017321</v>
      </c>
      <c r="AJ720" s="32">
        <v>1795.1167022570626</v>
      </c>
      <c r="AK720">
        <v>320</v>
      </c>
      <c r="AL720" s="7">
        <v>0.20384385658066601</v>
      </c>
    </row>
    <row r="721" spans="28:38" x14ac:dyDescent="0.3">
      <c r="AB721">
        <v>716</v>
      </c>
      <c r="AC721" s="7">
        <v>0.4631488203499714</v>
      </c>
      <c r="AD721">
        <v>0.91443398386268127</v>
      </c>
      <c r="AE721">
        <v>0.94843356202374773</v>
      </c>
      <c r="AF721" s="7">
        <v>5.2943537370057338E-2</v>
      </c>
      <c r="AG721" s="10">
        <v>120.8587261217733</v>
      </c>
      <c r="AH721" s="1">
        <v>0.47508545889017789</v>
      </c>
      <c r="AI721" s="10">
        <v>18.67779766879195</v>
      </c>
      <c r="AJ721" s="32">
        <v>1752.6111381157723</v>
      </c>
      <c r="AK721">
        <v>320</v>
      </c>
      <c r="AL721" s="7">
        <v>0.2415949455493116</v>
      </c>
    </row>
    <row r="722" spans="28:38" x14ac:dyDescent="0.3">
      <c r="AB722">
        <v>717</v>
      </c>
      <c r="AC722" s="7">
        <v>0.3193699933008185</v>
      </c>
      <c r="AD722">
        <v>0.57392355846993892</v>
      </c>
      <c r="AE722">
        <v>0.94930041300683077</v>
      </c>
      <c r="AF722" s="7">
        <v>5.2029973029872577E-2</v>
      </c>
      <c r="AG722" s="10">
        <v>120.14835125970323</v>
      </c>
      <c r="AH722" s="1">
        <v>0.23399355001689554</v>
      </c>
      <c r="AI722" s="10">
        <v>5.6297241174007686</v>
      </c>
      <c r="AJ722" s="32">
        <v>1772.375722135122</v>
      </c>
      <c r="AK722">
        <v>320</v>
      </c>
      <c r="AL722" s="7">
        <v>0.13263818404546029</v>
      </c>
    </row>
    <row r="723" spans="28:38" x14ac:dyDescent="0.3">
      <c r="AB723">
        <v>718</v>
      </c>
      <c r="AC723" s="7">
        <v>0.32641893257432053</v>
      </c>
      <c r="AD723">
        <v>0.70652222556366007</v>
      </c>
      <c r="AE723">
        <v>0.93681225878137386</v>
      </c>
      <c r="AF723" s="7">
        <v>6.5272380980048603E-2</v>
      </c>
      <c r="AG723" s="10">
        <v>110.84472752844837</v>
      </c>
      <c r="AH723" s="1">
        <v>0.29380997192714936</v>
      </c>
      <c r="AI723" s="10">
        <v>6.5373154415366308</v>
      </c>
      <c r="AJ723" s="32">
        <v>1792.7397985980817</v>
      </c>
      <c r="AK723">
        <v>320</v>
      </c>
      <c r="AL723" s="7">
        <v>0.14293044026659252</v>
      </c>
    </row>
    <row r="724" spans="28:38" x14ac:dyDescent="0.3">
      <c r="AB724">
        <v>719</v>
      </c>
      <c r="AC724" s="7">
        <v>0.24263407628434944</v>
      </c>
      <c r="AD724">
        <v>0.54199564923909227</v>
      </c>
      <c r="AE724">
        <v>0.9390475533953363</v>
      </c>
      <c r="AF724" s="7">
        <v>6.2889158462624606E-2</v>
      </c>
      <c r="AG724" s="10">
        <v>114.29465497578502</v>
      </c>
      <c r="AH724" s="1">
        <v>0.19245906030792712</v>
      </c>
      <c r="AI724" s="10">
        <v>2.8700570598780395</v>
      </c>
      <c r="AJ724" s="32">
        <v>1767.757940707256</v>
      </c>
      <c r="AK724">
        <v>320</v>
      </c>
      <c r="AL724" s="7">
        <v>9.4704426042919843E-2</v>
      </c>
    </row>
    <row r="725" spans="28:38" x14ac:dyDescent="0.3">
      <c r="AB725">
        <v>720</v>
      </c>
      <c r="AC725" s="7">
        <v>0.36838160957723176</v>
      </c>
      <c r="AD725">
        <v>0.67374958466527857</v>
      </c>
      <c r="AE725">
        <v>0.94876613509275132</v>
      </c>
      <c r="AF725" s="7">
        <v>5.2592943731532525E-2</v>
      </c>
      <c r="AG725" s="10">
        <v>120.60701933432114</v>
      </c>
      <c r="AH725" s="1">
        <v>0.2994308213582354</v>
      </c>
      <c r="AI725" s="10">
        <v>8.3470519488444808</v>
      </c>
      <c r="AJ725" s="32">
        <v>1761.0636915816654</v>
      </c>
      <c r="AK725">
        <v>320</v>
      </c>
      <c r="AL725" s="7">
        <v>0.1615070813931668</v>
      </c>
    </row>
    <row r="726" spans="28:38" x14ac:dyDescent="0.3">
      <c r="AB726">
        <v>721</v>
      </c>
      <c r="AC726" s="7">
        <v>0.45669643430617041</v>
      </c>
      <c r="AD726">
        <v>0.91736985016232131</v>
      </c>
      <c r="AE726">
        <v>0.94652814534444629</v>
      </c>
      <c r="AF726" s="7">
        <v>5.4954572541965716E-2</v>
      </c>
      <c r="AG726" s="10">
        <v>117.99546489232202</v>
      </c>
      <c r="AH726" s="1">
        <v>0.47243139416467167</v>
      </c>
      <c r="AI726" s="10">
        <v>19.413561983620291</v>
      </c>
      <c r="AJ726" s="32">
        <v>1781.3531948772495</v>
      </c>
      <c r="AK726">
        <v>320</v>
      </c>
      <c r="AL726" s="7">
        <v>0.24630749318446121</v>
      </c>
    </row>
    <row r="727" spans="28:38" x14ac:dyDescent="0.3">
      <c r="AB727">
        <v>722</v>
      </c>
      <c r="AC727" s="7">
        <v>0.57060460900626886</v>
      </c>
      <c r="AD727">
        <v>1.2498881158441921</v>
      </c>
      <c r="AE727">
        <v>0.95002706926782043</v>
      </c>
      <c r="AF727" s="7">
        <v>5.1264800827369103E-2</v>
      </c>
      <c r="AG727" s="10">
        <v>118.79219357401769</v>
      </c>
      <c r="AH727" s="1">
        <v>0.7631648503750369</v>
      </c>
      <c r="AI727" s="10">
        <v>61.271298091676904</v>
      </c>
      <c r="AJ727" s="32">
        <v>1830.0583630310036</v>
      </c>
      <c r="AK727">
        <v>320</v>
      </c>
      <c r="AL727" s="7">
        <v>0.43757605800190935</v>
      </c>
    </row>
    <row r="728" spans="28:38" x14ac:dyDescent="0.3">
      <c r="AB728">
        <v>723</v>
      </c>
      <c r="AC728" s="7">
        <v>0.81815892655397238</v>
      </c>
      <c r="AD728">
        <v>1.949368267227704</v>
      </c>
      <c r="AE728">
        <v>0.9750570592386103</v>
      </c>
      <c r="AF728" s="7">
        <v>2.5259287400642066E-2</v>
      </c>
      <c r="AG728" s="10">
        <v>164.19818300136578</v>
      </c>
      <c r="AH728" s="1">
        <v>1.6198359897347852</v>
      </c>
      <c r="AI728" s="10">
        <v>480.26511399787984</v>
      </c>
      <c r="AJ728" s="32">
        <v>1808.7401917530328</v>
      </c>
      <c r="AK728">
        <v>320</v>
      </c>
      <c r="AL728" s="7">
        <v>1.2250830507534478</v>
      </c>
    </row>
    <row r="729" spans="28:38" x14ac:dyDescent="0.3">
      <c r="AB729">
        <v>724</v>
      </c>
      <c r="AC729" s="7">
        <v>0.62054042549776245</v>
      </c>
      <c r="AD729">
        <v>1.3133743572453522</v>
      </c>
      <c r="AE729">
        <v>0.95777819191902991</v>
      </c>
      <c r="AF729" s="7">
        <v>4.3139060262652067E-2</v>
      </c>
      <c r="AG729" s="10">
        <v>127.9754785152204</v>
      </c>
      <c r="AH729" s="1">
        <v>0.85722369056385128</v>
      </c>
      <c r="AI729" s="10">
        <v>72.808478970966789</v>
      </c>
      <c r="AJ729" s="32">
        <v>1750.1163108274366</v>
      </c>
      <c r="AK729">
        <v>320</v>
      </c>
      <c r="AL729" s="7">
        <v>0.47699737607692477</v>
      </c>
    </row>
    <row r="730" spans="28:38" x14ac:dyDescent="0.3">
      <c r="AB730">
        <v>725</v>
      </c>
      <c r="AC730" s="7">
        <v>0.40351192324451984</v>
      </c>
      <c r="AD730">
        <v>0.62072506092508639</v>
      </c>
      <c r="AE730">
        <v>0.95993029454716339</v>
      </c>
      <c r="AF730" s="7">
        <v>4.0894607003182468E-2</v>
      </c>
      <c r="AG730" s="10">
        <v>135.59773951316717</v>
      </c>
      <c r="AH730" s="1">
        <v>0.29053966859278996</v>
      </c>
      <c r="AI730" s="10">
        <v>13.203905898905608</v>
      </c>
      <c r="AJ730" s="32">
        <v>1816.5714252054124</v>
      </c>
      <c r="AK730">
        <v>320</v>
      </c>
      <c r="AL730" s="7">
        <v>0.2031310068258414</v>
      </c>
    </row>
    <row r="731" spans="28:38" x14ac:dyDescent="0.3">
      <c r="AB731">
        <v>726</v>
      </c>
      <c r="AC731" s="7">
        <v>0.41353366147608095</v>
      </c>
      <c r="AD731">
        <v>0.74723829759197025</v>
      </c>
      <c r="AE731">
        <v>0.95117976482741839</v>
      </c>
      <c r="AF731" s="7">
        <v>5.0052207141960278E-2</v>
      </c>
      <c r="AG731" s="10">
        <v>123.56897295589486</v>
      </c>
      <c r="AH731" s="1">
        <v>0.35782842437094248</v>
      </c>
      <c r="AI731" s="10">
        <v>15.658744857128879</v>
      </c>
      <c r="AJ731" s="32">
        <v>1837.3099351406845</v>
      </c>
      <c r="AK731">
        <v>320</v>
      </c>
      <c r="AL731" s="7">
        <v>0.22120935260184582</v>
      </c>
    </row>
    <row r="732" spans="28:38" x14ac:dyDescent="0.3">
      <c r="AB732">
        <v>727</v>
      </c>
      <c r="AC732" s="7">
        <v>0.52138046487685241</v>
      </c>
      <c r="AD732">
        <v>0.89848769892060154</v>
      </c>
      <c r="AE732">
        <v>0.96097818770955523</v>
      </c>
      <c r="AF732" s="7">
        <v>3.9803567762094989E-2</v>
      </c>
      <c r="AG732" s="10">
        <v>137.03842093469763</v>
      </c>
      <c r="AH732" s="1">
        <v>0.50747574643980142</v>
      </c>
      <c r="AI732" s="10">
        <v>35.382082200203541</v>
      </c>
      <c r="AJ732" s="32">
        <v>1801.3456205557236</v>
      </c>
      <c r="AK732">
        <v>320</v>
      </c>
      <c r="AL732" s="7">
        <v>0.33251918271828479</v>
      </c>
    </row>
    <row r="733" spans="28:38" x14ac:dyDescent="0.3">
      <c r="AB733">
        <v>728</v>
      </c>
      <c r="AC733" s="7">
        <v>0.60555398173092012</v>
      </c>
      <c r="AD733">
        <v>1.3235975892045417</v>
      </c>
      <c r="AE733">
        <v>0.95497355800806172</v>
      </c>
      <c r="AF733" s="7">
        <v>4.6071626834398749E-2</v>
      </c>
      <c r="AG733" s="10">
        <v>127.10203200318823</v>
      </c>
      <c r="AH733" s="1">
        <v>0.84653623234419528</v>
      </c>
      <c r="AI733" s="10">
        <v>77.115442430340934</v>
      </c>
      <c r="AJ733" s="32">
        <v>1809.7200062233296</v>
      </c>
      <c r="AK733">
        <v>320</v>
      </c>
      <c r="AL733" s="7">
        <v>0.49090300222632111</v>
      </c>
    </row>
    <row r="734" spans="28:38" x14ac:dyDescent="0.3">
      <c r="AB734">
        <v>729</v>
      </c>
      <c r="AC734" s="7">
        <v>0.72343621071820985</v>
      </c>
      <c r="AD734">
        <v>1.9518093797488618</v>
      </c>
      <c r="AE734">
        <v>0.95641442130655185</v>
      </c>
      <c r="AF734" s="7">
        <v>4.4563964772052093E-2</v>
      </c>
      <c r="AG734" s="10">
        <v>127.70122936861468</v>
      </c>
      <c r="AH734" s="1">
        <v>1.4555951604232242</v>
      </c>
      <c r="AI734" s="10">
        <v>187.57860392820032</v>
      </c>
      <c r="AJ734" s="32">
        <v>1763.0069786146887</v>
      </c>
      <c r="AK734">
        <v>320</v>
      </c>
      <c r="AL734" s="7">
        <v>0.76562597740386651</v>
      </c>
    </row>
    <row r="735" spans="28:38" x14ac:dyDescent="0.3">
      <c r="AB735">
        <v>730</v>
      </c>
      <c r="AC735" s="7">
        <v>0.41758292797282981</v>
      </c>
      <c r="AD735">
        <v>0.8261927412422484</v>
      </c>
      <c r="AE735">
        <v>0.94590552261384797</v>
      </c>
      <c r="AF735" s="7">
        <v>5.5612585304690827E-2</v>
      </c>
      <c r="AG735" s="10">
        <v>119.79936604824135</v>
      </c>
      <c r="AH735" s="1">
        <v>0.39909846134398863</v>
      </c>
      <c r="AI735" s="10">
        <v>14.18526619712612</v>
      </c>
      <c r="AJ735" s="32">
        <v>1791.6703785302552</v>
      </c>
      <c r="AK735">
        <v>320</v>
      </c>
      <c r="AL735" s="7">
        <v>0.2105444296722645</v>
      </c>
    </row>
    <row r="736" spans="28:38" x14ac:dyDescent="0.3">
      <c r="AB736">
        <v>731</v>
      </c>
      <c r="AC736" s="7">
        <v>6.8853176921284537E-2</v>
      </c>
      <c r="AD736">
        <v>0.34970230114670675</v>
      </c>
      <c r="AE736">
        <v>0.93736351466925782</v>
      </c>
      <c r="AF736" s="7">
        <v>6.4684116088793375E-2</v>
      </c>
      <c r="AG736" s="10">
        <v>112.63731359599807</v>
      </c>
      <c r="AH736" s="1">
        <v>8.6714599741376699E-2</v>
      </c>
      <c r="AI736" s="10">
        <v>0.65894729419278764</v>
      </c>
      <c r="AJ736" s="32">
        <v>1783.2438327935247</v>
      </c>
      <c r="AK736">
        <v>320</v>
      </c>
      <c r="AL736" s="7">
        <v>4.5378522390581003E-2</v>
      </c>
    </row>
    <row r="737" spans="28:38" x14ac:dyDescent="0.3">
      <c r="AB737">
        <v>732</v>
      </c>
      <c r="AC737" s="7">
        <v>0.5719920585905961</v>
      </c>
      <c r="AD737">
        <v>1.0379477591687396</v>
      </c>
      <c r="AE737">
        <v>0.96127474831204129</v>
      </c>
      <c r="AF737" s="7">
        <v>3.9495012525391636E-2</v>
      </c>
      <c r="AG737" s="10">
        <v>132.03297367476006</v>
      </c>
      <c r="AH737" s="1">
        <v>0.63242312716438231</v>
      </c>
      <c r="AI737" s="10">
        <v>55.923807272713482</v>
      </c>
      <c r="AJ737" s="32">
        <v>1803.9685141198474</v>
      </c>
      <c r="AK737">
        <v>320</v>
      </c>
      <c r="AL737" s="7">
        <v>0.41804532975172637</v>
      </c>
    </row>
    <row r="738" spans="28:38" x14ac:dyDescent="0.3">
      <c r="AB738">
        <v>733</v>
      </c>
      <c r="AC738" s="7">
        <v>0.52479254107110707</v>
      </c>
      <c r="AD738">
        <v>1.0867240624035541</v>
      </c>
      <c r="AE738">
        <v>0.95149208686288156</v>
      </c>
      <c r="AF738" s="7">
        <v>4.9723908767239623E-2</v>
      </c>
      <c r="AG738" s="10">
        <v>127.94299705984228</v>
      </c>
      <c r="AH738" s="1">
        <v>0.6188125952889959</v>
      </c>
      <c r="AI738" s="10">
        <v>32.179302715979169</v>
      </c>
      <c r="AJ738" s="32">
        <v>1757.0219531385908</v>
      </c>
      <c r="AK738">
        <v>320</v>
      </c>
      <c r="AL738" s="7">
        <v>0.3171124737178197</v>
      </c>
    </row>
    <row r="739" spans="28:38" x14ac:dyDescent="0.3">
      <c r="AB739">
        <v>734</v>
      </c>
      <c r="AC739" s="7">
        <v>0.35312304026805158</v>
      </c>
      <c r="AD739">
        <v>0.6543573595361859</v>
      </c>
      <c r="AE739">
        <v>0.94843146306570969</v>
      </c>
      <c r="AF739" s="7">
        <v>5.2945750451125609E-2</v>
      </c>
      <c r="AG739" s="10">
        <v>123.68431893068556</v>
      </c>
      <c r="AH739" s="1">
        <v>0.2826371971554828</v>
      </c>
      <c r="AI739" s="10">
        <v>7.9728763593596508</v>
      </c>
      <c r="AJ739" s="32">
        <v>1790.9459878813636</v>
      </c>
      <c r="AK739">
        <v>320</v>
      </c>
      <c r="AL739" s="7">
        <v>0.15784561641996558</v>
      </c>
    </row>
    <row r="740" spans="28:38" x14ac:dyDescent="0.3">
      <c r="AB740">
        <v>735</v>
      </c>
      <c r="AC740" s="7">
        <v>0.43147078157643576</v>
      </c>
      <c r="AD740">
        <v>0.9102446322376454</v>
      </c>
      <c r="AE740">
        <v>0.94199354377427769</v>
      </c>
      <c r="AF740" s="7">
        <v>5.9756858172066003E-2</v>
      </c>
      <c r="AG740" s="10">
        <v>115.81845435998697</v>
      </c>
      <c r="AH740" s="1">
        <v>0.45075041912305452</v>
      </c>
      <c r="AI740" s="10">
        <v>16.940791130879937</v>
      </c>
      <c r="AJ740" s="32">
        <v>1806.4850651104314</v>
      </c>
      <c r="AK740">
        <v>320</v>
      </c>
      <c r="AL740" s="7">
        <v>0.23008687986062962</v>
      </c>
    </row>
    <row r="741" spans="28:38" x14ac:dyDescent="0.3">
      <c r="AB741">
        <v>736</v>
      </c>
      <c r="AC741" s="7">
        <v>0.23792482103351922</v>
      </c>
      <c r="AD741">
        <v>0.59913365857639966</v>
      </c>
      <c r="AE741">
        <v>0.93052657146477169</v>
      </c>
      <c r="AF741" s="7">
        <v>7.2004647192803112E-2</v>
      </c>
      <c r="AG741" s="10">
        <v>108.79792893806527</v>
      </c>
      <c r="AH741" s="1">
        <v>0.21202219702717581</v>
      </c>
      <c r="AI741" s="10">
        <v>3.0397532352296674</v>
      </c>
      <c r="AJ741" s="32">
        <v>1793.6619542422643</v>
      </c>
      <c r="AK741">
        <v>320</v>
      </c>
      <c r="AL741" s="7">
        <v>9.7463987503552868E-2</v>
      </c>
    </row>
    <row r="742" spans="28:38" x14ac:dyDescent="0.3">
      <c r="AB742">
        <v>737</v>
      </c>
      <c r="AC742" s="7">
        <v>0.38195521755896172</v>
      </c>
      <c r="AD742">
        <v>0.71558401289924312</v>
      </c>
      <c r="AE742">
        <v>0.9477937758076338</v>
      </c>
      <c r="AF742" s="7">
        <v>5.3618336459414474E-2</v>
      </c>
      <c r="AG742" s="10">
        <v>120.51542571818091</v>
      </c>
      <c r="AH742" s="1">
        <v>0.32552727152101146</v>
      </c>
      <c r="AI742" s="10">
        <v>10.809498594638184</v>
      </c>
      <c r="AJ742" s="32">
        <v>1805.5330238215136</v>
      </c>
      <c r="AK742">
        <v>320</v>
      </c>
      <c r="AL742" s="7">
        <v>0.18379250014144843</v>
      </c>
    </row>
    <row r="743" spans="28:38" x14ac:dyDescent="0.3">
      <c r="AB743">
        <v>738</v>
      </c>
      <c r="AC743" s="7">
        <v>0.37987873989651399</v>
      </c>
      <c r="AD743">
        <v>0.69458981299211708</v>
      </c>
      <c r="AE743">
        <v>0.94997637776885591</v>
      </c>
      <c r="AF743" s="7">
        <v>5.131816020316983E-2</v>
      </c>
      <c r="AG743" s="10">
        <v>125.77663039014523</v>
      </c>
      <c r="AH743" s="1">
        <v>0.31388352513554485</v>
      </c>
      <c r="AI743" s="10">
        <v>9.7450034027984191</v>
      </c>
      <c r="AJ743" s="32">
        <v>1781.22615032613</v>
      </c>
      <c r="AK743">
        <v>320</v>
      </c>
      <c r="AL743" s="7">
        <v>0.17450826809565517</v>
      </c>
    </row>
    <row r="744" spans="28:38" x14ac:dyDescent="0.3">
      <c r="AB744">
        <v>739</v>
      </c>
      <c r="AC744" s="7">
        <v>0.72347959164151388</v>
      </c>
      <c r="AD744">
        <v>1.7000228751479178</v>
      </c>
      <c r="AE744">
        <v>0.96262407444193887</v>
      </c>
      <c r="AF744" s="7">
        <v>3.8092312617080591E-2</v>
      </c>
      <c r="AG744" s="10">
        <v>130.37094252385705</v>
      </c>
      <c r="AH744" s="1">
        <v>1.2673077810513091</v>
      </c>
      <c r="AI744" s="10">
        <v>145.72210001360688</v>
      </c>
      <c r="AJ744" s="32">
        <v>1684.7710999202782</v>
      </c>
      <c r="AK744">
        <v>320</v>
      </c>
      <c r="AL744" s="7">
        <v>0.67481965186449744</v>
      </c>
    </row>
    <row r="745" spans="28:38" x14ac:dyDescent="0.3">
      <c r="AB745">
        <v>740</v>
      </c>
      <c r="AC745" s="7">
        <v>0.55896196462962999</v>
      </c>
      <c r="AD745">
        <v>1.2380782739508795</v>
      </c>
      <c r="AE745">
        <v>0.9485656504985136</v>
      </c>
      <c r="AF745" s="7">
        <v>5.280427692745155E-2</v>
      </c>
      <c r="AG745" s="10">
        <v>118.9314644274934</v>
      </c>
      <c r="AH745" s="1">
        <v>0.74347301387433129</v>
      </c>
      <c r="AI745" s="10">
        <v>42.230274257499175</v>
      </c>
      <c r="AJ745" s="32">
        <v>1743.4225373328568</v>
      </c>
      <c r="AK745">
        <v>320</v>
      </c>
      <c r="AL745" s="7">
        <v>0.36327621316938014</v>
      </c>
    </row>
    <row r="746" spans="28:38" x14ac:dyDescent="0.3">
      <c r="AB746">
        <v>741</v>
      </c>
      <c r="AC746" s="7">
        <v>0.63717265570804593</v>
      </c>
      <c r="AD746">
        <v>1.6241841495956246</v>
      </c>
      <c r="AE746">
        <v>0.94820523867797168</v>
      </c>
      <c r="AF746" s="7">
        <v>5.3184303663348961E-2</v>
      </c>
      <c r="AG746" s="10">
        <v>118.71405322199851</v>
      </c>
      <c r="AH746" s="1">
        <v>1.0866804892787867</v>
      </c>
      <c r="AI746" s="10">
        <v>93.567001253808641</v>
      </c>
      <c r="AJ746" s="32">
        <v>1777.757754770304</v>
      </c>
      <c r="AK746">
        <v>320</v>
      </c>
      <c r="AL746" s="7">
        <v>0.54073734744157631</v>
      </c>
    </row>
    <row r="747" spans="28:38" x14ac:dyDescent="0.3">
      <c r="AB747">
        <v>742</v>
      </c>
      <c r="AC747" s="7">
        <v>0.44592552180643069</v>
      </c>
      <c r="AD747">
        <v>0.86842264450802609</v>
      </c>
      <c r="AE747">
        <v>0.94813860656676696</v>
      </c>
      <c r="AF747" s="7">
        <v>5.325457795606147E-2</v>
      </c>
      <c r="AG747" s="10">
        <v>120.35516732630337</v>
      </c>
      <c r="AH747" s="1">
        <v>0.43911321433399503</v>
      </c>
      <c r="AI747" s="10">
        <v>16.45739636454352</v>
      </c>
      <c r="AJ747" s="32">
        <v>1760.2516075902665</v>
      </c>
      <c r="AK747">
        <v>320</v>
      </c>
      <c r="AL747" s="7">
        <v>0.22678043045906429</v>
      </c>
    </row>
    <row r="748" spans="28:38" x14ac:dyDescent="0.3">
      <c r="AB748">
        <v>743</v>
      </c>
      <c r="AC748" s="7">
        <v>0.60444486051364954</v>
      </c>
      <c r="AD748">
        <v>1.4762260080525933</v>
      </c>
      <c r="AE748">
        <v>0.9470824107531981</v>
      </c>
      <c r="AF748" s="7">
        <v>5.4369166611695725E-2</v>
      </c>
      <c r="AG748" s="10">
        <v>117.81675835033251</v>
      </c>
      <c r="AH748" s="1">
        <v>0.94521481277077335</v>
      </c>
      <c r="AI748" s="10">
        <v>66.309568883669272</v>
      </c>
      <c r="AJ748" s="32">
        <v>1759.0191981448572</v>
      </c>
      <c r="AK748">
        <v>320</v>
      </c>
      <c r="AL748" s="7">
        <v>0.45521138250428939</v>
      </c>
    </row>
    <row r="749" spans="28:38" x14ac:dyDescent="0.3">
      <c r="AB749">
        <v>744</v>
      </c>
      <c r="AC749" s="7">
        <v>0.68907805698255176</v>
      </c>
      <c r="AD749">
        <v>1.6370448127441226</v>
      </c>
      <c r="AE749">
        <v>0.95797399759323665</v>
      </c>
      <c r="AF749" s="7">
        <v>4.2934643766655872E-2</v>
      </c>
      <c r="AG749" s="10">
        <v>124.90059914170182</v>
      </c>
      <c r="AH749" s="1">
        <v>1.1700776611658485</v>
      </c>
      <c r="AI749" s="10">
        <v>147.47777743257362</v>
      </c>
      <c r="AJ749" s="32">
        <v>1782.4316754828601</v>
      </c>
      <c r="AK749">
        <v>320</v>
      </c>
      <c r="AL749" s="7">
        <v>0.67887263494472405</v>
      </c>
    </row>
    <row r="750" spans="28:38" x14ac:dyDescent="0.3">
      <c r="AB750">
        <v>745</v>
      </c>
      <c r="AC750" s="7">
        <v>0.63094588331836876</v>
      </c>
      <c r="AD750">
        <v>1.6033326142251612</v>
      </c>
      <c r="AE750">
        <v>0.94683519484551382</v>
      </c>
      <c r="AF750" s="7">
        <v>5.463022961502547E-2</v>
      </c>
      <c r="AG750" s="10">
        <v>115.60897778393432</v>
      </c>
      <c r="AH750" s="1">
        <v>1.0647809176899299</v>
      </c>
      <c r="AI750" s="10">
        <v>95.48704820209403</v>
      </c>
      <c r="AJ750" s="32">
        <v>1800.0488932713861</v>
      </c>
      <c r="AK750">
        <v>320</v>
      </c>
      <c r="AL750" s="7">
        <v>0.54625728885896241</v>
      </c>
    </row>
    <row r="751" spans="28:38" x14ac:dyDescent="0.3">
      <c r="AB751">
        <v>746</v>
      </c>
      <c r="AC751" s="7">
        <v>0.1481159120685745</v>
      </c>
      <c r="AD751">
        <v>0.42872492799121137</v>
      </c>
      <c r="AE751">
        <v>0.93776804899286836</v>
      </c>
      <c r="AF751" s="7">
        <v>6.425264307887138E-2</v>
      </c>
      <c r="AG751" s="10">
        <v>115.38231576691814</v>
      </c>
      <c r="AH751" s="1">
        <v>0.12573293474308384</v>
      </c>
      <c r="AI751" s="10">
        <v>1.3888338151826223</v>
      </c>
      <c r="AJ751" s="32">
        <v>1801.8633810024241</v>
      </c>
      <c r="AK751">
        <v>320</v>
      </c>
      <c r="AL751" s="7">
        <v>6.5879478386259974E-2</v>
      </c>
    </row>
    <row r="752" spans="28:38" x14ac:dyDescent="0.3">
      <c r="AB752">
        <v>747</v>
      </c>
      <c r="AC752" s="7">
        <v>0.51782028578872163</v>
      </c>
      <c r="AD752">
        <v>1.09479206075824</v>
      </c>
      <c r="AE752">
        <v>0.94840376907182489</v>
      </c>
      <c r="AF752" s="7">
        <v>5.2974950661473411E-2</v>
      </c>
      <c r="AG752" s="10">
        <v>121.11544095694087</v>
      </c>
      <c r="AH752" s="1">
        <v>0.61850176870923046</v>
      </c>
      <c r="AI752" s="10">
        <v>29.436791927397916</v>
      </c>
      <c r="AJ752" s="32">
        <v>1744.5127097213913</v>
      </c>
      <c r="AK752">
        <v>320</v>
      </c>
      <c r="AL752" s="7">
        <v>0.30329849121470831</v>
      </c>
    </row>
    <row r="753" spans="28:38" x14ac:dyDescent="0.3">
      <c r="AB753">
        <v>748</v>
      </c>
      <c r="AC753" s="7">
        <v>0.68515136310938896</v>
      </c>
      <c r="AD753">
        <v>1.8161206660444582</v>
      </c>
      <c r="AE753">
        <v>0.95104607787758799</v>
      </c>
      <c r="AF753" s="7">
        <v>5.0192765583601882E-2</v>
      </c>
      <c r="AG753" s="10">
        <v>118.9353801398529</v>
      </c>
      <c r="AH753" s="1">
        <v>1.2932714720339038</v>
      </c>
      <c r="AI753" s="10">
        <v>142.26423031751102</v>
      </c>
      <c r="AJ753" s="32">
        <v>1777.9081728307367</v>
      </c>
      <c r="AK753">
        <v>320</v>
      </c>
      <c r="AL753" s="7">
        <v>0.66676511587081544</v>
      </c>
    </row>
    <row r="754" spans="28:38" x14ac:dyDescent="0.3">
      <c r="AB754">
        <v>749</v>
      </c>
      <c r="AC754" s="7">
        <v>0.44573325830239602</v>
      </c>
      <c r="AD754">
        <v>0.84113719406365883</v>
      </c>
      <c r="AE754">
        <v>0.95007348789793145</v>
      </c>
      <c r="AF754" s="7">
        <v>5.1215941697313916E-2</v>
      </c>
      <c r="AG754" s="10">
        <v>121.96455443235406</v>
      </c>
      <c r="AH754" s="1">
        <v>0.42484933429139798</v>
      </c>
      <c r="AI754" s="10">
        <v>18.438874661071516</v>
      </c>
      <c r="AJ754" s="32">
        <v>1798.1491987490997</v>
      </c>
      <c r="AK754">
        <v>320</v>
      </c>
      <c r="AL754" s="7">
        <v>0.24004475273550241</v>
      </c>
    </row>
    <row r="755" spans="28:38" x14ac:dyDescent="0.3">
      <c r="AB755">
        <v>750</v>
      </c>
      <c r="AC755" s="7">
        <v>0.38421412068055244</v>
      </c>
      <c r="AD755">
        <v>0.60346465327291643</v>
      </c>
      <c r="AE755">
        <v>0.95825198982103166</v>
      </c>
      <c r="AF755" s="7">
        <v>4.2644498208072409E-2</v>
      </c>
      <c r="AG755" s="10">
        <v>133.38207643936011</v>
      </c>
      <c r="AH755" s="1">
        <v>0.2736076512980164</v>
      </c>
      <c r="AI755" s="10">
        <v>10.261898759257358</v>
      </c>
      <c r="AJ755" s="32">
        <v>1789.2852404594812</v>
      </c>
      <c r="AK755">
        <v>320</v>
      </c>
      <c r="AL755" s="7">
        <v>0.17907661383519413</v>
      </c>
    </row>
    <row r="756" spans="28:38" x14ac:dyDescent="0.3">
      <c r="AB756">
        <v>751</v>
      </c>
      <c r="AC756" s="7">
        <v>0.25159012495938238</v>
      </c>
      <c r="AD756">
        <v>0.45398236252254248</v>
      </c>
      <c r="AE756">
        <v>0.95227277387695153</v>
      </c>
      <c r="AF756" s="7">
        <v>4.8903758050173482E-2</v>
      </c>
      <c r="AG756" s="10">
        <v>128.52512088107201</v>
      </c>
      <c r="AH756" s="1">
        <v>0.16194470543945055</v>
      </c>
      <c r="AI756" s="10">
        <v>3.0116973943535679</v>
      </c>
      <c r="AJ756" s="32">
        <v>1767.3420809648303</v>
      </c>
      <c r="AK756">
        <v>320</v>
      </c>
      <c r="AL756" s="7">
        <v>9.701316589697967E-2</v>
      </c>
    </row>
    <row r="757" spans="28:38" x14ac:dyDescent="0.3">
      <c r="AB757">
        <v>752</v>
      </c>
      <c r="AC757" s="7">
        <v>0.39747931279597687</v>
      </c>
      <c r="AD757">
        <v>0.81406756497401667</v>
      </c>
      <c r="AE757">
        <v>0.94234990074770342</v>
      </c>
      <c r="AF757" s="7">
        <v>5.9378628843744778E-2</v>
      </c>
      <c r="AG757" s="10">
        <v>115.86709220973682</v>
      </c>
      <c r="AH757" s="1">
        <v>0.38122511554766297</v>
      </c>
      <c r="AI757" s="10">
        <v>11.422891445968141</v>
      </c>
      <c r="AJ757" s="32">
        <v>1776.0076637534248</v>
      </c>
      <c r="AK757">
        <v>320</v>
      </c>
      <c r="AL757" s="7">
        <v>0.1889352687262239</v>
      </c>
    </row>
    <row r="758" spans="28:38" x14ac:dyDescent="0.3">
      <c r="AB758">
        <v>753</v>
      </c>
      <c r="AC758" s="7">
        <v>0.16430537205158852</v>
      </c>
      <c r="AD758">
        <v>0.43313724718768948</v>
      </c>
      <c r="AE758">
        <v>0.93970397579937459</v>
      </c>
      <c r="AF758" s="7">
        <v>6.219037267797041E-2</v>
      </c>
      <c r="AG758" s="10">
        <v>114.88801263166297</v>
      </c>
      <c r="AH758" s="1">
        <v>0.13146280074919958</v>
      </c>
      <c r="AI758" s="10">
        <v>1.4180048039238775</v>
      </c>
      <c r="AJ758" s="32">
        <v>1762.5830873491705</v>
      </c>
      <c r="AK758">
        <v>320</v>
      </c>
      <c r="AL758" s="7">
        <v>6.6567747537843863E-2</v>
      </c>
    </row>
    <row r="759" spans="28:38" x14ac:dyDescent="0.3">
      <c r="AB759">
        <v>754</v>
      </c>
      <c r="AC759" s="7">
        <v>0.67268633431405034</v>
      </c>
      <c r="AD759">
        <v>2.0597925169920086</v>
      </c>
      <c r="AE759">
        <v>0.93972417271614761</v>
      </c>
      <c r="AF759" s="7">
        <v>6.2168880058750306E-2</v>
      </c>
      <c r="AG759" s="10">
        <v>112.57851795471565</v>
      </c>
      <c r="AH759" s="1">
        <v>1.445870104986718</v>
      </c>
      <c r="AI759" s="10">
        <v>117.77519131417539</v>
      </c>
      <c r="AJ759" s="32">
        <v>1746.1213708603748</v>
      </c>
      <c r="AK759">
        <v>320</v>
      </c>
      <c r="AL759" s="7">
        <v>0.60666916260577974</v>
      </c>
    </row>
    <row r="760" spans="28:38" x14ac:dyDescent="0.3">
      <c r="AB760">
        <v>755</v>
      </c>
      <c r="AC760" s="7">
        <v>0.37920606963967335</v>
      </c>
      <c r="AD760">
        <v>0.8635996130974265</v>
      </c>
      <c r="AE760">
        <v>0.93371470938610368</v>
      </c>
      <c r="AF760" s="7">
        <v>6.858433774882744E-2</v>
      </c>
      <c r="AG760" s="10">
        <v>109.8092789705703</v>
      </c>
      <c r="AH760" s="1">
        <v>0.39376750563891399</v>
      </c>
      <c r="AI760" s="10">
        <v>9.7553400069803207</v>
      </c>
      <c r="AJ760" s="32">
        <v>1771.1610839411085</v>
      </c>
      <c r="AK760">
        <v>320</v>
      </c>
      <c r="AL760" s="7">
        <v>0.17460079473419787</v>
      </c>
    </row>
    <row r="761" spans="28:38" x14ac:dyDescent="0.3">
      <c r="AB761">
        <v>756</v>
      </c>
      <c r="AC761" s="7">
        <v>0.57583343804470555</v>
      </c>
      <c r="AD761">
        <v>1.2542675223776121</v>
      </c>
      <c r="AE761">
        <v>0.95260424740446492</v>
      </c>
      <c r="AF761" s="7">
        <v>4.8555731876141373E-2</v>
      </c>
      <c r="AG761" s="10">
        <v>126.54906336547347</v>
      </c>
      <c r="AH761" s="1">
        <v>0.76964493223405006</v>
      </c>
      <c r="AI761" s="10">
        <v>61.763148122276064</v>
      </c>
      <c r="AJ761" s="32">
        <v>1821.4985509384549</v>
      </c>
      <c r="AK761">
        <v>320</v>
      </c>
      <c r="AL761" s="7">
        <v>0.43932884936242544</v>
      </c>
    </row>
    <row r="762" spans="28:38" x14ac:dyDescent="0.3">
      <c r="AB762">
        <v>757</v>
      </c>
      <c r="AC762" s="7">
        <v>0.85912790946582018</v>
      </c>
      <c r="AD762">
        <v>3.1640093132622451</v>
      </c>
      <c r="AE762">
        <v>0.95679908526967561</v>
      </c>
      <c r="AF762" s="7">
        <v>4.4161851817084194E-2</v>
      </c>
      <c r="AG762" s="10">
        <v>126.39353063927491</v>
      </c>
      <c r="AH762" s="1">
        <v>2.7614896215637024</v>
      </c>
      <c r="AI762" s="10">
        <v>589.53374251064952</v>
      </c>
      <c r="AJ762" s="32">
        <v>1747.1609769590568</v>
      </c>
      <c r="AK762">
        <v>320</v>
      </c>
      <c r="AL762" s="7">
        <v>1.3573109243448163</v>
      </c>
    </row>
    <row r="763" spans="28:38" x14ac:dyDescent="0.3">
      <c r="AB763">
        <v>758</v>
      </c>
      <c r="AC763" s="7">
        <v>0.4596944696786982</v>
      </c>
      <c r="AD763">
        <v>0.84801984226235916</v>
      </c>
      <c r="AE763">
        <v>0.95222917563147835</v>
      </c>
      <c r="AF763" s="7">
        <v>4.8949542456424203E-2</v>
      </c>
      <c r="AG763" s="10">
        <v>123.74006257036528</v>
      </c>
      <c r="AH763" s="1">
        <v>0.43760085603433013</v>
      </c>
      <c r="AI763" s="10">
        <v>19.241997331387267</v>
      </c>
      <c r="AJ763" s="32">
        <v>1773.6613193775302</v>
      </c>
      <c r="AK763">
        <v>320</v>
      </c>
      <c r="AL763" s="7">
        <v>0.24521672385990564</v>
      </c>
    </row>
    <row r="764" spans="28:38" x14ac:dyDescent="0.3">
      <c r="AB764">
        <v>759</v>
      </c>
      <c r="AC764" s="7">
        <v>0.4298341468924527</v>
      </c>
      <c r="AD764">
        <v>0.79087458495730167</v>
      </c>
      <c r="AE764">
        <v>0.951355160746433</v>
      </c>
      <c r="AF764" s="7">
        <v>4.986782585449602E-2</v>
      </c>
      <c r="AG764" s="10">
        <v>125.75965464014703</v>
      </c>
      <c r="AH764" s="1">
        <v>0.38858974177761135</v>
      </c>
      <c r="AI764" s="10">
        <v>15.389115130849172</v>
      </c>
      <c r="AJ764" s="32">
        <v>1787.0061706176741</v>
      </c>
      <c r="AK764">
        <v>320</v>
      </c>
      <c r="AL764" s="7">
        <v>0.21929656810790191</v>
      </c>
    </row>
    <row r="765" spans="28:38" x14ac:dyDescent="0.3">
      <c r="AB765">
        <v>760</v>
      </c>
      <c r="AC765" s="7">
        <v>0.53974037099520467</v>
      </c>
      <c r="AD765">
        <v>1.0667377642441171</v>
      </c>
      <c r="AE765">
        <v>0.95462268385967897</v>
      </c>
      <c r="AF765" s="7">
        <v>4.6439112007063556E-2</v>
      </c>
      <c r="AG765" s="10">
        <v>127.45702154103053</v>
      </c>
      <c r="AH765" s="1">
        <v>0.62113875276803598</v>
      </c>
      <c r="AI765" s="10">
        <v>38.506123214795394</v>
      </c>
      <c r="AJ765" s="32">
        <v>1772.5787604054094</v>
      </c>
      <c r="AK765">
        <v>320</v>
      </c>
      <c r="AL765" s="7">
        <v>0.34688850520914583</v>
      </c>
    </row>
    <row r="766" spans="28:38" x14ac:dyDescent="0.3">
      <c r="AB766">
        <v>761</v>
      </c>
      <c r="AC766" s="7">
        <v>0.70917013815830099</v>
      </c>
      <c r="AD766">
        <v>1.6836954638873241</v>
      </c>
      <c r="AE766">
        <v>0.96226648620305899</v>
      </c>
      <c r="AF766" s="7">
        <v>3.846385399226776E-2</v>
      </c>
      <c r="AG766" s="10">
        <v>136.33458834942192</v>
      </c>
      <c r="AH766" s="1">
        <v>1.2317600585384192</v>
      </c>
      <c r="AI766" s="10">
        <v>149.35608902951887</v>
      </c>
      <c r="AJ766" s="32">
        <v>1734.0073584718225</v>
      </c>
      <c r="AK766">
        <v>320</v>
      </c>
      <c r="AL766" s="7">
        <v>0.68318209740686742</v>
      </c>
    </row>
    <row r="767" spans="28:38" x14ac:dyDescent="0.3">
      <c r="AB767">
        <v>762</v>
      </c>
      <c r="AC767" s="7">
        <v>0.26330868788267198</v>
      </c>
      <c r="AD767">
        <v>0.51583299117215298</v>
      </c>
      <c r="AE767">
        <v>0.94644320233899226</v>
      </c>
      <c r="AF767" s="7">
        <v>5.5044318227356032E-2</v>
      </c>
      <c r="AG767" s="10">
        <v>121.11038124080861</v>
      </c>
      <c r="AH767" s="1">
        <v>0.18938010573314126</v>
      </c>
      <c r="AI767" s="10">
        <v>3.1909394250394469</v>
      </c>
      <c r="AJ767" s="32">
        <v>1748.8357413466449</v>
      </c>
      <c r="AK767">
        <v>320</v>
      </c>
      <c r="AL767" s="7">
        <v>9.9858328161692503E-2</v>
      </c>
    </row>
    <row r="768" spans="28:38" x14ac:dyDescent="0.3">
      <c r="AB768">
        <v>763</v>
      </c>
      <c r="AC768" s="7">
        <v>0.64783319592017152</v>
      </c>
      <c r="AD768">
        <v>1.6932719784125103</v>
      </c>
      <c r="AE768">
        <v>0.94780262852991926</v>
      </c>
      <c r="AF768" s="7">
        <v>5.3608996156525882E-2</v>
      </c>
      <c r="AG768" s="10">
        <v>118.2082503337913</v>
      </c>
      <c r="AH768" s="1">
        <v>1.1491551688071291</v>
      </c>
      <c r="AI768" s="10">
        <v>90.706421033883984</v>
      </c>
      <c r="AJ768" s="32">
        <v>1737.4723838373534</v>
      </c>
      <c r="AK768">
        <v>320</v>
      </c>
      <c r="AL768" s="7">
        <v>0.53240733065096635</v>
      </c>
    </row>
    <row r="769" spans="28:38" x14ac:dyDescent="0.3">
      <c r="AB769">
        <v>764</v>
      </c>
      <c r="AC769" s="7">
        <v>0.4390898168899689</v>
      </c>
      <c r="AD769">
        <v>0.73877349912492796</v>
      </c>
      <c r="AE769">
        <v>0.95717404876964407</v>
      </c>
      <c r="AF769" s="7">
        <v>4.3770034922586645E-2</v>
      </c>
      <c r="AG769" s="10">
        <v>133.45441947272832</v>
      </c>
      <c r="AH769" s="1">
        <v>0.36721387168428216</v>
      </c>
      <c r="AI769" s="10">
        <v>17.975945348227686</v>
      </c>
      <c r="AJ769" s="32">
        <v>1814.4787201604709</v>
      </c>
      <c r="AK769">
        <v>320</v>
      </c>
      <c r="AL769" s="7">
        <v>0.23701229759911513</v>
      </c>
    </row>
    <row r="770" spans="28:38" x14ac:dyDescent="0.3">
      <c r="AB770">
        <v>765</v>
      </c>
      <c r="AC770" s="7">
        <v>0.36802983100565412</v>
      </c>
      <c r="AD770">
        <v>0.60498892785432568</v>
      </c>
      <c r="AE770">
        <v>0.95556166164880818</v>
      </c>
      <c r="AF770" s="7">
        <v>4.5455983999583963E-2</v>
      </c>
      <c r="AG770" s="10">
        <v>130.74173362898719</v>
      </c>
      <c r="AH770" s="1">
        <v>0.26709231122971117</v>
      </c>
      <c r="AI770" s="10">
        <v>7.8982429637433809</v>
      </c>
      <c r="AJ770" s="32">
        <v>1749.9461172923761</v>
      </c>
      <c r="AK770">
        <v>320</v>
      </c>
      <c r="AL770" s="7">
        <v>0.15710508986566304</v>
      </c>
    </row>
    <row r="771" spans="28:38" x14ac:dyDescent="0.3">
      <c r="AB771">
        <v>766</v>
      </c>
      <c r="AC771" s="7">
        <v>0.1978375749701583</v>
      </c>
      <c r="AD771">
        <v>0.42881582890020536</v>
      </c>
      <c r="AE771">
        <v>0.94660726390439753</v>
      </c>
      <c r="AF771" s="7">
        <v>5.4870987860583947E-2</v>
      </c>
      <c r="AG771" s="10">
        <v>122.50572438832772</v>
      </c>
      <c r="AH771" s="1">
        <v>0.13822861979403742</v>
      </c>
      <c r="AI771" s="10">
        <v>2.0097163267018181</v>
      </c>
      <c r="AJ771" s="32">
        <v>1785.5036421262971</v>
      </c>
      <c r="AK771">
        <v>320</v>
      </c>
      <c r="AL771" s="7">
        <v>7.9248744601685531E-2</v>
      </c>
    </row>
    <row r="772" spans="28:38" x14ac:dyDescent="0.3">
      <c r="AB772">
        <v>767</v>
      </c>
      <c r="AC772" s="7">
        <v>0.33586659400812535</v>
      </c>
      <c r="AD772">
        <v>0.60835434872244543</v>
      </c>
      <c r="AE772">
        <v>0.95011801108614558</v>
      </c>
      <c r="AF772" s="7">
        <v>5.11690799065459E-2</v>
      </c>
      <c r="AG772" s="10">
        <v>127.56534083030679</v>
      </c>
      <c r="AH772" s="1">
        <v>0.2542078919692935</v>
      </c>
      <c r="AI772" s="10">
        <v>6.1608517701907823</v>
      </c>
      <c r="AJ772" s="32">
        <v>1759.3171340392228</v>
      </c>
      <c r="AK772">
        <v>320</v>
      </c>
      <c r="AL772" s="7">
        <v>0.1387539613194744</v>
      </c>
    </row>
    <row r="773" spans="28:38" x14ac:dyDescent="0.3">
      <c r="AB773">
        <v>768</v>
      </c>
      <c r="AC773" s="7">
        <v>0.61374048731799835</v>
      </c>
      <c r="AD773">
        <v>1.3606863389128081</v>
      </c>
      <c r="AE773">
        <v>0.95428902259698234</v>
      </c>
      <c r="AF773" s="7">
        <v>4.6788694719523294E-2</v>
      </c>
      <c r="AG773" s="10">
        <v>124.02263775704088</v>
      </c>
      <c r="AH773" s="1">
        <v>0.88081927413430761</v>
      </c>
      <c r="AI773" s="10">
        <v>78.284834584710566</v>
      </c>
      <c r="AJ773" s="32">
        <v>1790.2028045797751</v>
      </c>
      <c r="AK773">
        <v>320</v>
      </c>
      <c r="AL773" s="7">
        <v>0.49461106748355371</v>
      </c>
    </row>
    <row r="774" spans="28:38" x14ac:dyDescent="0.3">
      <c r="AB774">
        <v>769</v>
      </c>
      <c r="AC774" s="7">
        <v>0.69593959958713625</v>
      </c>
      <c r="AD774">
        <v>1.9063558061903003</v>
      </c>
      <c r="AE774">
        <v>0.95214685020570888</v>
      </c>
      <c r="AF774" s="7">
        <v>4.9036001668999685E-2</v>
      </c>
      <c r="AG774" s="10">
        <v>124.55866022183949</v>
      </c>
      <c r="AH774" s="1">
        <v>1.374561646224981</v>
      </c>
      <c r="AI774" s="10">
        <v>165.47406010732661</v>
      </c>
      <c r="AJ774" s="32">
        <v>1797.9489486155182</v>
      </c>
      <c r="AK774">
        <v>320</v>
      </c>
      <c r="AL774" s="7">
        <v>0.71910113185517632</v>
      </c>
    </row>
    <row r="775" spans="28:38" x14ac:dyDescent="0.3">
      <c r="AB775">
        <v>770</v>
      </c>
      <c r="AC775" s="7">
        <v>0.39480708247613877</v>
      </c>
      <c r="AD775">
        <v>0.80241737717994044</v>
      </c>
      <c r="AE775">
        <v>0.94325164729400368</v>
      </c>
      <c r="AF775" s="7">
        <v>5.8422173736905905E-2</v>
      </c>
      <c r="AG775" s="10">
        <v>118.27556541483523</v>
      </c>
      <c r="AH775" s="1">
        <v>0.373548416318564</v>
      </c>
      <c r="AI775" s="10">
        <v>12.221598397285772</v>
      </c>
      <c r="AJ775" s="32">
        <v>1806.8211533845658</v>
      </c>
      <c r="AK775">
        <v>320</v>
      </c>
      <c r="AL775" s="7">
        <v>0.19542900243187561</v>
      </c>
    </row>
    <row r="776" spans="28:38" x14ac:dyDescent="0.3">
      <c r="AB776">
        <v>771</v>
      </c>
      <c r="AC776" s="7">
        <v>0.3939933189255635</v>
      </c>
      <c r="AD776">
        <v>0.73225791209773938</v>
      </c>
      <c r="AE776">
        <v>0.94771918283391177</v>
      </c>
      <c r="AF776" s="7">
        <v>5.3697041248448464E-2</v>
      </c>
      <c r="AG776" s="10">
        <v>116.51374395666357</v>
      </c>
      <c r="AH776" s="1">
        <v>0.34078554226298008</v>
      </c>
      <c r="AI776" s="10">
        <v>11.87806418634017</v>
      </c>
      <c r="AJ776" s="32">
        <v>1799.4944467470905</v>
      </c>
      <c r="AK776">
        <v>320</v>
      </c>
      <c r="AL776" s="7">
        <v>0.19266278982282237</v>
      </c>
    </row>
    <row r="777" spans="28:38" x14ac:dyDescent="0.3">
      <c r="AB777">
        <v>772</v>
      </c>
      <c r="AC777" s="7">
        <v>0.2311176321362288</v>
      </c>
      <c r="AD777">
        <v>0.53253915978307675</v>
      </c>
      <c r="AE777">
        <v>0.93878361945698396</v>
      </c>
      <c r="AF777" s="7">
        <v>6.317026354161788E-2</v>
      </c>
      <c r="AG777" s="10">
        <v>117.76368552591886</v>
      </c>
      <c r="AH777" s="1">
        <v>0.18429557017189754</v>
      </c>
      <c r="AI777" s="10">
        <v>2.6629480334710482</v>
      </c>
      <c r="AJ777" s="32">
        <v>1778.9926014092944</v>
      </c>
      <c r="AK777">
        <v>320</v>
      </c>
      <c r="AL777" s="7">
        <v>9.1223421359851578E-2</v>
      </c>
    </row>
    <row r="778" spans="28:38" x14ac:dyDescent="0.3">
      <c r="AB778">
        <v>773</v>
      </c>
      <c r="AC778" s="7">
        <v>0.30059198812210169</v>
      </c>
      <c r="AD778">
        <v>0.63126556125471578</v>
      </c>
      <c r="AE778">
        <v>0.93940838039871599</v>
      </c>
      <c r="AF778" s="7">
        <v>6.2504984416988346E-2</v>
      </c>
      <c r="AG778" s="10">
        <v>112.12689512260695</v>
      </c>
      <c r="AH778" s="1">
        <v>0.25034498969185337</v>
      </c>
      <c r="AI778" s="10">
        <v>5.6214700671565545</v>
      </c>
      <c r="AJ778" s="32">
        <v>1818.3959203144632</v>
      </c>
      <c r="AK778">
        <v>320</v>
      </c>
      <c r="AL778" s="7">
        <v>0.13254091428636</v>
      </c>
    </row>
    <row r="779" spans="28:38" x14ac:dyDescent="0.3">
      <c r="AB779">
        <v>774</v>
      </c>
      <c r="AC779" s="7">
        <v>0.48948273677078685</v>
      </c>
      <c r="AD779">
        <v>0.82282494248810423</v>
      </c>
      <c r="AE779">
        <v>0.95911373220862717</v>
      </c>
      <c r="AF779" s="7">
        <v>4.1745616543799782E-2</v>
      </c>
      <c r="AG779" s="10">
        <v>130.44057355831802</v>
      </c>
      <c r="AH779" s="1">
        <v>0.44364487252371537</v>
      </c>
      <c r="AI779" s="10">
        <v>28.461439466654276</v>
      </c>
      <c r="AJ779" s="32">
        <v>1818.789668504628</v>
      </c>
      <c r="AK779">
        <v>320</v>
      </c>
      <c r="AL779" s="7">
        <v>0.29823145094589637</v>
      </c>
    </row>
    <row r="780" spans="28:38" x14ac:dyDescent="0.3">
      <c r="AB780">
        <v>775</v>
      </c>
      <c r="AC780" s="7">
        <v>0.31125785482489521</v>
      </c>
      <c r="AD780">
        <v>0.56875561082535175</v>
      </c>
      <c r="AE780">
        <v>0.94864056555184129</v>
      </c>
      <c r="AF780" s="7">
        <v>5.2725302852063394E-2</v>
      </c>
      <c r="AG780" s="10">
        <v>120.79591233359862</v>
      </c>
      <c r="AH780" s="1">
        <v>0.22838908579328066</v>
      </c>
      <c r="AI780" s="10">
        <v>4.5075220816231605</v>
      </c>
      <c r="AJ780" s="32">
        <v>1724.5407701631709</v>
      </c>
      <c r="AK780">
        <v>320</v>
      </c>
      <c r="AL780" s="7">
        <v>0.11868448300040059</v>
      </c>
    </row>
    <row r="781" spans="28:38" x14ac:dyDescent="0.3">
      <c r="AB781">
        <v>776</v>
      </c>
      <c r="AC781" s="7">
        <v>0.13891909041358125</v>
      </c>
      <c r="AD781">
        <v>0.40821020899422045</v>
      </c>
      <c r="AE781">
        <v>0.93973333868861486</v>
      </c>
      <c r="AF781" s="7">
        <v>6.2159126209661721E-2</v>
      </c>
      <c r="AG781" s="10">
        <v>118.37496109811747</v>
      </c>
      <c r="AH781" s="1">
        <v>0.11697485224240015</v>
      </c>
      <c r="AI781" s="10">
        <v>1.1066405882010053</v>
      </c>
      <c r="AJ781" s="32">
        <v>1757.533910891131</v>
      </c>
      <c r="AK781">
        <v>320</v>
      </c>
      <c r="AL781" s="7">
        <v>5.8806902980246642E-2</v>
      </c>
    </row>
    <row r="782" spans="28:38" x14ac:dyDescent="0.3">
      <c r="AB782">
        <v>777</v>
      </c>
      <c r="AC782" s="7">
        <v>0.50552275446589856</v>
      </c>
      <c r="AD782">
        <v>1.1144449877973361</v>
      </c>
      <c r="AE782">
        <v>0.94407077131696904</v>
      </c>
      <c r="AF782" s="7">
        <v>5.7554146031284233E-2</v>
      </c>
      <c r="AG782" s="10">
        <v>116.33670617953857</v>
      </c>
      <c r="AH782" s="1">
        <v>0.61930652861505509</v>
      </c>
      <c r="AI782" s="10">
        <v>29.915526882401632</v>
      </c>
      <c r="AJ782" s="32">
        <v>1781.1125768863658</v>
      </c>
      <c r="AK782">
        <v>320</v>
      </c>
      <c r="AL782" s="7">
        <v>0.30575483889466915</v>
      </c>
    </row>
    <row r="783" spans="28:38" x14ac:dyDescent="0.3">
      <c r="AB783">
        <v>778</v>
      </c>
      <c r="AC783" s="7">
        <v>0.56673025243859354</v>
      </c>
      <c r="AD783">
        <v>1.2047708349609545</v>
      </c>
      <c r="AE783">
        <v>0.95210128091115021</v>
      </c>
      <c r="AF783" s="7">
        <v>4.9083862337809321E-2</v>
      </c>
      <c r="AG783" s="10">
        <v>122.49637358070365</v>
      </c>
      <c r="AH783" s="1">
        <v>0.73067879851692663</v>
      </c>
      <c r="AI783" s="10">
        <v>52.014563561871597</v>
      </c>
      <c r="AJ783" s="32">
        <v>1790.4096781289691</v>
      </c>
      <c r="AK783">
        <v>320</v>
      </c>
      <c r="AL783" s="7">
        <v>0.40316933307339825</v>
      </c>
    </row>
    <row r="784" spans="28:38" x14ac:dyDescent="0.3">
      <c r="AB784">
        <v>779</v>
      </c>
      <c r="AC784" s="7">
        <v>0.52686920005590432</v>
      </c>
      <c r="AD784">
        <v>1.0834912513786301</v>
      </c>
      <c r="AE784">
        <v>0.95050198515446238</v>
      </c>
      <c r="AF784" s="7">
        <v>5.0765028518788023E-2</v>
      </c>
      <c r="AG784" s="10">
        <v>121.36960389936918</v>
      </c>
      <c r="AH784" s="1">
        <v>0.62035618372696721</v>
      </c>
      <c r="AI784" s="10">
        <v>33.962364795957953</v>
      </c>
      <c r="AJ784" s="32">
        <v>1765.4535581570613</v>
      </c>
      <c r="AK784">
        <v>320</v>
      </c>
      <c r="AL784" s="7">
        <v>0.32577966478491044</v>
      </c>
    </row>
    <row r="785" spans="28:38" x14ac:dyDescent="0.3">
      <c r="AB785">
        <v>780</v>
      </c>
      <c r="AC785" s="7">
        <v>0.60138882582532094</v>
      </c>
      <c r="AD785">
        <v>1.2557264655231075</v>
      </c>
      <c r="AE785">
        <v>0.9567775987631677</v>
      </c>
      <c r="AF785" s="7">
        <v>4.4184308723763811E-2</v>
      </c>
      <c r="AG785" s="10">
        <v>127.63801785139583</v>
      </c>
      <c r="AH785" s="1">
        <v>0.7984022658955543</v>
      </c>
      <c r="AI785" s="10">
        <v>67.003302494699867</v>
      </c>
      <c r="AJ785" s="32">
        <v>1776.9606574435509</v>
      </c>
      <c r="AK785">
        <v>320</v>
      </c>
      <c r="AL785" s="7">
        <v>0.45758640746413903</v>
      </c>
    </row>
    <row r="786" spans="28:38" x14ac:dyDescent="0.3">
      <c r="AB786">
        <v>781</v>
      </c>
      <c r="AC786" s="7">
        <v>0.53103958364239023</v>
      </c>
      <c r="AD786">
        <v>1.0809919413038953</v>
      </c>
      <c r="AE786">
        <v>0.95099838811712989</v>
      </c>
      <c r="AF786" s="7">
        <v>5.0242911372852035E-2</v>
      </c>
      <c r="AG786" s="10">
        <v>120.09670038944409</v>
      </c>
      <c r="AH786" s="1">
        <v>0.62305112231366977</v>
      </c>
      <c r="AI786" s="10">
        <v>35.112652261588153</v>
      </c>
      <c r="AJ786" s="32">
        <v>1763.9134326313301</v>
      </c>
      <c r="AK786">
        <v>320</v>
      </c>
      <c r="AL786" s="7">
        <v>0.33125071821425983</v>
      </c>
    </row>
    <row r="787" spans="28:38" x14ac:dyDescent="0.3">
      <c r="AB787">
        <v>782</v>
      </c>
      <c r="AC787" s="7">
        <v>0.59366536179066831</v>
      </c>
      <c r="AD787">
        <v>1.3567031243924652</v>
      </c>
      <c r="AE787">
        <v>0.95007034033329363</v>
      </c>
      <c r="AF787" s="7">
        <v>5.121925467245933E-2</v>
      </c>
      <c r="AG787" s="10">
        <v>119.74478708454056</v>
      </c>
      <c r="AH787" s="1">
        <v>0.85535731085168931</v>
      </c>
      <c r="AI787" s="10">
        <v>56.130378333170789</v>
      </c>
      <c r="AJ787" s="32">
        <v>1737.6748243161855</v>
      </c>
      <c r="AK787">
        <v>320</v>
      </c>
      <c r="AL787" s="7">
        <v>0.41881670488551281</v>
      </c>
    </row>
    <row r="788" spans="28:38" x14ac:dyDescent="0.3">
      <c r="AB788">
        <v>783</v>
      </c>
      <c r="AC788" s="7">
        <v>0.374969378655094</v>
      </c>
      <c r="AD788">
        <v>0.62961319233169688</v>
      </c>
      <c r="AE788">
        <v>0.95404668412488625</v>
      </c>
      <c r="AF788" s="7">
        <v>4.7042673589745301E-2</v>
      </c>
      <c r="AG788" s="10">
        <v>126.3235621939675</v>
      </c>
      <c r="AH788" s="1">
        <v>0.28203898339678035</v>
      </c>
      <c r="AI788" s="10">
        <v>10.293964278604047</v>
      </c>
      <c r="AJ788" s="32">
        <v>1812.9288668381687</v>
      </c>
      <c r="AK788">
        <v>320</v>
      </c>
      <c r="AL788" s="7">
        <v>0.17935617739748372</v>
      </c>
    </row>
    <row r="789" spans="28:38" x14ac:dyDescent="0.3">
      <c r="AB789">
        <v>784</v>
      </c>
      <c r="AC789" s="7">
        <v>0.56345419102933714</v>
      </c>
      <c r="AD789">
        <v>1.1612746911997767</v>
      </c>
      <c r="AE789">
        <v>0.95349459779739743</v>
      </c>
      <c r="AF789" s="7">
        <v>4.7621519613300571E-2</v>
      </c>
      <c r="AG789" s="10">
        <v>123.27363856252877</v>
      </c>
      <c r="AH789" s="1">
        <v>0.70083049389541607</v>
      </c>
      <c r="AI789" s="10">
        <v>45.903035834917233</v>
      </c>
      <c r="AJ789" s="32">
        <v>1760.3632681698991</v>
      </c>
      <c r="AK789">
        <v>320</v>
      </c>
      <c r="AL789" s="7">
        <v>0.37874395966683921</v>
      </c>
    </row>
    <row r="790" spans="28:38" x14ac:dyDescent="0.3">
      <c r="AB790">
        <v>785</v>
      </c>
      <c r="AC790" s="7">
        <v>0.30684064893932461</v>
      </c>
      <c r="AD790">
        <v>0.56637718513583024</v>
      </c>
      <c r="AE790">
        <v>0.94776063427539325</v>
      </c>
      <c r="AF790" s="7">
        <v>5.3653304099559887E-2</v>
      </c>
      <c r="AG790" s="10">
        <v>118.37660685064218</v>
      </c>
      <c r="AH790" s="1">
        <v>0.22602690875611289</v>
      </c>
      <c r="AI790" s="10">
        <v>5.0462630172837519</v>
      </c>
      <c r="AJ790" s="32">
        <v>1771.4861923721869</v>
      </c>
      <c r="AK790">
        <v>320</v>
      </c>
      <c r="AL790" s="7">
        <v>0.12557695620220982</v>
      </c>
    </row>
    <row r="791" spans="28:38" x14ac:dyDescent="0.3">
      <c r="AB791">
        <v>786</v>
      </c>
      <c r="AC791" s="7">
        <v>0.66053394704376578</v>
      </c>
      <c r="AD791">
        <v>1.6535088763237429</v>
      </c>
      <c r="AE791">
        <v>0.95114598881266021</v>
      </c>
      <c r="AF791" s="7">
        <v>5.0087717374313591E-2</v>
      </c>
      <c r="AG791" s="10">
        <v>117.94123251648487</v>
      </c>
      <c r="AH791" s="1">
        <v>1.1410527557373635</v>
      </c>
      <c r="AI791" s="10">
        <v>126.0415961515515</v>
      </c>
      <c r="AJ791" s="32">
        <v>1808.0519179828084</v>
      </c>
      <c r="AK791">
        <v>320</v>
      </c>
      <c r="AL791" s="7">
        <v>0.62759858825016368</v>
      </c>
    </row>
    <row r="792" spans="28:38" x14ac:dyDescent="0.3">
      <c r="AB792">
        <v>787</v>
      </c>
      <c r="AC792" s="7">
        <v>0.6479609730949234</v>
      </c>
      <c r="AD792">
        <v>1.6663651061794218</v>
      </c>
      <c r="AE792">
        <v>0.94888258793553026</v>
      </c>
      <c r="AF792" s="7">
        <v>5.2470209906760892E-2</v>
      </c>
      <c r="AG792" s="10">
        <v>118.98536552611056</v>
      </c>
      <c r="AH792" s="1">
        <v>1.1308569677959133</v>
      </c>
      <c r="AI792" s="10">
        <v>97.835313006842057</v>
      </c>
      <c r="AJ792" s="32">
        <v>1762.1256427067901</v>
      </c>
      <c r="AK792">
        <v>320</v>
      </c>
      <c r="AL792" s="7">
        <v>0.55293340751521014</v>
      </c>
    </row>
    <row r="793" spans="28:38" x14ac:dyDescent="0.3">
      <c r="AB793">
        <v>788</v>
      </c>
      <c r="AC793" s="7">
        <v>0.68138447552649839</v>
      </c>
      <c r="AD793">
        <v>1.7767037799489005</v>
      </c>
      <c r="AE793">
        <v>0.95248656246319618</v>
      </c>
      <c r="AF793" s="7">
        <v>4.8679279730982586E-2</v>
      </c>
      <c r="AG793" s="10">
        <v>122.53567929678682</v>
      </c>
      <c r="AH793" s="1">
        <v>1.2581318108032327</v>
      </c>
      <c r="AI793" s="10">
        <v>129.89012159523526</v>
      </c>
      <c r="AJ793" s="32">
        <v>1761.008469062886</v>
      </c>
      <c r="AK793">
        <v>320</v>
      </c>
      <c r="AL793" s="7">
        <v>0.63710802065670946</v>
      </c>
    </row>
    <row r="794" spans="28:38" x14ac:dyDescent="0.3">
      <c r="AB794">
        <v>789</v>
      </c>
      <c r="AC794" s="7">
        <v>0.46490096681376486</v>
      </c>
      <c r="AD794">
        <v>0.86033199472667865</v>
      </c>
      <c r="AE794">
        <v>0.95301365034722807</v>
      </c>
      <c r="AF794" s="7">
        <v>4.8126051876236871E-2</v>
      </c>
      <c r="AG794" s="10">
        <v>127.14615373760265</v>
      </c>
      <c r="AH794" s="1">
        <v>0.44695552578201969</v>
      </c>
      <c r="AI794" s="10">
        <v>19.316065068586511</v>
      </c>
      <c r="AJ794" s="32">
        <v>1762.0405772200793</v>
      </c>
      <c r="AK794">
        <v>320</v>
      </c>
      <c r="AL794" s="7">
        <v>0.24568822385155711</v>
      </c>
    </row>
    <row r="795" spans="28:38" x14ac:dyDescent="0.3">
      <c r="AB795">
        <v>790</v>
      </c>
      <c r="AC795" s="7">
        <v>0.64689713800793358</v>
      </c>
      <c r="AD795">
        <v>1.272899310122799</v>
      </c>
      <c r="AE795">
        <v>0.96390202258526703</v>
      </c>
      <c r="AF795" s="7">
        <v>3.676562585924955E-2</v>
      </c>
      <c r="AG795" s="10">
        <v>134.36376194629958</v>
      </c>
      <c r="AH795" s="1">
        <v>0.85953289810544475</v>
      </c>
      <c r="AI795" s="10">
        <v>92.961936830432521</v>
      </c>
      <c r="AJ795" s="32">
        <v>1757.2817501058489</v>
      </c>
      <c r="AK795">
        <v>320</v>
      </c>
      <c r="AL795" s="7">
        <v>0.53898613395439188</v>
      </c>
    </row>
    <row r="796" spans="28:38" x14ac:dyDescent="0.3">
      <c r="AB796">
        <v>791</v>
      </c>
      <c r="AC796" s="7">
        <v>0.78473270268255779</v>
      </c>
      <c r="AD796">
        <v>2.5643098381539788</v>
      </c>
      <c r="AE796">
        <v>0.95200687840024423</v>
      </c>
      <c r="AF796" s="7">
        <v>4.9183019006532873E-2</v>
      </c>
      <c r="AG796" s="10">
        <v>120.40491136432392</v>
      </c>
      <c r="AH796" s="1">
        <v>2.0602909114098003</v>
      </c>
      <c r="AI796" s="10">
        <v>356.17460851783579</v>
      </c>
      <c r="AJ796" s="32">
        <v>1792.1219804438501</v>
      </c>
      <c r="AK796">
        <v>320</v>
      </c>
      <c r="AL796" s="7">
        <v>1.0550097874513946</v>
      </c>
    </row>
    <row r="797" spans="28:38" x14ac:dyDescent="0.3">
      <c r="AB797">
        <v>792</v>
      </c>
      <c r="AC797" s="7">
        <v>0.61390674250894062</v>
      </c>
      <c r="AD797">
        <v>1.5374636810470692</v>
      </c>
      <c r="AE797">
        <v>0.94530751116547329</v>
      </c>
      <c r="AF797" s="7">
        <v>5.6244995781590423E-2</v>
      </c>
      <c r="AG797" s="10">
        <v>113.44343817052763</v>
      </c>
      <c r="AH797" s="1">
        <v>0.99855180899193785</v>
      </c>
      <c r="AI797" s="10">
        <v>71.4056708645371</v>
      </c>
      <c r="AJ797" s="32">
        <v>1753.7384161645905</v>
      </c>
      <c r="AK797">
        <v>320</v>
      </c>
      <c r="AL797" s="7">
        <v>0.47237984869348359</v>
      </c>
    </row>
    <row r="798" spans="28:38" x14ac:dyDescent="0.3">
      <c r="AB798">
        <v>793</v>
      </c>
      <c r="AC798" s="7">
        <v>0.61260440485977463</v>
      </c>
      <c r="AD798">
        <v>1.5592281260587928</v>
      </c>
      <c r="AE798">
        <v>0.94574496694280541</v>
      </c>
      <c r="AF798" s="7">
        <v>5.5782337245987058E-2</v>
      </c>
      <c r="AG798" s="10">
        <v>118.17692438133393</v>
      </c>
      <c r="AH798" s="1">
        <v>1.009445051262063</v>
      </c>
      <c r="AI798" s="10">
        <v>78.483808602543817</v>
      </c>
      <c r="AJ798" s="32">
        <v>1789.6707171750004</v>
      </c>
      <c r="AK798">
        <v>320</v>
      </c>
      <c r="AL798" s="7">
        <v>0.49523923701878614</v>
      </c>
    </row>
    <row r="799" spans="28:38" x14ac:dyDescent="0.3">
      <c r="AB799">
        <v>794</v>
      </c>
      <c r="AC799" s="7">
        <v>0.33687012286614526</v>
      </c>
      <c r="AD799">
        <v>0.58139398600227099</v>
      </c>
      <c r="AE799">
        <v>0.95168211802278624</v>
      </c>
      <c r="AF799" s="7">
        <v>4.9524209590938909E-2</v>
      </c>
      <c r="AG799" s="10">
        <v>122.63200678136349</v>
      </c>
      <c r="AH799" s="1">
        <v>0.24417214547543672</v>
      </c>
      <c r="AI799" s="10">
        <v>6.5417362893988562</v>
      </c>
      <c r="AJ799" s="32">
        <v>1772.8879561214994</v>
      </c>
      <c r="AK799">
        <v>320</v>
      </c>
      <c r="AL799" s="7">
        <v>0.14297876032604082</v>
      </c>
    </row>
    <row r="800" spans="28:38" x14ac:dyDescent="0.3">
      <c r="AB800">
        <v>795</v>
      </c>
      <c r="AC800" s="7">
        <v>0.49892438195208078</v>
      </c>
      <c r="AD800">
        <v>1.0040479189933209</v>
      </c>
      <c r="AE800">
        <v>0.94920607186457195</v>
      </c>
      <c r="AF800" s="7">
        <v>5.2129357617798133E-2</v>
      </c>
      <c r="AG800" s="10">
        <v>119.20890244731065</v>
      </c>
      <c r="AH800" s="1">
        <v>0.55173791556944352</v>
      </c>
      <c r="AI800" s="10">
        <v>29.373915274437262</v>
      </c>
      <c r="AJ800" s="32">
        <v>1796.1376760219448</v>
      </c>
      <c r="AK800">
        <v>320</v>
      </c>
      <c r="AL800" s="7">
        <v>0.30297439699191819</v>
      </c>
    </row>
    <row r="801" spans="28:38" x14ac:dyDescent="0.3">
      <c r="AB801">
        <v>796</v>
      </c>
      <c r="AC801" s="7">
        <v>0.29661808740391127</v>
      </c>
      <c r="AD801">
        <v>0.46075975580844036</v>
      </c>
      <c r="AE801">
        <v>0.9581342806701868</v>
      </c>
      <c r="AF801" s="7">
        <v>4.2767343119670231E-2</v>
      </c>
      <c r="AG801" s="10">
        <v>132.88953638867687</v>
      </c>
      <c r="AH801" s="1">
        <v>0.17853539685040598</v>
      </c>
      <c r="AI801" s="10">
        <v>4.2407015602856974</v>
      </c>
      <c r="AJ801" s="32">
        <v>1752.1172805116078</v>
      </c>
      <c r="AK801">
        <v>320</v>
      </c>
      <c r="AL801" s="7">
        <v>0.1151181670106539</v>
      </c>
    </row>
    <row r="802" spans="28:38" x14ac:dyDescent="0.3">
      <c r="AB802">
        <v>797</v>
      </c>
      <c r="AC802" s="7">
        <v>0.44846888498025089</v>
      </c>
      <c r="AD802">
        <v>0.80705160661281761</v>
      </c>
      <c r="AE802">
        <v>0.95346379304008877</v>
      </c>
      <c r="AF802" s="7">
        <v>4.7653827352640184E-2</v>
      </c>
      <c r="AG802" s="10">
        <v>126.92350505264524</v>
      </c>
      <c r="AH802" s="1">
        <v>0.40847374109908163</v>
      </c>
      <c r="AI802" s="10">
        <v>16.955467382337069</v>
      </c>
      <c r="AJ802" s="32">
        <v>1766.5184761640674</v>
      </c>
      <c r="AK802">
        <v>320</v>
      </c>
      <c r="AL802" s="7">
        <v>0.23018652343220125</v>
      </c>
    </row>
    <row r="803" spans="28:38" x14ac:dyDescent="0.3">
      <c r="AB803">
        <v>798</v>
      </c>
      <c r="AC803" s="7">
        <v>0.47321471430466755</v>
      </c>
      <c r="AD803">
        <v>0.81258578325227504</v>
      </c>
      <c r="AE803">
        <v>0.95663585710225851</v>
      </c>
      <c r="AF803" s="7">
        <v>4.4332464534766351E-2</v>
      </c>
      <c r="AG803" s="10">
        <v>126.16984373325896</v>
      </c>
      <c r="AH803" s="1">
        <v>0.42789169216750134</v>
      </c>
      <c r="AI803" s="10">
        <v>24.021666995286274</v>
      </c>
      <c r="AJ803" s="32">
        <v>1808.3549397880033</v>
      </c>
      <c r="AK803">
        <v>320</v>
      </c>
      <c r="AL803" s="7">
        <v>0.27398487067768834</v>
      </c>
    </row>
    <row r="804" spans="28:38" x14ac:dyDescent="0.3">
      <c r="AB804">
        <v>799</v>
      </c>
      <c r="AC804" s="7">
        <v>0.65739987628600904</v>
      </c>
      <c r="AD804">
        <v>1.4697185553809611</v>
      </c>
      <c r="AE804">
        <v>0.95801573295290343</v>
      </c>
      <c r="AF804" s="7">
        <v>4.2891078439547897E-2</v>
      </c>
      <c r="AG804" s="10">
        <v>125.85308125386243</v>
      </c>
      <c r="AH804" s="1">
        <v>1.0081770635297924</v>
      </c>
      <c r="AI804" s="10">
        <v>121.01480892282514</v>
      </c>
      <c r="AJ804" s="32">
        <v>1808.4854125960492</v>
      </c>
      <c r="AK804">
        <v>320</v>
      </c>
      <c r="AL804" s="7">
        <v>0.61495632193175198</v>
      </c>
    </row>
    <row r="805" spans="28:38" x14ac:dyDescent="0.3">
      <c r="AB805">
        <v>800</v>
      </c>
      <c r="AC805" s="7">
        <v>0.52884052458519326</v>
      </c>
      <c r="AD805">
        <v>0.86109448386796861</v>
      </c>
      <c r="AE805">
        <v>0.9632881452790536</v>
      </c>
      <c r="AF805" s="7">
        <v>3.7402695658807487E-2</v>
      </c>
      <c r="AG805" s="10">
        <v>135.3734626309467</v>
      </c>
      <c r="AH805" s="1">
        <v>0.49209351328709916</v>
      </c>
      <c r="AI805" s="10">
        <v>41.899033950526551</v>
      </c>
      <c r="AJ805" s="32">
        <v>1833.9755389942768</v>
      </c>
      <c r="AK805">
        <v>320</v>
      </c>
      <c r="AL805" s="7">
        <v>0.3618486991760444</v>
      </c>
    </row>
    <row r="806" spans="28:38" x14ac:dyDescent="0.3">
      <c r="AB806">
        <v>801</v>
      </c>
      <c r="AC806" s="7">
        <v>0.76440672369276652</v>
      </c>
      <c r="AD806">
        <v>2.4426594230068677</v>
      </c>
      <c r="AE806">
        <v>0.94983258384274183</v>
      </c>
      <c r="AF806" s="7">
        <v>5.1469537451402925E-2</v>
      </c>
      <c r="AG806" s="10">
        <v>117.47501910678976</v>
      </c>
      <c r="AH806" s="1">
        <v>1.9173527027952013</v>
      </c>
      <c r="AI806" s="10">
        <v>292.11457171612113</v>
      </c>
      <c r="AJ806" s="32">
        <v>1784.2493605579084</v>
      </c>
      <c r="AK806">
        <v>320</v>
      </c>
      <c r="AL806" s="7">
        <v>0.95543604527612347</v>
      </c>
    </row>
    <row r="807" spans="28:38" x14ac:dyDescent="0.3">
      <c r="AB807">
        <v>802</v>
      </c>
      <c r="AC807" s="7">
        <v>0.53493816666257932</v>
      </c>
      <c r="AD807">
        <v>1.2450162536397695</v>
      </c>
      <c r="AE807">
        <v>0.94311085112313198</v>
      </c>
      <c r="AF807" s="7">
        <v>5.8571451695147027E-2</v>
      </c>
      <c r="AG807" s="10">
        <v>115.84478363403139</v>
      </c>
      <c r="AH807" s="1">
        <v>0.72289586106403914</v>
      </c>
      <c r="AI807" s="10">
        <v>43.074221848551431</v>
      </c>
      <c r="AJ807" s="32">
        <v>1814.2488332958549</v>
      </c>
      <c r="AK807">
        <v>320</v>
      </c>
      <c r="AL807" s="7">
        <v>0.36688818906680987</v>
      </c>
    </row>
    <row r="808" spans="28:38" x14ac:dyDescent="0.3">
      <c r="AB808">
        <v>803</v>
      </c>
      <c r="AC808" s="7">
        <v>0.51014911049599543</v>
      </c>
      <c r="AD808">
        <v>0.99396336943365504</v>
      </c>
      <c r="AE808">
        <v>0.95350984367175784</v>
      </c>
      <c r="AF808" s="7">
        <v>4.7605530269983681E-2</v>
      </c>
      <c r="AG808" s="10">
        <v>128.47007148944763</v>
      </c>
      <c r="AH808" s="1">
        <v>0.55355968511042375</v>
      </c>
      <c r="AI808" s="10">
        <v>25.282290125863575</v>
      </c>
      <c r="AJ808" s="32">
        <v>1721.5167803244615</v>
      </c>
      <c r="AK808">
        <v>320</v>
      </c>
      <c r="AL808" s="7">
        <v>0.28108211725992754</v>
      </c>
    </row>
    <row r="809" spans="28:38" x14ac:dyDescent="0.3">
      <c r="AB809">
        <v>804</v>
      </c>
      <c r="AC809" s="7">
        <v>0.17646324292663995</v>
      </c>
      <c r="AD809">
        <v>0.3279018739329676</v>
      </c>
      <c r="AE809">
        <v>0.95788381523184341</v>
      </c>
      <c r="AF809" s="7">
        <v>4.3028786829733053E-2</v>
      </c>
      <c r="AG809" s="10">
        <v>134.18046605837566</v>
      </c>
      <c r="AH809" s="1">
        <v>9.9978812804090322E-2</v>
      </c>
      <c r="AI809" s="10">
        <v>1.7655755014985497</v>
      </c>
      <c r="AJ809" s="32">
        <v>1809.5715175462751</v>
      </c>
      <c r="AK809">
        <v>320</v>
      </c>
      <c r="AL809" s="7">
        <v>7.4279360808928399E-2</v>
      </c>
    </row>
    <row r="810" spans="28:38" x14ac:dyDescent="0.3">
      <c r="AB810">
        <v>805</v>
      </c>
      <c r="AC810" s="7">
        <v>0.67134852673847378</v>
      </c>
      <c r="AD810">
        <v>1.5890067855220777</v>
      </c>
      <c r="AE810">
        <v>0.95766696267737306</v>
      </c>
      <c r="AF810" s="7">
        <v>4.3255199575244721E-2</v>
      </c>
      <c r="AG810" s="10">
        <v>129.60048606070461</v>
      </c>
      <c r="AH810" s="1">
        <v>1.1091104017603117</v>
      </c>
      <c r="AI810" s="10">
        <v>127.76806031976308</v>
      </c>
      <c r="AJ810" s="32">
        <v>1787.5347975364796</v>
      </c>
      <c r="AK810">
        <v>320</v>
      </c>
      <c r="AL810" s="7">
        <v>0.63188225841469836</v>
      </c>
    </row>
    <row r="811" spans="28:38" x14ac:dyDescent="0.3">
      <c r="AB811">
        <v>806</v>
      </c>
      <c r="AC811" s="7">
        <v>0.14102678571040037</v>
      </c>
      <c r="AD811">
        <v>0.43701881789200608</v>
      </c>
      <c r="AE811">
        <v>0.93515639538615247</v>
      </c>
      <c r="AF811" s="7">
        <v>6.7041495888471067E-2</v>
      </c>
      <c r="AG811" s="10">
        <v>114.10937666711185</v>
      </c>
      <c r="AH811" s="1">
        <v>0.12647496379611595</v>
      </c>
      <c r="AI811" s="10">
        <v>1.4113209482366369</v>
      </c>
      <c r="AJ811" s="32">
        <v>1825.7165718937893</v>
      </c>
      <c r="AK811">
        <v>320</v>
      </c>
      <c r="AL811" s="7">
        <v>6.6410676575679381E-2</v>
      </c>
    </row>
    <row r="812" spans="28:38" x14ac:dyDescent="0.3">
      <c r="AB812">
        <v>807</v>
      </c>
      <c r="AC812" s="7">
        <v>0.37387815987891893</v>
      </c>
      <c r="AD812">
        <v>0.65212580389064256</v>
      </c>
      <c r="AE812">
        <v>0.95265987515536465</v>
      </c>
      <c r="AF812" s="7">
        <v>4.8497338134027755E-2</v>
      </c>
      <c r="AG812" s="10">
        <v>128.8352783309638</v>
      </c>
      <c r="AH812" s="1">
        <v>0.29115572041282956</v>
      </c>
      <c r="AI812" s="10">
        <v>9.4613067905995347</v>
      </c>
      <c r="AJ812" s="32">
        <v>1790.3203722436458</v>
      </c>
      <c r="AK812">
        <v>320</v>
      </c>
      <c r="AL812" s="7">
        <v>0.17194936382733014</v>
      </c>
    </row>
    <row r="813" spans="28:38" x14ac:dyDescent="0.3">
      <c r="AB813">
        <v>808</v>
      </c>
      <c r="AC813" s="7">
        <v>0.49732886796372155</v>
      </c>
      <c r="AD813">
        <v>0.76160613999318794</v>
      </c>
      <c r="AE813">
        <v>0.96501013497673305</v>
      </c>
      <c r="AF813" s="7">
        <v>3.5616675131739946E-2</v>
      </c>
      <c r="AG813" s="10">
        <v>143.59306881617366</v>
      </c>
      <c r="AH813" s="1">
        <v>0.41375858446029873</v>
      </c>
      <c r="AI813" s="10">
        <v>24.333090527981422</v>
      </c>
      <c r="AJ813" s="32">
        <v>1751.2534962113562</v>
      </c>
      <c r="AK813">
        <v>320</v>
      </c>
      <c r="AL813" s="7">
        <v>0.27575515933512823</v>
      </c>
    </row>
    <row r="814" spans="28:38" x14ac:dyDescent="0.3">
      <c r="AB814">
        <v>809</v>
      </c>
      <c r="AC814" s="7">
        <v>0.7829215686297849</v>
      </c>
      <c r="AD814">
        <v>2.3115438320476831</v>
      </c>
      <c r="AE814">
        <v>0.95714833298861179</v>
      </c>
      <c r="AF814" s="7">
        <v>4.3796901641879979E-2</v>
      </c>
      <c r="AG814" s="10">
        <v>122.84971609750568</v>
      </c>
      <c r="AH814" s="1">
        <v>1.8526091899546642</v>
      </c>
      <c r="AI814" s="10">
        <v>388.25521810401949</v>
      </c>
      <c r="AJ814" s="32">
        <v>1827.5794046349847</v>
      </c>
      <c r="AK814">
        <v>320</v>
      </c>
      <c r="AL814" s="7">
        <v>1.1014978695281534</v>
      </c>
    </row>
    <row r="815" spans="28:38" x14ac:dyDescent="0.3">
      <c r="AB815">
        <v>810</v>
      </c>
      <c r="AC815" s="7">
        <v>0.10349003887504833</v>
      </c>
      <c r="AD815">
        <v>0.34180624429973283</v>
      </c>
      <c r="AE815">
        <v>0.94457229286460276</v>
      </c>
      <c r="AF815" s="7">
        <v>5.702305408603172E-2</v>
      </c>
      <c r="AG815" s="10">
        <v>117.85767679644538</v>
      </c>
      <c r="AH815" s="1">
        <v>9.0801248645710861E-2</v>
      </c>
      <c r="AI815" s="10">
        <v>0.76008782344406678</v>
      </c>
      <c r="AJ815" s="32">
        <v>1736.0988556754999</v>
      </c>
      <c r="AK815">
        <v>320</v>
      </c>
      <c r="AL815" s="7">
        <v>4.8736787422466704E-2</v>
      </c>
    </row>
    <row r="816" spans="28:38" x14ac:dyDescent="0.3">
      <c r="AB816">
        <v>811</v>
      </c>
      <c r="AC816" s="7">
        <v>0.19110059642703628</v>
      </c>
      <c r="AD816">
        <v>0.41523762140140069</v>
      </c>
      <c r="AE816">
        <v>0.9472426206334793</v>
      </c>
      <c r="AF816" s="7">
        <v>5.4200019418886997E-2</v>
      </c>
      <c r="AG816" s="10">
        <v>121.92115511861944</v>
      </c>
      <c r="AH816" s="1">
        <v>0.13210953647527224</v>
      </c>
      <c r="AI816" s="10">
        <v>1.6883974577189707</v>
      </c>
      <c r="AJ816" s="32">
        <v>1748.4194892772175</v>
      </c>
      <c r="AK816">
        <v>320</v>
      </c>
      <c r="AL816" s="7">
        <v>7.2637745390201805E-2</v>
      </c>
    </row>
    <row r="817" spans="28:38" x14ac:dyDescent="0.3">
      <c r="AB817">
        <v>812</v>
      </c>
      <c r="AC817" s="7">
        <v>0.17431613265111123</v>
      </c>
      <c r="AD817">
        <v>0.45377233190177496</v>
      </c>
      <c r="AE817">
        <v>0.93836426191848032</v>
      </c>
      <c r="AF817" s="7">
        <v>6.3617066427678004E-2</v>
      </c>
      <c r="AG817" s="10">
        <v>114.02951146912189</v>
      </c>
      <c r="AH817" s="1">
        <v>0.14073557608271356</v>
      </c>
      <c r="AI817" s="10">
        <v>1.7206101901217412</v>
      </c>
      <c r="AJ817" s="32">
        <v>1795.5257893187629</v>
      </c>
      <c r="AK817">
        <v>320</v>
      </c>
      <c r="AL817" s="7">
        <v>7.3327394908931837E-2</v>
      </c>
    </row>
    <row r="818" spans="28:38" x14ac:dyDescent="0.3">
      <c r="AB818">
        <v>813</v>
      </c>
      <c r="AC818" s="7">
        <v>6.5926615503354644E-2</v>
      </c>
      <c r="AD818">
        <v>0.31781911430092341</v>
      </c>
      <c r="AE818">
        <v>0.94325552849675376</v>
      </c>
      <c r="AF818" s="7">
        <v>5.8418059039861664E-2</v>
      </c>
      <c r="AG818" s="10">
        <v>117.54629424018212</v>
      </c>
      <c r="AH818" s="1">
        <v>7.7697210051379945E-2</v>
      </c>
      <c r="AI818" s="10">
        <v>0.56464724724071247</v>
      </c>
      <c r="AJ818" s="32">
        <v>1746.0651262161541</v>
      </c>
      <c r="AK818">
        <v>320</v>
      </c>
      <c r="AL818" s="7">
        <v>4.2006221534758713E-2</v>
      </c>
    </row>
    <row r="819" spans="28:38" x14ac:dyDescent="0.3">
      <c r="AB819">
        <v>814</v>
      </c>
      <c r="AC819" s="7">
        <v>0.25033563171678674</v>
      </c>
      <c r="AD819">
        <v>0.51593554119548746</v>
      </c>
      <c r="AE819">
        <v>0.94316500826691663</v>
      </c>
      <c r="AF819" s="7">
        <v>5.8514029400809818E-2</v>
      </c>
      <c r="AG819" s="10">
        <v>113.96014508490029</v>
      </c>
      <c r="AH819" s="1">
        <v>0.18599204136339798</v>
      </c>
      <c r="AI819" s="10">
        <v>3.0961342800350562</v>
      </c>
      <c r="AJ819" s="32">
        <v>1770.476760845394</v>
      </c>
      <c r="AK819">
        <v>320</v>
      </c>
      <c r="AL819" s="7">
        <v>9.8363710915710931E-2</v>
      </c>
    </row>
    <row r="820" spans="28:38" x14ac:dyDescent="0.3">
      <c r="AB820">
        <v>815</v>
      </c>
      <c r="AC820" s="7">
        <v>0.6111851289089506</v>
      </c>
      <c r="AD820">
        <v>1.3419544296881118</v>
      </c>
      <c r="AE820">
        <v>0.95555570554306912</v>
      </c>
      <c r="AF820" s="7">
        <v>4.5462217113092666E-2</v>
      </c>
      <c r="AG820" s="10">
        <v>128.53994041970739</v>
      </c>
      <c r="AH820" s="1">
        <v>0.86462688555579681</v>
      </c>
      <c r="AI820" s="10">
        <v>73.043328840878331</v>
      </c>
      <c r="AJ820" s="32">
        <v>1777.0830729292256</v>
      </c>
      <c r="AK820">
        <v>320</v>
      </c>
      <c r="AL820" s="7">
        <v>0.47776605428571917</v>
      </c>
    </row>
    <row r="821" spans="28:38" x14ac:dyDescent="0.3">
      <c r="AB821">
        <v>816</v>
      </c>
      <c r="AC821" s="7">
        <v>0.93677591348979605</v>
      </c>
      <c r="AD821">
        <v>3.9979957433962405</v>
      </c>
      <c r="AE821">
        <v>0.95933597517125746</v>
      </c>
      <c r="AF821" s="7">
        <v>4.1513926379841311E-2</v>
      </c>
      <c r="AG821" s="10">
        <v>126.42846558962736</v>
      </c>
      <c r="AH821" s="1">
        <v>3.7858901394770723</v>
      </c>
      <c r="AI821" s="10">
        <v>1545.2314778696889</v>
      </c>
      <c r="AJ821" s="32">
        <v>1838.1152196440671</v>
      </c>
      <c r="AK821">
        <v>320</v>
      </c>
      <c r="AL821" s="7">
        <v>2.1974640766899416</v>
      </c>
    </row>
    <row r="822" spans="28:38" x14ac:dyDescent="0.3">
      <c r="AB822">
        <v>817</v>
      </c>
      <c r="AC822" s="7">
        <v>0.41029884213128037</v>
      </c>
      <c r="AD822">
        <v>0.71988651390927405</v>
      </c>
      <c r="AE822">
        <v>0.9522166242210679</v>
      </c>
      <c r="AF822" s="7">
        <v>4.8962723624837196E-2</v>
      </c>
      <c r="AG822" s="10">
        <v>122.12238044535427</v>
      </c>
      <c r="AH822" s="1">
        <v>0.34315197890183113</v>
      </c>
      <c r="AI822" s="10">
        <v>12.217496300372135</v>
      </c>
      <c r="AJ822" s="32">
        <v>1766.3516455572203</v>
      </c>
      <c r="AK822">
        <v>320</v>
      </c>
      <c r="AL822" s="7">
        <v>0.19539620246735329</v>
      </c>
    </row>
    <row r="823" spans="28:38" x14ac:dyDescent="0.3">
      <c r="AB823">
        <v>818</v>
      </c>
      <c r="AC823" s="7">
        <v>0.27161249762285883</v>
      </c>
      <c r="AD823">
        <v>0.54396849814521064</v>
      </c>
      <c r="AE823">
        <v>0.94474748961367327</v>
      </c>
      <c r="AF823" s="7">
        <v>5.6837593952498509E-2</v>
      </c>
      <c r="AG823" s="10">
        <v>120.42279670146574</v>
      </c>
      <c r="AH823" s="1">
        <v>0.20300115279570283</v>
      </c>
      <c r="AI823" s="10">
        <v>3.840022067979886</v>
      </c>
      <c r="AJ823" s="32">
        <v>1784.1463071926107</v>
      </c>
      <c r="AK823">
        <v>320</v>
      </c>
      <c r="AL823" s="7">
        <v>0.10954482626960135</v>
      </c>
    </row>
    <row r="824" spans="28:38" x14ac:dyDescent="0.3">
      <c r="AB824">
        <v>819</v>
      </c>
      <c r="AC824" s="7">
        <v>0.5928547358914299</v>
      </c>
      <c r="AD824">
        <v>1.3174556108282447</v>
      </c>
      <c r="AE824">
        <v>0.95035408364577245</v>
      </c>
      <c r="AF824" s="7">
        <v>5.0920644203127287E-2</v>
      </c>
      <c r="AG824" s="10">
        <v>115.83790880689696</v>
      </c>
      <c r="AH824" s="1">
        <v>0.83070571456048903</v>
      </c>
      <c r="AI824" s="10">
        <v>68.079715218165447</v>
      </c>
      <c r="AJ824" s="32">
        <v>1800.1869620217519</v>
      </c>
      <c r="AK824">
        <v>320</v>
      </c>
      <c r="AL824" s="7">
        <v>0.46124734151728941</v>
      </c>
    </row>
    <row r="825" spans="28:38" x14ac:dyDescent="0.3">
      <c r="AB825">
        <v>820</v>
      </c>
      <c r="AC825" s="7">
        <v>0.72566717831331717</v>
      </c>
      <c r="AD825">
        <v>1.8503029416650261</v>
      </c>
      <c r="AE825">
        <v>0.95755301826238592</v>
      </c>
      <c r="AF825" s="7">
        <v>4.3374187906878206E-2</v>
      </c>
      <c r="AG825" s="10">
        <v>121.86361283337101</v>
      </c>
      <c r="AH825" s="1">
        <v>1.3851510964405038</v>
      </c>
      <c r="AI825" s="10">
        <v>200.28839869497597</v>
      </c>
      <c r="AJ825" s="32">
        <v>1776.5997076764522</v>
      </c>
      <c r="AK825">
        <v>320</v>
      </c>
      <c r="AL825" s="7">
        <v>0.79113920767574142</v>
      </c>
    </row>
    <row r="826" spans="28:38" x14ac:dyDescent="0.3">
      <c r="AB826">
        <v>821</v>
      </c>
      <c r="AC826" s="7">
        <v>0.36628613000707405</v>
      </c>
      <c r="AD826">
        <v>0.6782527966547921</v>
      </c>
      <c r="AE826">
        <v>0.94850862009340609</v>
      </c>
      <c r="AF826" s="7">
        <v>5.2864401516149816E-2</v>
      </c>
      <c r="AG826" s="10">
        <v>122.82714487323307</v>
      </c>
      <c r="AH826" s="1">
        <v>0.29992597195975268</v>
      </c>
      <c r="AI826" s="10">
        <v>8.5329674322585074</v>
      </c>
      <c r="AJ826" s="32">
        <v>1775.3146853800081</v>
      </c>
      <c r="AK826">
        <v>320</v>
      </c>
      <c r="AL826" s="7">
        <v>0.16329581508969493</v>
      </c>
    </row>
    <row r="827" spans="28:38" x14ac:dyDescent="0.3">
      <c r="AB827">
        <v>822</v>
      </c>
      <c r="AC827" s="7">
        <v>0.18373849320522706</v>
      </c>
      <c r="AD827">
        <v>0.43608174624620555</v>
      </c>
      <c r="AE827">
        <v>0.94234974964430518</v>
      </c>
      <c r="AF827" s="7">
        <v>5.9378789191201951E-2</v>
      </c>
      <c r="AG827" s="10">
        <v>114.62663181249027</v>
      </c>
      <c r="AH827" s="1">
        <v>0.13777525332527679</v>
      </c>
      <c r="AI827" s="10">
        <v>1.848575611735279</v>
      </c>
      <c r="AJ827" s="32">
        <v>1792.805781865015</v>
      </c>
      <c r="AK827">
        <v>320</v>
      </c>
      <c r="AL827" s="7">
        <v>7.600525499380123E-2</v>
      </c>
    </row>
    <row r="828" spans="28:38" x14ac:dyDescent="0.3">
      <c r="AB828">
        <v>823</v>
      </c>
      <c r="AC828" s="7">
        <v>0.29806129432577566</v>
      </c>
      <c r="AD828">
        <v>0.48587138565000154</v>
      </c>
      <c r="AE828">
        <v>0.95673964747444762</v>
      </c>
      <c r="AF828" s="7">
        <v>4.4223975247595443E-2</v>
      </c>
      <c r="AG828" s="10">
        <v>138.46664775774855</v>
      </c>
      <c r="AH828" s="1">
        <v>0.18807980660824994</v>
      </c>
      <c r="AI828" s="10">
        <v>4.4297745541423357</v>
      </c>
      <c r="AJ828" s="32">
        <v>1764.9051219292155</v>
      </c>
      <c r="AK828">
        <v>320</v>
      </c>
      <c r="AL828" s="7">
        <v>0.11765647233235747</v>
      </c>
    </row>
    <row r="829" spans="28:38" x14ac:dyDescent="0.3">
      <c r="AB829">
        <v>824</v>
      </c>
      <c r="AC829" s="7">
        <v>0.61710932738655333</v>
      </c>
      <c r="AD829">
        <v>1.5693963167451208</v>
      </c>
      <c r="AE829">
        <v>0.94606767903797584</v>
      </c>
      <c r="AF829" s="7">
        <v>5.5441170165847056E-2</v>
      </c>
      <c r="AG829" s="10">
        <v>117.649665335789</v>
      </c>
      <c r="AH829" s="1">
        <v>1.0224214263915399</v>
      </c>
      <c r="AI829" s="10">
        <v>78.613183202647747</v>
      </c>
      <c r="AJ829" s="32">
        <v>1777.515555383111</v>
      </c>
      <c r="AK829">
        <v>320</v>
      </c>
      <c r="AL829" s="7">
        <v>0.49564725108515856</v>
      </c>
    </row>
    <row r="830" spans="28:38" x14ac:dyDescent="0.3">
      <c r="AB830">
        <v>825</v>
      </c>
      <c r="AC830" s="7">
        <v>0.54889097309428247</v>
      </c>
      <c r="AD830">
        <v>1.1735315033733298</v>
      </c>
      <c r="AE830">
        <v>0.95019915776419195</v>
      </c>
      <c r="AF830" s="7">
        <v>5.108367660711164E-2</v>
      </c>
      <c r="AG830" s="10">
        <v>121.43945924461535</v>
      </c>
      <c r="AH830" s="1">
        <v>0.69394169107919124</v>
      </c>
      <c r="AI830" s="10">
        <v>38.912770363502709</v>
      </c>
      <c r="AJ830" s="32">
        <v>1746.9320476449236</v>
      </c>
      <c r="AK830">
        <v>320</v>
      </c>
      <c r="AL830" s="7">
        <v>0.34871536729250402</v>
      </c>
    </row>
    <row r="831" spans="28:38" x14ac:dyDescent="0.3">
      <c r="AB831">
        <v>826</v>
      </c>
      <c r="AC831" s="7">
        <v>0.4431405648052294</v>
      </c>
      <c r="AD831">
        <v>0.87655245563420447</v>
      </c>
      <c r="AE831">
        <v>0.9461243177711649</v>
      </c>
      <c r="AF831" s="7">
        <v>5.5381304429915935E-2</v>
      </c>
      <c r="AG831" s="10">
        <v>115.69330806587264</v>
      </c>
      <c r="AH831" s="1">
        <v>0.44231163249998723</v>
      </c>
      <c r="AI831" s="10">
        <v>18.420353554616394</v>
      </c>
      <c r="AJ831" s="32">
        <v>1801.1845465183471</v>
      </c>
      <c r="AK831">
        <v>320</v>
      </c>
      <c r="AL831" s="7">
        <v>0.23992416480666601</v>
      </c>
    </row>
    <row r="832" spans="28:38" x14ac:dyDescent="0.3">
      <c r="AB832">
        <v>827</v>
      </c>
      <c r="AC832" s="7">
        <v>0.72025944848359458</v>
      </c>
      <c r="AD832">
        <v>1.9525871914438528</v>
      </c>
      <c r="AE832">
        <v>0.95443048371482131</v>
      </c>
      <c r="AF832" s="7">
        <v>4.664046852114246E-2</v>
      </c>
      <c r="AG832" s="10">
        <v>122.21608197736552</v>
      </c>
      <c r="AH832" s="1">
        <v>1.4519388899106591</v>
      </c>
      <c r="AI832" s="10">
        <v>185.64190280347725</v>
      </c>
      <c r="AJ832" s="32">
        <v>1766.5083845466445</v>
      </c>
      <c r="AK832">
        <v>320</v>
      </c>
      <c r="AL832" s="7">
        <v>0.76166327616661833</v>
      </c>
    </row>
    <row r="833" spans="28:38" x14ac:dyDescent="0.3">
      <c r="AB833">
        <v>828</v>
      </c>
      <c r="AC833" s="7">
        <v>0.30303938858270607</v>
      </c>
      <c r="AD833">
        <v>0.55362363049983743</v>
      </c>
      <c r="AE833">
        <v>0.94928209389842144</v>
      </c>
      <c r="AF833" s="7">
        <v>5.2049270698889614E-2</v>
      </c>
      <c r="AG833" s="10">
        <v>123.88359590545193</v>
      </c>
      <c r="AH833" s="1">
        <v>0.21848767259318727</v>
      </c>
      <c r="AI833" s="10">
        <v>4.9626492729282301</v>
      </c>
      <c r="AJ833" s="32">
        <v>1780.0751445786975</v>
      </c>
      <c r="AK833">
        <v>320</v>
      </c>
      <c r="AL833" s="7">
        <v>0.1245322407166141</v>
      </c>
    </row>
    <row r="834" spans="28:38" x14ac:dyDescent="0.3">
      <c r="AB834">
        <v>829</v>
      </c>
      <c r="AC834" s="7">
        <v>0.34618019451693316</v>
      </c>
      <c r="AD834">
        <v>0.64167525301897455</v>
      </c>
      <c r="AE834">
        <v>0.94759616853331297</v>
      </c>
      <c r="AF834" s="7">
        <v>5.3826850043256984E-2</v>
      </c>
      <c r="AG834" s="10">
        <v>119.57754740293686</v>
      </c>
      <c r="AH834" s="1">
        <v>0.27453909537349797</v>
      </c>
      <c r="AI834" s="10">
        <v>7.8051158339988165</v>
      </c>
      <c r="AJ834" s="32">
        <v>1801.2524564080204</v>
      </c>
      <c r="AK834">
        <v>320</v>
      </c>
      <c r="AL834" s="7">
        <v>0.15617614088344706</v>
      </c>
    </row>
    <row r="835" spans="28:38" x14ac:dyDescent="0.3">
      <c r="AB835">
        <v>830</v>
      </c>
      <c r="AC835" s="7">
        <v>0.2020605820231329</v>
      </c>
      <c r="AD835">
        <v>0.40190025563101778</v>
      </c>
      <c r="AE835">
        <v>0.95218437360566643</v>
      </c>
      <c r="AF835" s="7">
        <v>4.8996593188486183E-2</v>
      </c>
      <c r="AG835" s="10">
        <v>135.99372792208322</v>
      </c>
      <c r="AH835" s="1">
        <v>0.12902382596238293</v>
      </c>
      <c r="AI835" s="10">
        <v>2.1652208677168741</v>
      </c>
      <c r="AJ835" s="32">
        <v>1805.3385314421214</v>
      </c>
      <c r="AK835">
        <v>320</v>
      </c>
      <c r="AL835" s="7">
        <v>8.2257614915673502E-2</v>
      </c>
    </row>
    <row r="836" spans="28:38" x14ac:dyDescent="0.3">
      <c r="AB836">
        <v>831</v>
      </c>
      <c r="AC836" s="7">
        <v>0.69870541534503727</v>
      </c>
      <c r="AD836">
        <v>1.9538480227109838</v>
      </c>
      <c r="AE836">
        <v>0.94913829296971364</v>
      </c>
      <c r="AF836" s="7">
        <v>5.2200766047314592E-2</v>
      </c>
      <c r="AG836" s="10">
        <v>116.85650188910871</v>
      </c>
      <c r="AH836" s="1">
        <v>1.4160259012596441</v>
      </c>
      <c r="AI836" s="10">
        <v>148.82229516238493</v>
      </c>
      <c r="AJ836" s="32">
        <v>1752.9013628692171</v>
      </c>
      <c r="AK836">
        <v>320</v>
      </c>
      <c r="AL836" s="7">
        <v>0.68196016920524982</v>
      </c>
    </row>
    <row r="837" spans="28:38" x14ac:dyDescent="0.3">
      <c r="AB837">
        <v>832</v>
      </c>
      <c r="AC837" s="7">
        <v>0.45478691483150041</v>
      </c>
      <c r="AD837">
        <v>0.83201738132368352</v>
      </c>
      <c r="AE837">
        <v>0.95266975006626808</v>
      </c>
      <c r="AF837" s="7">
        <v>4.8486972567069894E-2</v>
      </c>
      <c r="AG837" s="10">
        <v>125.2146688466843</v>
      </c>
      <c r="AH837" s="1">
        <v>0.42572086787211399</v>
      </c>
      <c r="AI837" s="10">
        <v>18.38789637540663</v>
      </c>
      <c r="AJ837" s="32">
        <v>1773.7549426735914</v>
      </c>
      <c r="AK837">
        <v>320</v>
      </c>
      <c r="AL837" s="7">
        <v>0.23971269506045298</v>
      </c>
    </row>
    <row r="838" spans="28:38" x14ac:dyDescent="0.3">
      <c r="AB838">
        <v>833</v>
      </c>
      <c r="AC838" s="7">
        <v>0.35367219018836987</v>
      </c>
      <c r="AD838">
        <v>0.57611200150146435</v>
      </c>
      <c r="AE838">
        <v>0.95541574772906712</v>
      </c>
      <c r="AF838" s="7">
        <v>4.5608695297277568E-2</v>
      </c>
      <c r="AG838" s="10">
        <v>128.50262052529467</v>
      </c>
      <c r="AH838" s="1">
        <v>0.2483390456357612</v>
      </c>
      <c r="AI838" s="10">
        <v>7.0266382951495103</v>
      </c>
      <c r="AJ838" s="32">
        <v>1751.5513103159644</v>
      </c>
      <c r="AK838">
        <v>320</v>
      </c>
      <c r="AL838" s="7">
        <v>0.1481831457094302</v>
      </c>
    </row>
    <row r="839" spans="28:38" x14ac:dyDescent="0.3">
      <c r="AB839">
        <v>834</v>
      </c>
      <c r="AC839" s="7">
        <v>0.64121964463829006</v>
      </c>
      <c r="AD839">
        <v>1.3748690975332216</v>
      </c>
      <c r="AE839">
        <v>0.95960168223416265</v>
      </c>
      <c r="AF839" s="7">
        <v>4.1236994960440684E-2</v>
      </c>
      <c r="AG839" s="10">
        <v>131.3427384197478</v>
      </c>
      <c r="AH839" s="1">
        <v>0.92199139191025625</v>
      </c>
      <c r="AI839" s="10">
        <v>90.358474329721446</v>
      </c>
      <c r="AJ839" s="32">
        <v>1762.3650433743319</v>
      </c>
      <c r="AK839">
        <v>320</v>
      </c>
      <c r="AL839" s="7">
        <v>0.53138520141266588</v>
      </c>
    </row>
    <row r="840" spans="28:38" x14ac:dyDescent="0.3">
      <c r="AB840">
        <v>835</v>
      </c>
      <c r="AC840" s="7">
        <v>0.41621756261683407</v>
      </c>
      <c r="AD840">
        <v>0.76756682733369197</v>
      </c>
      <c r="AE840">
        <v>0.95084996642385977</v>
      </c>
      <c r="AF840" s="7">
        <v>5.0398992895563405E-2</v>
      </c>
      <c r="AG840" s="10">
        <v>126.59364851631466</v>
      </c>
      <c r="AH840" s="1">
        <v>0.36862482759450582</v>
      </c>
      <c r="AI840" s="10">
        <v>14.806033565391289</v>
      </c>
      <c r="AJ840" s="32">
        <v>1813.4311974474056</v>
      </c>
      <c r="AK840">
        <v>320</v>
      </c>
      <c r="AL840" s="7">
        <v>0.21510196394233078</v>
      </c>
    </row>
    <row r="841" spans="28:38" x14ac:dyDescent="0.3">
      <c r="AB841">
        <v>836</v>
      </c>
      <c r="AC841" s="7">
        <v>0.28367304387318248</v>
      </c>
      <c r="AD841">
        <v>0.55071262531210863</v>
      </c>
      <c r="AE841">
        <v>0.94567834492220826</v>
      </c>
      <c r="AF841" s="7">
        <v>5.585278368725357E-2</v>
      </c>
      <c r="AG841" s="10">
        <v>118.60762606939917</v>
      </c>
      <c r="AH841" s="1">
        <v>0.21054398179946904</v>
      </c>
      <c r="AI841" s="10">
        <v>4.3810998035343687</v>
      </c>
      <c r="AJ841" s="32">
        <v>1791.2698296433568</v>
      </c>
      <c r="AK841">
        <v>320</v>
      </c>
      <c r="AL841" s="7">
        <v>0.11700827699801797</v>
      </c>
    </row>
    <row r="842" spans="28:38" x14ac:dyDescent="0.3">
      <c r="AB842">
        <v>837</v>
      </c>
      <c r="AC842" s="7">
        <v>0.69545292145864446</v>
      </c>
      <c r="AD842">
        <v>1.8964174454332114</v>
      </c>
      <c r="AE842">
        <v>0.95142417410064783</v>
      </c>
      <c r="AF842" s="7">
        <v>4.9795286329832072E-2</v>
      </c>
      <c r="AG842" s="10">
        <v>121.40549112520549</v>
      </c>
      <c r="AH842" s="1">
        <v>1.3674448786310185</v>
      </c>
      <c r="AI842" s="10">
        <v>158.81451329558683</v>
      </c>
      <c r="AJ842" s="32">
        <v>1785.0711884389793</v>
      </c>
      <c r="AK842">
        <v>320</v>
      </c>
      <c r="AL842" s="7">
        <v>0.70448233054400222</v>
      </c>
    </row>
    <row r="843" spans="28:38" x14ac:dyDescent="0.3">
      <c r="AB843">
        <v>838</v>
      </c>
      <c r="AC843" s="7">
        <v>0.65148638432703121</v>
      </c>
      <c r="AD843">
        <v>1.94576049917938</v>
      </c>
      <c r="AE843">
        <v>0.93939878281129052</v>
      </c>
      <c r="AF843" s="7">
        <v>6.2515201098735665E-2</v>
      </c>
      <c r="AG843" s="10">
        <v>114.30216326864563</v>
      </c>
      <c r="AH843" s="1">
        <v>1.3282376895654431</v>
      </c>
      <c r="AI843" s="10">
        <v>112.65152766874778</v>
      </c>
      <c r="AJ843" s="32">
        <v>1792.1993433480229</v>
      </c>
      <c r="AK843">
        <v>320</v>
      </c>
      <c r="AL843" s="7">
        <v>0.59332623738111967</v>
      </c>
    </row>
    <row r="844" spans="28:38" x14ac:dyDescent="0.3">
      <c r="AB844">
        <v>839</v>
      </c>
      <c r="AC844" s="7">
        <v>7.2066952804368062E-2</v>
      </c>
      <c r="AD844">
        <v>0.3362447724261855</v>
      </c>
      <c r="AE844">
        <v>0.94124830551297012</v>
      </c>
      <c r="AF844" s="7">
        <v>6.054830012147875E-2</v>
      </c>
      <c r="AG844" s="10">
        <v>120.51034314457733</v>
      </c>
      <c r="AH844" s="1">
        <v>8.2983830632183272E-2</v>
      </c>
      <c r="AI844" s="10">
        <v>0.71404299992757891</v>
      </c>
      <c r="AJ844" s="32">
        <v>1806.9425477376496</v>
      </c>
      <c r="AK844">
        <v>320</v>
      </c>
      <c r="AL844" s="7">
        <v>4.7237531421251089E-2</v>
      </c>
    </row>
    <row r="845" spans="28:38" x14ac:dyDescent="0.3">
      <c r="AB845">
        <v>840</v>
      </c>
      <c r="AC845" s="7">
        <v>0.36712970640223402</v>
      </c>
      <c r="AD845">
        <v>0.62179479943805704</v>
      </c>
      <c r="AE845">
        <v>0.95291297223272431</v>
      </c>
      <c r="AF845" s="7">
        <v>4.8231699295612461E-2</v>
      </c>
      <c r="AG845" s="10">
        <v>122.80218633852159</v>
      </c>
      <c r="AH845" s="1">
        <v>0.2753663699274056</v>
      </c>
      <c r="AI845" s="10">
        <v>8.0786702254380049</v>
      </c>
      <c r="AJ845" s="32">
        <v>1755.6417399525221</v>
      </c>
      <c r="AK845">
        <v>320</v>
      </c>
      <c r="AL845" s="7">
        <v>0.15888940951018027</v>
      </c>
    </row>
    <row r="846" spans="28:38" x14ac:dyDescent="0.3">
      <c r="AB846">
        <v>841</v>
      </c>
      <c r="AC846" s="7">
        <v>0.65926581377877402</v>
      </c>
      <c r="AD846">
        <v>1.5482403773148365</v>
      </c>
      <c r="AE846">
        <v>0.95598790333073946</v>
      </c>
      <c r="AF846" s="7">
        <v>4.5010019430519549E-2</v>
      </c>
      <c r="AG846" s="10">
        <v>125.54246479127215</v>
      </c>
      <c r="AH846" s="1">
        <v>1.0647140489448823</v>
      </c>
      <c r="AI846" s="10">
        <v>95.798133805347234</v>
      </c>
      <c r="AJ846" s="32">
        <v>1727.7885201198917</v>
      </c>
      <c r="AK846">
        <v>320</v>
      </c>
      <c r="AL846" s="7">
        <v>0.54714638639189617</v>
      </c>
    </row>
    <row r="847" spans="28:38" x14ac:dyDescent="0.3">
      <c r="AB847">
        <v>842</v>
      </c>
      <c r="AC847" s="7">
        <v>0.73784571763117124</v>
      </c>
      <c r="AD847">
        <v>1.9473360108722839</v>
      </c>
      <c r="AE847">
        <v>0.95667151916438975</v>
      </c>
      <c r="AF847" s="7">
        <v>4.4295186612172494E-2</v>
      </c>
      <c r="AG847" s="10">
        <v>119.78330119882089</v>
      </c>
      <c r="AH847" s="1">
        <v>1.4801620172466929</v>
      </c>
      <c r="AI847" s="10">
        <v>257.81105473546802</v>
      </c>
      <c r="AJ847" s="32">
        <v>1822.388804263858</v>
      </c>
      <c r="AK847">
        <v>320</v>
      </c>
      <c r="AL847" s="7">
        <v>0.89758539763542144</v>
      </c>
    </row>
    <row r="848" spans="28:38" x14ac:dyDescent="0.3">
      <c r="AB848">
        <v>843</v>
      </c>
      <c r="AC848" s="7">
        <v>0.52344213815795115</v>
      </c>
      <c r="AD848">
        <v>1.0884907068401035</v>
      </c>
      <c r="AE848">
        <v>0.94889577773676659</v>
      </c>
      <c r="AF848" s="7">
        <v>5.245630965215254E-2</v>
      </c>
      <c r="AG848" s="10">
        <v>118.0160061717005</v>
      </c>
      <c r="AH848" s="1">
        <v>0.62086612521667683</v>
      </c>
      <c r="AI848" s="10">
        <v>34.6244030403154</v>
      </c>
      <c r="AJ848" s="32">
        <v>1779.3305884678139</v>
      </c>
      <c r="AK848">
        <v>320</v>
      </c>
      <c r="AL848" s="7">
        <v>0.32893959856026095</v>
      </c>
    </row>
    <row r="849" spans="28:38" x14ac:dyDescent="0.3">
      <c r="AB849">
        <v>844</v>
      </c>
      <c r="AC849" s="7">
        <v>0.5259547066734338</v>
      </c>
      <c r="AD849">
        <v>1.0879860318796866</v>
      </c>
      <c r="AE849">
        <v>0.94982780011877543</v>
      </c>
      <c r="AF849" s="7">
        <v>5.1474573850547517E-2</v>
      </c>
      <c r="AG849" s="10">
        <v>120.02825230114647</v>
      </c>
      <c r="AH849" s="1">
        <v>0.62240357414329828</v>
      </c>
      <c r="AI849" s="10">
        <v>38.8998584984909</v>
      </c>
      <c r="AJ849" s="32">
        <v>1810.7864738037133</v>
      </c>
      <c r="AK849">
        <v>320</v>
      </c>
      <c r="AL849" s="7">
        <v>0.34865750788959654</v>
      </c>
    </row>
    <row r="850" spans="28:38" x14ac:dyDescent="0.3">
      <c r="AB850">
        <v>845</v>
      </c>
      <c r="AC850" s="7">
        <v>0.38728105080335545</v>
      </c>
      <c r="AD850">
        <v>0.63835750474767361</v>
      </c>
      <c r="AE850">
        <v>0.95608549103031104</v>
      </c>
      <c r="AF850" s="7">
        <v>4.4907944165057348E-2</v>
      </c>
      <c r="AG850" s="10">
        <v>132.18312200923782</v>
      </c>
      <c r="AH850" s="1">
        <v>0.29113827419657595</v>
      </c>
      <c r="AI850" s="10">
        <v>11.62802329903019</v>
      </c>
      <c r="AJ850" s="32">
        <v>1820.1930950517374</v>
      </c>
      <c r="AK850">
        <v>320</v>
      </c>
      <c r="AL850" s="7">
        <v>0.19062416638367063</v>
      </c>
    </row>
    <row r="851" spans="28:38" x14ac:dyDescent="0.3">
      <c r="AB851">
        <v>846</v>
      </c>
      <c r="AC851" s="7">
        <v>0.78738905603616693</v>
      </c>
      <c r="AD851">
        <v>2.575775722853713</v>
      </c>
      <c r="AE851">
        <v>0.95176119395067005</v>
      </c>
      <c r="AF851" s="7">
        <v>4.9441122348537855E-2</v>
      </c>
      <c r="AG851" s="10">
        <v>118.87707355392979</v>
      </c>
      <c r="AH851" s="1">
        <v>2.0763764210279905</v>
      </c>
      <c r="AI851" s="10">
        <v>329.9744949949569</v>
      </c>
      <c r="AJ851" s="32">
        <v>1759.8112828158087</v>
      </c>
      <c r="AK851">
        <v>320</v>
      </c>
      <c r="AL851" s="7">
        <v>1.015465556707484</v>
      </c>
    </row>
    <row r="852" spans="28:38" x14ac:dyDescent="0.3">
      <c r="AB852">
        <v>847</v>
      </c>
      <c r="AC852" s="7">
        <v>0.78560593253403754</v>
      </c>
      <c r="AD852">
        <v>2.5601085234064058</v>
      </c>
      <c r="AE852">
        <v>0.95139130760858914</v>
      </c>
      <c r="AF852" s="7">
        <v>4.982983144718884E-2</v>
      </c>
      <c r="AG852" s="10">
        <v>117.80573319724611</v>
      </c>
      <c r="AH852" s="1">
        <v>2.0598451363104378</v>
      </c>
      <c r="AI852" s="10">
        <v>343.92735055003794</v>
      </c>
      <c r="AJ852" s="32">
        <v>1777.7011546924659</v>
      </c>
      <c r="AK852">
        <v>320</v>
      </c>
      <c r="AL852" s="7">
        <v>1.0367125785235118</v>
      </c>
    </row>
    <row r="853" spans="28:38" x14ac:dyDescent="0.3">
      <c r="AB853">
        <v>848</v>
      </c>
      <c r="AC853" s="7">
        <v>0.57947677142607945</v>
      </c>
      <c r="AD853">
        <v>1.1861393957599546</v>
      </c>
      <c r="AE853">
        <v>0.95605904267559638</v>
      </c>
      <c r="AF853" s="7">
        <v>4.4935607716896794E-2</v>
      </c>
      <c r="AG853" s="10">
        <v>128.06901492701456</v>
      </c>
      <c r="AH853" s="1">
        <v>0.73128118484066285</v>
      </c>
      <c r="AI853" s="10">
        <v>53.154855322676617</v>
      </c>
      <c r="AJ853" s="32">
        <v>1764.4322550061472</v>
      </c>
      <c r="AK853">
        <v>320</v>
      </c>
      <c r="AL853" s="7">
        <v>0.40756462418046591</v>
      </c>
    </row>
    <row r="854" spans="28:38" x14ac:dyDescent="0.3">
      <c r="AB854">
        <v>849</v>
      </c>
      <c r="AC854" s="7">
        <v>0.36793263958629313</v>
      </c>
      <c r="AD854">
        <v>0.72824425115395308</v>
      </c>
      <c r="AE854">
        <v>0.94298938173864499</v>
      </c>
      <c r="AF854" s="7">
        <v>5.8700256498347349E-2</v>
      </c>
      <c r="AG854" s="10">
        <v>113.33534347244428</v>
      </c>
      <c r="AH854" s="1">
        <v>0.32495544785197233</v>
      </c>
      <c r="AI854" s="10">
        <v>8.4866502950435869</v>
      </c>
      <c r="AJ854" s="32">
        <v>1762.5405745500834</v>
      </c>
      <c r="AK854">
        <v>320</v>
      </c>
      <c r="AL854" s="7">
        <v>0.16285202538504459</v>
      </c>
    </row>
    <row r="855" spans="28:38" x14ac:dyDescent="0.3">
      <c r="AB855">
        <v>850</v>
      </c>
      <c r="AC855" s="7">
        <v>0.52647325008422685</v>
      </c>
      <c r="AD855">
        <v>0.92909959401532183</v>
      </c>
      <c r="AE855">
        <v>0.95992434100067636</v>
      </c>
      <c r="AF855" s="7">
        <v>4.0900809083670026E-2</v>
      </c>
      <c r="AG855" s="10">
        <v>134.52451211481323</v>
      </c>
      <c r="AH855" s="1">
        <v>0.52922174191250582</v>
      </c>
      <c r="AI855" s="10">
        <v>37.882837518016657</v>
      </c>
      <c r="AJ855" s="32">
        <v>1807.8194049592353</v>
      </c>
      <c r="AK855">
        <v>320</v>
      </c>
      <c r="AL855" s="7">
        <v>0.34406956744792477</v>
      </c>
    </row>
    <row r="856" spans="28:38" x14ac:dyDescent="0.3">
      <c r="AB856">
        <v>851</v>
      </c>
      <c r="AC856" s="7">
        <v>0.43796702916882896</v>
      </c>
      <c r="AD856">
        <v>0.96466570528994877</v>
      </c>
      <c r="AE856">
        <v>0.93916294764096475</v>
      </c>
      <c r="AF856" s="7">
        <v>6.2766281665045234E-2</v>
      </c>
      <c r="AG856" s="10">
        <v>113.53228760996072</v>
      </c>
      <c r="AH856" s="1">
        <v>0.4833288254459272</v>
      </c>
      <c r="AI856" s="10">
        <v>17.023715694424663</v>
      </c>
      <c r="AJ856" s="32">
        <v>1787.740899013033</v>
      </c>
      <c r="AK856">
        <v>320</v>
      </c>
      <c r="AL856" s="7">
        <v>0.23064932591507192</v>
      </c>
    </row>
    <row r="857" spans="28:38" x14ac:dyDescent="0.3">
      <c r="AB857">
        <v>852</v>
      </c>
      <c r="AC857" s="7">
        <v>0.69406980362726844</v>
      </c>
      <c r="AD857">
        <v>1.5659133908386103</v>
      </c>
      <c r="AE857">
        <v>0.96302685394017395</v>
      </c>
      <c r="AF857" s="7">
        <v>3.7673981861311288E-2</v>
      </c>
      <c r="AG857" s="10">
        <v>136.89985504963349</v>
      </c>
      <c r="AH857" s="1">
        <v>1.1238263457364903</v>
      </c>
      <c r="AI857" s="10">
        <v>155.65706859763498</v>
      </c>
      <c r="AJ857" s="32">
        <v>1789.9999850730946</v>
      </c>
      <c r="AK857">
        <v>320</v>
      </c>
      <c r="AL857" s="7">
        <v>0.69744414784813369</v>
      </c>
    </row>
    <row r="858" spans="28:38" x14ac:dyDescent="0.3">
      <c r="AB858">
        <v>853</v>
      </c>
      <c r="AC858" s="7">
        <v>0.59656369717177971</v>
      </c>
      <c r="AD858">
        <v>1.271459828471212</v>
      </c>
      <c r="AE858">
        <v>0.95431141676754527</v>
      </c>
      <c r="AF858" s="7">
        <v>4.6765228131019923E-2</v>
      </c>
      <c r="AG858" s="10">
        <v>122.42800431567704</v>
      </c>
      <c r="AH858" s="1">
        <v>0.80419535931063779</v>
      </c>
      <c r="AI858" s="10">
        <v>75.886450146942096</v>
      </c>
      <c r="AJ858" s="32">
        <v>1828.0161182523682</v>
      </c>
      <c r="AK858">
        <v>320</v>
      </c>
      <c r="AL858" s="7">
        <v>0.48697551962002572</v>
      </c>
    </row>
    <row r="859" spans="28:38" x14ac:dyDescent="0.3">
      <c r="AB859">
        <v>854</v>
      </c>
      <c r="AC859" s="7">
        <v>0.53421373747111989</v>
      </c>
      <c r="AD859">
        <v>1.0770727701844474</v>
      </c>
      <c r="AE859">
        <v>0.95171589680849589</v>
      </c>
      <c r="AF859" s="7">
        <v>4.9488716451353824E-2</v>
      </c>
      <c r="AG859" s="10">
        <v>120.21966949769677</v>
      </c>
      <c r="AH859" s="1">
        <v>0.62367117328011035</v>
      </c>
      <c r="AI859" s="10">
        <v>34.539978565630427</v>
      </c>
      <c r="AJ859" s="32">
        <v>1749.9245259141085</v>
      </c>
      <c r="AK859">
        <v>320</v>
      </c>
      <c r="AL859" s="7">
        <v>0.32853832807998989</v>
      </c>
    </row>
    <row r="860" spans="28:38" x14ac:dyDescent="0.3">
      <c r="AB860">
        <v>855</v>
      </c>
      <c r="AC860" s="7">
        <v>0.81400832067932072</v>
      </c>
      <c r="AD860">
        <v>2.838508526643444</v>
      </c>
      <c r="AE860">
        <v>0.95205245127486571</v>
      </c>
      <c r="AF860" s="7">
        <v>4.9135149831534046E-2</v>
      </c>
      <c r="AG860" s="10">
        <v>119.79711196505531</v>
      </c>
      <c r="AH860" s="1">
        <v>2.358517107732097</v>
      </c>
      <c r="AI860" s="10">
        <v>364.82329485667458</v>
      </c>
      <c r="AJ860" s="32">
        <v>1717.3925884318105</v>
      </c>
      <c r="AK860">
        <v>320</v>
      </c>
      <c r="AL860" s="7">
        <v>1.0677419147093121</v>
      </c>
    </row>
    <row r="861" spans="28:38" x14ac:dyDescent="0.3">
      <c r="AB861">
        <v>856</v>
      </c>
      <c r="AC861" s="7">
        <v>0.90436045208274329</v>
      </c>
      <c r="AD861">
        <v>3.1470955230546216</v>
      </c>
      <c r="AE861">
        <v>0.96523441049702408</v>
      </c>
      <c r="AF861" s="7">
        <v>3.5384294709449739E-2</v>
      </c>
      <c r="AG861" s="10">
        <v>132.20568066917409</v>
      </c>
      <c r="AH861" s="1">
        <v>2.8808743194802311</v>
      </c>
      <c r="AI861" s="10">
        <v>1005.8631653232452</v>
      </c>
      <c r="AJ861" s="32">
        <v>1795.6787522411366</v>
      </c>
      <c r="AK861">
        <v>320</v>
      </c>
      <c r="AL861" s="7">
        <v>1.7729417338522835</v>
      </c>
    </row>
    <row r="862" spans="28:38" x14ac:dyDescent="0.3">
      <c r="AB862">
        <v>857</v>
      </c>
      <c r="AC862" s="7">
        <v>0.58181471133153773</v>
      </c>
      <c r="AD862">
        <v>1.4399930695374039</v>
      </c>
      <c r="AE862">
        <v>0.94328368572789034</v>
      </c>
      <c r="AF862" s="7">
        <v>5.8388208368403194E-2</v>
      </c>
      <c r="AG862" s="10">
        <v>114.51875663900448</v>
      </c>
      <c r="AH862" s="1">
        <v>0.8945254663444292</v>
      </c>
      <c r="AI862" s="10">
        <v>54.608852493313726</v>
      </c>
      <c r="AJ862" s="32">
        <v>1757.884240771825</v>
      </c>
      <c r="AK862">
        <v>320</v>
      </c>
      <c r="AL862" s="7">
        <v>0.41310127576855216</v>
      </c>
    </row>
    <row r="863" spans="28:38" x14ac:dyDescent="0.3">
      <c r="AB863">
        <v>858</v>
      </c>
      <c r="AC863" s="7">
        <v>1.7546049378378743E-2</v>
      </c>
      <c r="AD863">
        <v>0.28373644835459555</v>
      </c>
      <c r="AE863">
        <v>0.94362184662496151</v>
      </c>
      <c r="AF863" s="7">
        <v>5.8029779295094112E-2</v>
      </c>
      <c r="AG863" s="10">
        <v>124.31297547951391</v>
      </c>
      <c r="AH863" s="1">
        <v>6.1356607108314032E-2</v>
      </c>
      <c r="AI863" s="10">
        <v>0.37695403896419039</v>
      </c>
      <c r="AJ863" s="32">
        <v>1758.3209112926911</v>
      </c>
      <c r="AK863">
        <v>320</v>
      </c>
      <c r="AL863" s="7">
        <v>3.4321733227841142E-2</v>
      </c>
    </row>
    <row r="864" spans="28:38" x14ac:dyDescent="0.3">
      <c r="AB864">
        <v>859</v>
      </c>
      <c r="AC864" s="7">
        <v>1.0239144713267265</v>
      </c>
      <c r="AD864">
        <v>5.2447606551993786</v>
      </c>
      <c r="AE864">
        <v>0.9604287841179876</v>
      </c>
      <c r="AF864" s="7">
        <v>4.0375444115825783E-2</v>
      </c>
      <c r="AG864" s="10">
        <v>121.87506374201018</v>
      </c>
      <c r="AH864" s="1">
        <v>5.4097575493856995</v>
      </c>
      <c r="AI864" s="10">
        <v>2380.2435654925671</v>
      </c>
      <c r="AJ864" s="32">
        <v>1731.7059339505188</v>
      </c>
      <c r="AK864">
        <v>320</v>
      </c>
      <c r="AL864" s="7">
        <v>2.7273175726644436</v>
      </c>
    </row>
    <row r="865" spans="28:38" x14ac:dyDescent="0.3">
      <c r="AB865">
        <v>860</v>
      </c>
      <c r="AC865" s="7">
        <v>0.3125058352941445</v>
      </c>
      <c r="AD865">
        <v>0.66257793841629542</v>
      </c>
      <c r="AE865">
        <v>0.93862643149194747</v>
      </c>
      <c r="AF865" s="7">
        <v>6.3337715468621616E-2</v>
      </c>
      <c r="AG865" s="10">
        <v>112.38191074400947</v>
      </c>
      <c r="AH865" s="1">
        <v>0.26843304060030915</v>
      </c>
      <c r="AI865" s="10">
        <v>6.3806342274437258</v>
      </c>
      <c r="AJ865" s="32">
        <v>1825.5558958669819</v>
      </c>
      <c r="AK865">
        <v>320</v>
      </c>
      <c r="AL865" s="7">
        <v>0.14120723055411022</v>
      </c>
    </row>
    <row r="866" spans="28:38" x14ac:dyDescent="0.3">
      <c r="AB866">
        <v>861</v>
      </c>
      <c r="AC866" s="7">
        <v>0.83546682124314364</v>
      </c>
      <c r="AD866">
        <v>3.2032668935338591</v>
      </c>
      <c r="AE866">
        <v>0.94856497716708721</v>
      </c>
      <c r="AF866" s="7">
        <v>5.2804986769374479E-2</v>
      </c>
      <c r="AG866" s="10">
        <v>115.91846092708539</v>
      </c>
      <c r="AH866" s="1">
        <v>2.7276582319670455</v>
      </c>
      <c r="AI866" s="10">
        <v>560.64559319953503</v>
      </c>
      <c r="AJ866" s="32">
        <v>1792.0495112599665</v>
      </c>
      <c r="AK866">
        <v>320</v>
      </c>
      <c r="AL866" s="7">
        <v>1.3236379711796376</v>
      </c>
    </row>
    <row r="867" spans="28:38" x14ac:dyDescent="0.3">
      <c r="AB867">
        <v>862</v>
      </c>
      <c r="AC867" s="7">
        <v>0.5705808778401732</v>
      </c>
      <c r="AD867">
        <v>1.0392158173143589</v>
      </c>
      <c r="AE867">
        <v>0.96210621221276327</v>
      </c>
      <c r="AF867" s="7">
        <v>3.8630426705337582E-2</v>
      </c>
      <c r="AG867" s="10">
        <v>138.21419324425375</v>
      </c>
      <c r="AH867" s="1">
        <v>0.63085046109585663</v>
      </c>
      <c r="AI867" s="10">
        <v>52.364954996512282</v>
      </c>
      <c r="AJ867" s="32">
        <v>1788.9410112210085</v>
      </c>
      <c r="AK867">
        <v>320</v>
      </c>
      <c r="AL867" s="7">
        <v>0.40452501080168196</v>
      </c>
    </row>
    <row r="868" spans="28:38" x14ac:dyDescent="0.3">
      <c r="AB868">
        <v>863</v>
      </c>
      <c r="AC868" s="7">
        <v>0.57404006807027907</v>
      </c>
      <c r="AD868">
        <v>1.2491180625127569</v>
      </c>
      <c r="AE868">
        <v>0.95169718198757902</v>
      </c>
      <c r="AF868" s="7">
        <v>4.9508380938401798E-2</v>
      </c>
      <c r="AG868" s="10">
        <v>123.09695539868386</v>
      </c>
      <c r="AH868" s="1">
        <v>0.76534663564505911</v>
      </c>
      <c r="AI868" s="10">
        <v>49.06305814833793</v>
      </c>
      <c r="AJ868" s="32">
        <v>1751.5280544115453</v>
      </c>
      <c r="AK868">
        <v>320</v>
      </c>
      <c r="AL868" s="7">
        <v>0.39156360493993314</v>
      </c>
    </row>
    <row r="869" spans="28:38" x14ac:dyDescent="0.3">
      <c r="AB869">
        <v>864</v>
      </c>
      <c r="AC869" s="7">
        <v>0.7931374353115217</v>
      </c>
      <c r="AD869">
        <v>2.7124887721539537</v>
      </c>
      <c r="AE869">
        <v>0.94894943110519914</v>
      </c>
      <c r="AF869" s="7">
        <v>5.2399768298624992E-2</v>
      </c>
      <c r="AG869" s="10">
        <v>115.16181169076823</v>
      </c>
      <c r="AH869" s="1">
        <v>2.2024269569522863</v>
      </c>
      <c r="AI869" s="10">
        <v>437.48626999167089</v>
      </c>
      <c r="AJ869" s="32">
        <v>1831.7564543187832</v>
      </c>
      <c r="AK869">
        <v>320</v>
      </c>
      <c r="AL869" s="7">
        <v>1.1692495857275176</v>
      </c>
    </row>
    <row r="870" spans="28:38" x14ac:dyDescent="0.3">
      <c r="AB870">
        <v>865</v>
      </c>
      <c r="AC870" s="7">
        <v>0.37575273064487391</v>
      </c>
      <c r="AD870">
        <v>0.73149577661817256</v>
      </c>
      <c r="AE870">
        <v>0.94525077355512344</v>
      </c>
      <c r="AF870" s="7">
        <v>5.6305017851076923E-2</v>
      </c>
      <c r="AG870" s="10">
        <v>118.8039695881825</v>
      </c>
      <c r="AH870" s="1">
        <v>0.32961076196434763</v>
      </c>
      <c r="AI870" s="10">
        <v>9.6370834014467999</v>
      </c>
      <c r="AJ870" s="32">
        <v>1784.8951602353306</v>
      </c>
      <c r="AK870">
        <v>320</v>
      </c>
      <c r="AL870" s="7">
        <v>0.17353929131329668</v>
      </c>
    </row>
    <row r="871" spans="28:38" x14ac:dyDescent="0.3">
      <c r="AB871">
        <v>866</v>
      </c>
      <c r="AC871" s="7">
        <v>0.63360237579936463</v>
      </c>
      <c r="AD871">
        <v>1.4097278883948137</v>
      </c>
      <c r="AE871">
        <v>0.95612723942895572</v>
      </c>
      <c r="AF871" s="7">
        <v>4.4864279150191255E-2</v>
      </c>
      <c r="AG871" s="10">
        <v>125.44342083106876</v>
      </c>
      <c r="AH871" s="1">
        <v>0.93707969988861972</v>
      </c>
      <c r="AI871" s="10">
        <v>89.296625230208107</v>
      </c>
      <c r="AJ871" s="32">
        <v>1777.4236897811993</v>
      </c>
      <c r="AK871">
        <v>320</v>
      </c>
      <c r="AL871" s="7">
        <v>0.52825368322842803</v>
      </c>
    </row>
    <row r="872" spans="28:38" x14ac:dyDescent="0.3">
      <c r="AB872">
        <v>867</v>
      </c>
      <c r="AC872" s="7">
        <v>0.27334548558498456</v>
      </c>
      <c r="AD872">
        <v>0.57128727486884923</v>
      </c>
      <c r="AE872">
        <v>0.9412132275051952</v>
      </c>
      <c r="AF872" s="7">
        <v>6.0585568354761296E-2</v>
      </c>
      <c r="AG872" s="10">
        <v>114.77395660197514</v>
      </c>
      <c r="AH872" s="1">
        <v>0.21494557005235293</v>
      </c>
      <c r="AI872" s="10">
        <v>4.0232109535332619</v>
      </c>
      <c r="AJ872" s="32">
        <v>1790.0989784894332</v>
      </c>
      <c r="AK872">
        <v>320</v>
      </c>
      <c r="AL872" s="7">
        <v>0.11212731259506509</v>
      </c>
    </row>
    <row r="873" spans="28:38" x14ac:dyDescent="0.3">
      <c r="AB873">
        <v>868</v>
      </c>
      <c r="AC873" s="7">
        <v>0.5215604810961687</v>
      </c>
      <c r="AD873">
        <v>1.0892509669715671</v>
      </c>
      <c r="AE873">
        <v>0.94998580484209338</v>
      </c>
      <c r="AF873" s="7">
        <v>5.130823677066803E-2</v>
      </c>
      <c r="AG873" s="10">
        <v>124.07481278360407</v>
      </c>
      <c r="AH873" s="1">
        <v>0.61812445352606415</v>
      </c>
      <c r="AI873" s="10">
        <v>31.477487940775298</v>
      </c>
      <c r="AJ873" s="32">
        <v>1757.0850074299772</v>
      </c>
      <c r="AK873">
        <v>320</v>
      </c>
      <c r="AL873" s="7">
        <v>0.31363537717375378</v>
      </c>
    </row>
    <row r="874" spans="28:38" x14ac:dyDescent="0.3">
      <c r="AB874">
        <v>869</v>
      </c>
      <c r="AC874" s="7">
        <v>0.48430775437950763</v>
      </c>
      <c r="AD874">
        <v>0.85713827288902489</v>
      </c>
      <c r="AE874">
        <v>0.95706524143760108</v>
      </c>
      <c r="AF874" s="7">
        <v>4.3883716981790846E-2</v>
      </c>
      <c r="AG874" s="10">
        <v>132.69009742160392</v>
      </c>
      <c r="AH874" s="1">
        <v>0.45805347069801217</v>
      </c>
      <c r="AI874" s="10">
        <v>22.164011465927722</v>
      </c>
      <c r="AJ874" s="32">
        <v>1754.0591216115533</v>
      </c>
      <c r="AK874">
        <v>320</v>
      </c>
      <c r="AL874" s="7">
        <v>0.26317776469721776</v>
      </c>
    </row>
    <row r="875" spans="28:38" x14ac:dyDescent="0.3">
      <c r="AB875">
        <v>870</v>
      </c>
      <c r="AC875" s="7">
        <v>0.46828064234879729</v>
      </c>
      <c r="AD875">
        <v>0.91076026118579134</v>
      </c>
      <c r="AE875">
        <v>0.95089874943415342</v>
      </c>
      <c r="AF875" s="7">
        <v>5.0347689576783622E-2</v>
      </c>
      <c r="AG875" s="10">
        <v>127.60845481236571</v>
      </c>
      <c r="AH875" s="1">
        <v>0.47559265069968737</v>
      </c>
      <c r="AI875" s="10">
        <v>22.164180686838694</v>
      </c>
      <c r="AJ875" s="32">
        <v>1796.4347896374079</v>
      </c>
      <c r="AK875">
        <v>320</v>
      </c>
      <c r="AL875" s="7">
        <v>0.2631787693686003</v>
      </c>
    </row>
    <row r="876" spans="28:38" x14ac:dyDescent="0.3">
      <c r="AB876">
        <v>871</v>
      </c>
      <c r="AC876" s="7">
        <v>0.4304310653817231</v>
      </c>
      <c r="AD876">
        <v>0.7502966224934714</v>
      </c>
      <c r="AE876">
        <v>0.95405583484027046</v>
      </c>
      <c r="AF876" s="7">
        <v>4.7033082160256236E-2</v>
      </c>
      <c r="AG876" s="10">
        <v>126.41037069988353</v>
      </c>
      <c r="AH876" s="1">
        <v>0.36889513973190297</v>
      </c>
      <c r="AI876" s="10">
        <v>12.357257586188418</v>
      </c>
      <c r="AJ876" s="32">
        <v>1715.7315824460391</v>
      </c>
      <c r="AK876">
        <v>320</v>
      </c>
      <c r="AL876" s="7">
        <v>0.19651063573465635</v>
      </c>
    </row>
    <row r="877" spans="28:38" x14ac:dyDescent="0.3">
      <c r="AB877">
        <v>872</v>
      </c>
      <c r="AC877" s="7">
        <v>0.5663247370271669</v>
      </c>
      <c r="AD877">
        <v>1.2790851518450326</v>
      </c>
      <c r="AE877">
        <v>0.94989569775653693</v>
      </c>
      <c r="AF877" s="7">
        <v>5.1403092250339552E-2</v>
      </c>
      <c r="AG877" s="10">
        <v>125.81797848149513</v>
      </c>
      <c r="AH877" s="1">
        <v>0.77448186449745504</v>
      </c>
      <c r="AI877" s="10">
        <v>51.501600353323525</v>
      </c>
      <c r="AJ877" s="32">
        <v>1789.2207045352393</v>
      </c>
      <c r="AK877">
        <v>320</v>
      </c>
      <c r="AL877" s="7">
        <v>0.40117639649428033</v>
      </c>
    </row>
    <row r="878" spans="28:38" x14ac:dyDescent="0.3">
      <c r="AB878">
        <v>873</v>
      </c>
      <c r="AC878" s="7">
        <v>0.20744794941624212</v>
      </c>
      <c r="AD878">
        <v>0.47402311183932744</v>
      </c>
      <c r="AE878">
        <v>0.94216358257162802</v>
      </c>
      <c r="AF878" s="7">
        <v>5.9576364947340386E-2</v>
      </c>
      <c r="AG878" s="10">
        <v>120.10476792211814</v>
      </c>
      <c r="AH878" s="1">
        <v>0.15617153995534644</v>
      </c>
      <c r="AI878" s="10">
        <v>2.3248049645318529</v>
      </c>
      <c r="AJ878" s="32">
        <v>1803.5854005543288</v>
      </c>
      <c r="AK878">
        <v>320</v>
      </c>
      <c r="AL878" s="7">
        <v>8.5235060357590181E-2</v>
      </c>
    </row>
    <row r="879" spans="28:38" x14ac:dyDescent="0.3">
      <c r="AB879">
        <v>874</v>
      </c>
      <c r="AC879" s="7">
        <v>0.95970883715151445</v>
      </c>
      <c r="AD879">
        <v>4.0299508360113476</v>
      </c>
      <c r="AE879">
        <v>0.96252032211401695</v>
      </c>
      <c r="AF879" s="7">
        <v>3.820009915839976E-2</v>
      </c>
      <c r="AG879" s="10">
        <v>126.63267365721894</v>
      </c>
      <c r="AH879" s="1">
        <v>3.9050591084922073</v>
      </c>
      <c r="AI879" s="10">
        <v>1336.3119336388952</v>
      </c>
      <c r="AJ879" s="32">
        <v>1728.9905138085796</v>
      </c>
      <c r="AK879">
        <v>320</v>
      </c>
      <c r="AL879" s="7">
        <v>2.0435201962842324</v>
      </c>
    </row>
    <row r="880" spans="28:38" x14ac:dyDescent="0.3">
      <c r="AB880">
        <v>875</v>
      </c>
      <c r="AC880" s="7">
        <v>0.63997955632492343</v>
      </c>
      <c r="AD880">
        <v>1.3060758422345848</v>
      </c>
      <c r="AE880">
        <v>0.96235793224761079</v>
      </c>
      <c r="AF880" s="7">
        <v>3.8368826574197039E-2</v>
      </c>
      <c r="AG880" s="10">
        <v>136.08325559689999</v>
      </c>
      <c r="AH880" s="1">
        <v>0.87350390579237946</v>
      </c>
      <c r="AI880" s="10">
        <v>116.47950992090317</v>
      </c>
      <c r="AJ880" s="32">
        <v>1849.0905304570874</v>
      </c>
      <c r="AK880">
        <v>320</v>
      </c>
      <c r="AL880" s="7">
        <v>0.60332285594267221</v>
      </c>
    </row>
    <row r="881" spans="28:38" x14ac:dyDescent="0.3">
      <c r="AB881">
        <v>876</v>
      </c>
      <c r="AC881" s="7">
        <v>0.14210066498245744</v>
      </c>
      <c r="AD881">
        <v>0.40674876955345263</v>
      </c>
      <c r="AE881">
        <v>0.94004075849686142</v>
      </c>
      <c r="AF881" s="7">
        <v>6.1832044555065503E-2</v>
      </c>
      <c r="AG881" s="10">
        <v>115.57845946909841</v>
      </c>
      <c r="AH881" s="1">
        <v>0.11775851213748054</v>
      </c>
      <c r="AI881" s="10">
        <v>1.4061806732306319</v>
      </c>
      <c r="AJ881" s="32">
        <v>1822.6520487111666</v>
      </c>
      <c r="AK881">
        <v>320</v>
      </c>
      <c r="AL881" s="7">
        <v>6.6289626668474502E-2</v>
      </c>
    </row>
    <row r="882" spans="28:38" x14ac:dyDescent="0.3">
      <c r="AB882">
        <v>877</v>
      </c>
      <c r="AC882" s="7">
        <v>0.97099512984642389</v>
      </c>
      <c r="AD882">
        <v>3.8600332969821145</v>
      </c>
      <c r="AE882">
        <v>0.96870439159371935</v>
      </c>
      <c r="AF882" s="7">
        <v>3.179577906805451E-2</v>
      </c>
      <c r="AG882" s="10">
        <v>139.35610851053801</v>
      </c>
      <c r="AH882" s="1">
        <v>3.7793691408209487</v>
      </c>
      <c r="AI882" s="10">
        <v>1823.172957391303</v>
      </c>
      <c r="AJ882" s="32">
        <v>1800.7308784087897</v>
      </c>
      <c r="AK882">
        <v>320</v>
      </c>
      <c r="AL882" s="7">
        <v>2.3869259502229689</v>
      </c>
    </row>
    <row r="883" spans="28:38" x14ac:dyDescent="0.3">
      <c r="AB883">
        <v>878</v>
      </c>
      <c r="AC883" s="7">
        <v>0.4468508935377476</v>
      </c>
      <c r="AD883">
        <v>0.91798653377700212</v>
      </c>
      <c r="AE883">
        <v>0.94373759079670372</v>
      </c>
      <c r="AF883" s="7">
        <v>5.7907127330033947E-2</v>
      </c>
      <c r="AG883" s="10">
        <v>113.6899315596244</v>
      </c>
      <c r="AH883" s="1">
        <v>0.46646551207716941</v>
      </c>
      <c r="AI883" s="10">
        <v>18.012311767181171</v>
      </c>
      <c r="AJ883" s="32">
        <v>1782.0571400312172</v>
      </c>
      <c r="AK883">
        <v>320</v>
      </c>
      <c r="AL883" s="7">
        <v>0.23725192153582478</v>
      </c>
    </row>
    <row r="884" spans="28:38" x14ac:dyDescent="0.3">
      <c r="AB884">
        <v>879</v>
      </c>
      <c r="AC884" s="7">
        <v>0.15701625997528804</v>
      </c>
      <c r="AD884">
        <v>0.39865899625011336</v>
      </c>
      <c r="AE884">
        <v>0.94403469545620045</v>
      </c>
      <c r="AF884" s="7">
        <v>5.7592359850806338E-2</v>
      </c>
      <c r="AG884" s="10">
        <v>119.22580821635673</v>
      </c>
      <c r="AH884" s="1">
        <v>0.11856124914049473</v>
      </c>
      <c r="AI884" s="10">
        <v>1.450923894857536</v>
      </c>
      <c r="AJ884" s="32">
        <v>1793.5886116899146</v>
      </c>
      <c r="AK884">
        <v>320</v>
      </c>
      <c r="AL884" s="7">
        <v>6.7336002045189761E-2</v>
      </c>
    </row>
    <row r="885" spans="28:38" x14ac:dyDescent="0.3">
      <c r="AB885">
        <v>880</v>
      </c>
      <c r="AC885" s="7">
        <v>0.37217065533497268</v>
      </c>
      <c r="AD885">
        <v>0.59144301595348892</v>
      </c>
      <c r="AE885">
        <v>0.95727680129998449</v>
      </c>
      <c r="AF885" s="7">
        <v>4.3662690792612924E-2</v>
      </c>
      <c r="AG885" s="10">
        <v>131.84806435913484</v>
      </c>
      <c r="AH885" s="1">
        <v>0.26284093354071819</v>
      </c>
      <c r="AI885" s="10">
        <v>9.5517767689192734</v>
      </c>
      <c r="AJ885" s="32">
        <v>1799.4049451756391</v>
      </c>
      <c r="AK885">
        <v>320</v>
      </c>
      <c r="AL885" s="7">
        <v>0.17276950657703671</v>
      </c>
    </row>
    <row r="886" spans="28:38" x14ac:dyDescent="0.3">
      <c r="AB886">
        <v>881</v>
      </c>
      <c r="AC886" s="7">
        <v>0.75941000902441302</v>
      </c>
      <c r="AD886">
        <v>2.1736474552153782</v>
      </c>
      <c r="AE886">
        <v>0.956603055491972</v>
      </c>
      <c r="AF886" s="7">
        <v>4.4366753624407805E-2</v>
      </c>
      <c r="AG886" s="10">
        <v>124.64499359184251</v>
      </c>
      <c r="AH886" s="1">
        <v>1.6940865780890308</v>
      </c>
      <c r="AI886" s="10">
        <v>281.99212646005685</v>
      </c>
      <c r="AJ886" s="32">
        <v>1791.5652326072777</v>
      </c>
      <c r="AK886">
        <v>320</v>
      </c>
      <c r="AL886" s="7">
        <v>0.93873606257972086</v>
      </c>
    </row>
    <row r="887" spans="28:38" x14ac:dyDescent="0.3">
      <c r="AB887">
        <v>882</v>
      </c>
      <c r="AC887" s="7">
        <v>0.35773254648408004</v>
      </c>
      <c r="AD887">
        <v>0.68157873396118029</v>
      </c>
      <c r="AE887">
        <v>0.94576134272925261</v>
      </c>
      <c r="AF887" s="7">
        <v>5.576502217136757E-2</v>
      </c>
      <c r="AG887" s="10">
        <v>117.10520481339555</v>
      </c>
      <c r="AH887" s="1">
        <v>0.29806155340007578</v>
      </c>
      <c r="AI887" s="10">
        <v>8.2551712829114514</v>
      </c>
      <c r="AJ887" s="32">
        <v>1785.0853975794641</v>
      </c>
      <c r="AK887">
        <v>320</v>
      </c>
      <c r="AL887" s="7">
        <v>0.16061572232847657</v>
      </c>
    </row>
    <row r="888" spans="28:38" x14ac:dyDescent="0.3">
      <c r="AB888">
        <v>883</v>
      </c>
      <c r="AC888" s="7">
        <v>0.22721334564975171</v>
      </c>
      <c r="AD888">
        <v>0.52279187520001857</v>
      </c>
      <c r="AE888">
        <v>0.93809438755317276</v>
      </c>
      <c r="AF888" s="7">
        <v>6.3904708649097905E-2</v>
      </c>
      <c r="AG888" s="10">
        <v>111.54305106187662</v>
      </c>
      <c r="AH888" s="1">
        <v>0.18069090348953093</v>
      </c>
      <c r="AI888" s="10">
        <v>3.0127299058015837</v>
      </c>
      <c r="AJ888" s="32">
        <v>1824.2063371872632</v>
      </c>
      <c r="AK888">
        <v>320</v>
      </c>
      <c r="AL888" s="7">
        <v>9.7029794164627342E-2</v>
      </c>
    </row>
    <row r="889" spans="28:38" x14ac:dyDescent="0.3">
      <c r="AB889">
        <v>884</v>
      </c>
      <c r="AC889" s="7">
        <v>0.65626717967558601</v>
      </c>
      <c r="AD889">
        <v>1.471904081458228</v>
      </c>
      <c r="AE889">
        <v>0.95857113902711144</v>
      </c>
      <c r="AF889" s="7">
        <v>4.2311500129923477E-2</v>
      </c>
      <c r="AG889" s="10">
        <v>129.3555183507473</v>
      </c>
      <c r="AH889" s="1">
        <v>1.0073912012644639</v>
      </c>
      <c r="AI889" s="10">
        <v>115.19276905153501</v>
      </c>
      <c r="AJ889" s="32">
        <v>1796.9138123591767</v>
      </c>
      <c r="AK889">
        <v>320</v>
      </c>
      <c r="AL889" s="7">
        <v>0.59998116910953703</v>
      </c>
    </row>
    <row r="890" spans="28:38" x14ac:dyDescent="0.3">
      <c r="AB890">
        <v>885</v>
      </c>
      <c r="AC890" s="7">
        <v>-9.7988121372191928E-2</v>
      </c>
      <c r="AD890">
        <v>0.2519765542366057</v>
      </c>
      <c r="AE890">
        <v>0.93328894111698624</v>
      </c>
      <c r="AF890" s="7">
        <v>6.9040435707054357E-2</v>
      </c>
      <c r="AG890" s="10">
        <v>111.83995987907613</v>
      </c>
      <c r="AH890" s="1">
        <v>4.2020349703530538E-2</v>
      </c>
      <c r="AI890" s="10">
        <v>0.14043719292532891</v>
      </c>
      <c r="AJ890" s="32">
        <v>1756.134463765515</v>
      </c>
      <c r="AK890">
        <v>320</v>
      </c>
      <c r="AL890" s="7">
        <v>2.0949134299336879E-2</v>
      </c>
    </row>
    <row r="891" spans="28:38" x14ac:dyDescent="0.3">
      <c r="AB891">
        <v>886</v>
      </c>
      <c r="AC891" s="7">
        <v>0.78748783598047001</v>
      </c>
      <c r="AD891">
        <v>2.3622110046399696</v>
      </c>
      <c r="AE891">
        <v>0.95738861584527712</v>
      </c>
      <c r="AF891" s="7">
        <v>4.3545892792901351E-2</v>
      </c>
      <c r="AG891" s="10">
        <v>124.48273082289001</v>
      </c>
      <c r="AH891" s="1">
        <v>1.9028238163279045</v>
      </c>
      <c r="AI891" s="10">
        <v>375.74599338307718</v>
      </c>
      <c r="AJ891" s="32">
        <v>1804.65141267031</v>
      </c>
      <c r="AK891">
        <v>320</v>
      </c>
      <c r="AL891" s="7">
        <v>1.0836079684655868</v>
      </c>
    </row>
    <row r="892" spans="28:38" x14ac:dyDescent="0.3">
      <c r="AB892">
        <v>887</v>
      </c>
      <c r="AC892" s="7">
        <v>0.44735959018646937</v>
      </c>
      <c r="AD892">
        <v>0.68755259750380848</v>
      </c>
      <c r="AE892">
        <v>0.96116499278229695</v>
      </c>
      <c r="AF892" s="7">
        <v>3.9609196109425454E-2</v>
      </c>
      <c r="AG892" s="10">
        <v>133.17260721713274</v>
      </c>
      <c r="AH892" s="1">
        <v>0.34641825546864935</v>
      </c>
      <c r="AI892" s="10">
        <v>19.093923789733047</v>
      </c>
      <c r="AJ892" s="32">
        <v>1810.473412054997</v>
      </c>
      <c r="AK892">
        <v>320</v>
      </c>
      <c r="AL892" s="7">
        <v>0.24427138973468787</v>
      </c>
    </row>
    <row r="893" spans="28:38" x14ac:dyDescent="0.3">
      <c r="AB893">
        <v>888</v>
      </c>
      <c r="AC893" s="7">
        <v>0.86268954919552254</v>
      </c>
      <c r="AD893">
        <v>3.5714274576519394</v>
      </c>
      <c r="AE893">
        <v>0.94869881684588053</v>
      </c>
      <c r="AF893" s="7">
        <v>5.2663899716074158E-2</v>
      </c>
      <c r="AG893" s="10">
        <v>117.48140230525156</v>
      </c>
      <c r="AH893" s="1">
        <v>3.132334326580382</v>
      </c>
      <c r="AI893" s="10">
        <v>692.79429059126119</v>
      </c>
      <c r="AJ893" s="32">
        <v>1783.4430458094596</v>
      </c>
      <c r="AK893">
        <v>320</v>
      </c>
      <c r="AL893" s="7">
        <v>1.4713878340185129</v>
      </c>
    </row>
    <row r="894" spans="28:38" x14ac:dyDescent="0.3">
      <c r="AB894">
        <v>889</v>
      </c>
      <c r="AC894" s="7">
        <v>0.75843252658236437</v>
      </c>
      <c r="AD894">
        <v>1.8315202323800224</v>
      </c>
      <c r="AE894">
        <v>0.96532011463699163</v>
      </c>
      <c r="AF894" s="7">
        <v>3.5295507639301685E-2</v>
      </c>
      <c r="AG894" s="10">
        <v>134.03865792124429</v>
      </c>
      <c r="AH894" s="1">
        <v>1.423764402693708</v>
      </c>
      <c r="AI894" s="10">
        <v>289.00147538102931</v>
      </c>
      <c r="AJ894" s="32">
        <v>1807.1447183855889</v>
      </c>
      <c r="AK894">
        <v>320</v>
      </c>
      <c r="AL894" s="7">
        <v>0.95033131620804578</v>
      </c>
    </row>
    <row r="895" spans="28:38" x14ac:dyDescent="0.3">
      <c r="AB895">
        <v>890</v>
      </c>
      <c r="AC895" s="7">
        <v>0.28678414600166446</v>
      </c>
      <c r="AD895">
        <v>0.56022157274460893</v>
      </c>
      <c r="AE895">
        <v>0.94479117429119597</v>
      </c>
      <c r="AF895" s="7">
        <v>5.6791355494016586E-2</v>
      </c>
      <c r="AG895" s="10">
        <v>116.12390002312627</v>
      </c>
      <c r="AH895" s="1">
        <v>0.21587149102007605</v>
      </c>
      <c r="AI895" s="10">
        <v>4.0285214035832704</v>
      </c>
      <c r="AJ895" s="32">
        <v>1753.9362881392487</v>
      </c>
      <c r="AK895">
        <v>320</v>
      </c>
      <c r="AL895" s="7">
        <v>0.1122012895924005</v>
      </c>
    </row>
    <row r="896" spans="28:38" x14ac:dyDescent="0.3">
      <c r="AB896">
        <v>891</v>
      </c>
      <c r="AC896" s="7">
        <v>0.36923618344562259</v>
      </c>
      <c r="AD896">
        <v>0.70469439578098736</v>
      </c>
      <c r="AE896">
        <v>0.94513101207260153</v>
      </c>
      <c r="AF896" s="7">
        <v>5.6431723983766793E-2</v>
      </c>
      <c r="AG896" s="10">
        <v>113.71115083008077</v>
      </c>
      <c r="AH896" s="1">
        <v>0.31506765712108931</v>
      </c>
      <c r="AI896" s="10">
        <v>10.34828195475653</v>
      </c>
      <c r="AJ896" s="32">
        <v>1822.8608627745125</v>
      </c>
      <c r="AK896">
        <v>320</v>
      </c>
      <c r="AL896" s="7">
        <v>0.17982875495485742</v>
      </c>
    </row>
    <row r="897" spans="28:38" x14ac:dyDescent="0.3">
      <c r="AB897">
        <v>892</v>
      </c>
      <c r="AC897" s="7">
        <v>0.7024552221908148</v>
      </c>
      <c r="AD897">
        <v>1.9973520738961612</v>
      </c>
      <c r="AE897">
        <v>0.94890924776797869</v>
      </c>
      <c r="AF897" s="7">
        <v>5.2442114272720712E-2</v>
      </c>
      <c r="AG897" s="10">
        <v>117.55985169763923</v>
      </c>
      <c r="AH897" s="1">
        <v>1.4541411470940337</v>
      </c>
      <c r="AI897" s="10">
        <v>156.12010372798156</v>
      </c>
      <c r="AJ897" s="32">
        <v>1757.7801730444939</v>
      </c>
      <c r="AK897">
        <v>320</v>
      </c>
      <c r="AL897" s="7">
        <v>0.69848072568249331</v>
      </c>
    </row>
    <row r="898" spans="28:38" x14ac:dyDescent="0.3">
      <c r="AB898">
        <v>893</v>
      </c>
      <c r="AC898" s="7">
        <v>0.405169549650299</v>
      </c>
      <c r="AD898">
        <v>0.79318318678443633</v>
      </c>
      <c r="AE898">
        <v>0.94581326193972959</v>
      </c>
      <c r="AF898" s="7">
        <v>5.571012694242776E-2</v>
      </c>
      <c r="AG898" s="10">
        <v>118.89074447227428</v>
      </c>
      <c r="AH898" s="1">
        <v>0.37556041263990947</v>
      </c>
      <c r="AI898" s="10">
        <v>13.581379683694397</v>
      </c>
      <c r="AJ898" s="32">
        <v>1812.213910072792</v>
      </c>
      <c r="AK898">
        <v>320</v>
      </c>
      <c r="AL898" s="7">
        <v>0.20601410512764651</v>
      </c>
    </row>
    <row r="899" spans="28:38" x14ac:dyDescent="0.3">
      <c r="AB899">
        <v>894</v>
      </c>
      <c r="AC899" s="7">
        <v>0.53450377373358082</v>
      </c>
      <c r="AD899">
        <v>0.98753699472862</v>
      </c>
      <c r="AE899">
        <v>0.95696910722024631</v>
      </c>
      <c r="AF899" s="7">
        <v>4.3984168906807786E-2</v>
      </c>
      <c r="AG899" s="10">
        <v>126.05606835575722</v>
      </c>
      <c r="AH899" s="1">
        <v>0.5708731431637204</v>
      </c>
      <c r="AI899" s="10">
        <v>37.964219111776245</v>
      </c>
      <c r="AJ899" s="32">
        <v>1782.6299653121509</v>
      </c>
      <c r="AK899">
        <v>320</v>
      </c>
      <c r="AL899" s="7">
        <v>0.34443894193935271</v>
      </c>
    </row>
    <row r="900" spans="28:38" x14ac:dyDescent="0.3">
      <c r="AB900">
        <v>895</v>
      </c>
      <c r="AC900" s="7">
        <v>0.28147979728905104</v>
      </c>
      <c r="AD900">
        <v>0.50972007573036193</v>
      </c>
      <c r="AE900">
        <v>0.94987804755919591</v>
      </c>
      <c r="AF900" s="7">
        <v>5.1421673618131415E-2</v>
      </c>
      <c r="AG900" s="10">
        <v>121.60585245805872</v>
      </c>
      <c r="AH900" s="1">
        <v>0.19359785603154611</v>
      </c>
      <c r="AI900" s="10">
        <v>4.2875327961069774</v>
      </c>
      <c r="AJ900" s="32">
        <v>1792.5465885631493</v>
      </c>
      <c r="AK900">
        <v>320</v>
      </c>
      <c r="AL900" s="7">
        <v>0.11575206256406105</v>
      </c>
    </row>
    <row r="901" spans="28:38" x14ac:dyDescent="0.3">
      <c r="AB901">
        <v>896</v>
      </c>
      <c r="AC901" s="7">
        <v>0.75866632259146927</v>
      </c>
      <c r="AD901">
        <v>2.2661048529362153</v>
      </c>
      <c r="AE901">
        <v>0.95414004774659045</v>
      </c>
      <c r="AF901" s="7">
        <v>4.6944817735054253E-2</v>
      </c>
      <c r="AG901" s="10">
        <v>122.92145355363427</v>
      </c>
      <c r="AH901" s="1">
        <v>1.7650773876372103</v>
      </c>
      <c r="AI901" s="10">
        <v>245.6716022152381</v>
      </c>
      <c r="AJ901" s="32">
        <v>1748.1602711243786</v>
      </c>
      <c r="AK901">
        <v>320</v>
      </c>
      <c r="AL901" s="7">
        <v>0.87619846891136433</v>
      </c>
    </row>
    <row r="902" spans="28:38" x14ac:dyDescent="0.3">
      <c r="AB902">
        <v>897</v>
      </c>
      <c r="AC902" s="7">
        <v>0.26229193803244549</v>
      </c>
      <c r="AD902">
        <v>0.57252763105544136</v>
      </c>
      <c r="AE902">
        <v>0.93920260801442224</v>
      </c>
      <c r="AF902" s="7">
        <v>6.2724053065458779E-2</v>
      </c>
      <c r="AG902" s="10">
        <v>114.82314319647638</v>
      </c>
      <c r="AH902" s="1">
        <v>0.2109667739122344</v>
      </c>
      <c r="AI902" s="10">
        <v>3.5988282584502942</v>
      </c>
      <c r="AJ902" s="32">
        <v>1785.2777149825924</v>
      </c>
      <c r="AK902">
        <v>320</v>
      </c>
      <c r="AL902" s="7">
        <v>0.10604875438993694</v>
      </c>
    </row>
    <row r="903" spans="28:38" x14ac:dyDescent="0.3">
      <c r="AB903">
        <v>898</v>
      </c>
      <c r="AC903" s="7">
        <v>0.39983387462987174</v>
      </c>
      <c r="AD903">
        <v>0.79296570410781564</v>
      </c>
      <c r="AE903">
        <v>0.94496893909347501</v>
      </c>
      <c r="AF903" s="7">
        <v>5.6603220712734756E-2</v>
      </c>
      <c r="AG903" s="10">
        <v>119.1103895462152</v>
      </c>
      <c r="AH903" s="1">
        <v>0.37208561082855734</v>
      </c>
      <c r="AI903" s="10">
        <v>11.214539165902444</v>
      </c>
      <c r="AJ903" s="32">
        <v>1765.988892885164</v>
      </c>
      <c r="AK903">
        <v>320</v>
      </c>
      <c r="AL903" s="7">
        <v>0.18720425981650402</v>
      </c>
    </row>
    <row r="904" spans="28:38" x14ac:dyDescent="0.3">
      <c r="AB904">
        <v>899</v>
      </c>
      <c r="AC904" s="7">
        <v>0.7265243078957202</v>
      </c>
      <c r="AD904">
        <v>1.9590970348037795</v>
      </c>
      <c r="AE904">
        <v>0.95626374448666629</v>
      </c>
      <c r="AF904" s="7">
        <v>4.4721520625297037E-2</v>
      </c>
      <c r="AG904" s="10">
        <v>125.85566442198743</v>
      </c>
      <c r="AH904" s="1">
        <v>1.4670678728247073</v>
      </c>
      <c r="AI904" s="10">
        <v>193.79420362106544</v>
      </c>
      <c r="AJ904" s="32">
        <v>1764.2178760605293</v>
      </c>
      <c r="AK904">
        <v>320</v>
      </c>
      <c r="AL904" s="7">
        <v>0.77820748281922181</v>
      </c>
    </row>
    <row r="905" spans="28:38" x14ac:dyDescent="0.3">
      <c r="AB905">
        <v>900</v>
      </c>
      <c r="AC905" s="7">
        <v>0.87323033250604798</v>
      </c>
      <c r="AD905">
        <v>3.3277797887763207</v>
      </c>
      <c r="AE905">
        <v>0.95366110423487538</v>
      </c>
      <c r="AF905" s="7">
        <v>4.7446907296410469E-2</v>
      </c>
      <c r="AG905" s="10">
        <v>116.44779708769528</v>
      </c>
      <c r="AH905" s="1">
        <v>2.9522571472251773</v>
      </c>
      <c r="AI905" s="10">
        <v>706.21976818108965</v>
      </c>
      <c r="AJ905" s="32">
        <v>1762.3591282981222</v>
      </c>
      <c r="AK905">
        <v>320</v>
      </c>
      <c r="AL905" s="7">
        <v>1.4855762436057953</v>
      </c>
    </row>
    <row r="906" spans="28:38" x14ac:dyDescent="0.3">
      <c r="AB906">
        <v>901</v>
      </c>
      <c r="AC906" s="7">
        <v>0.529930428370603</v>
      </c>
      <c r="AD906">
        <v>1.0793683131225842</v>
      </c>
      <c r="AE906">
        <v>0.95128533603136911</v>
      </c>
      <c r="AF906" s="7">
        <v>4.9941223551237458E-2</v>
      </c>
      <c r="AG906" s="10">
        <v>121.7880481238121</v>
      </c>
      <c r="AH906" s="1">
        <v>0.62070477651133704</v>
      </c>
      <c r="AI906" s="10">
        <v>36.865580458865033</v>
      </c>
      <c r="AJ906" s="32">
        <v>1783.3519484955159</v>
      </c>
      <c r="AK906">
        <v>320</v>
      </c>
      <c r="AL906" s="7">
        <v>0.33941853062841637</v>
      </c>
    </row>
    <row r="907" spans="28:38" x14ac:dyDescent="0.3">
      <c r="AB907">
        <v>902</v>
      </c>
      <c r="AC907" s="7">
        <v>0.69395339158122793</v>
      </c>
      <c r="AD907">
        <v>1.4946528157269654</v>
      </c>
      <c r="AE907">
        <v>0.96440566428563124</v>
      </c>
      <c r="AF907" s="7">
        <v>3.6243259314485382E-2</v>
      </c>
      <c r="AG907" s="10">
        <v>135.35482374977866</v>
      </c>
      <c r="AH907" s="1">
        <v>1.0728137264245285</v>
      </c>
      <c r="AI907" s="10">
        <v>160.80531357921484</v>
      </c>
      <c r="AJ907" s="32">
        <v>1800.7504136196503</v>
      </c>
      <c r="AK907">
        <v>320</v>
      </c>
      <c r="AL907" s="7">
        <v>0.70888405605927285</v>
      </c>
    </row>
    <row r="908" spans="28:38" x14ac:dyDescent="0.3">
      <c r="AB908">
        <v>903</v>
      </c>
      <c r="AC908" s="7">
        <v>0.49505919847083424</v>
      </c>
      <c r="AD908">
        <v>0.90571639040752161</v>
      </c>
      <c r="AE908">
        <v>0.95540913904451652</v>
      </c>
      <c r="AF908" s="7">
        <v>4.5615612398469174E-2</v>
      </c>
      <c r="AG908" s="10">
        <v>128.22914990384106</v>
      </c>
      <c r="AH908" s="1">
        <v>0.49297409123252833</v>
      </c>
      <c r="AI908" s="10">
        <v>27.719752680521733</v>
      </c>
      <c r="AJ908" s="32">
        <v>1793.5495666981885</v>
      </c>
      <c r="AK908">
        <v>320</v>
      </c>
      <c r="AL908" s="7">
        <v>0.29431994007649298</v>
      </c>
    </row>
    <row r="909" spans="28:38" x14ac:dyDescent="0.3">
      <c r="AB909">
        <v>904</v>
      </c>
      <c r="AC909" s="7">
        <v>1.0580137894099584</v>
      </c>
      <c r="AD909">
        <v>5.8042581722087796</v>
      </c>
      <c r="AE909">
        <v>0.96350733713370829</v>
      </c>
      <c r="AF909" s="7">
        <v>3.7175176072425903E-2</v>
      </c>
      <c r="AG909" s="10">
        <v>127.76299967119563</v>
      </c>
      <c r="AH909" s="1">
        <v>6.1774778463586211</v>
      </c>
      <c r="AI909" s="10">
        <v>3608.3209114517645</v>
      </c>
      <c r="AJ909" s="32">
        <v>1770.8021241578856</v>
      </c>
      <c r="AK909">
        <v>320</v>
      </c>
      <c r="AL909" s="7">
        <v>3.3579760047217078</v>
      </c>
    </row>
    <row r="910" spans="28:38" x14ac:dyDescent="0.3">
      <c r="AB910">
        <v>905</v>
      </c>
      <c r="AC910" s="7">
        <v>0.43652915937597225</v>
      </c>
      <c r="AD910">
        <v>0.7805659868600926</v>
      </c>
      <c r="AE910">
        <v>0.95174999165146823</v>
      </c>
      <c r="AF910" s="7">
        <v>4.9452892491300013E-2</v>
      </c>
      <c r="AG910" s="10">
        <v>119.25390703625173</v>
      </c>
      <c r="AH910" s="1">
        <v>0.38898982243004421</v>
      </c>
      <c r="AI910" s="10">
        <v>15.400927002929503</v>
      </c>
      <c r="AJ910" s="32">
        <v>1765.288376670951</v>
      </c>
      <c r="AK910">
        <v>320</v>
      </c>
      <c r="AL910" s="7">
        <v>0.21938071219720912</v>
      </c>
    </row>
    <row r="911" spans="28:38" x14ac:dyDescent="0.3">
      <c r="AB911">
        <v>906</v>
      </c>
      <c r="AC911" s="7">
        <v>0.87354861501096492</v>
      </c>
      <c r="AD911">
        <v>2.9146259991647643</v>
      </c>
      <c r="AE911">
        <v>0.96565207173664114</v>
      </c>
      <c r="AF911" s="7">
        <v>3.4951683833591561E-2</v>
      </c>
      <c r="AG911" s="10">
        <v>140.38502016480203</v>
      </c>
      <c r="AH911" s="1">
        <v>2.5804154331086888</v>
      </c>
      <c r="AI911" s="10">
        <v>632.23673759971325</v>
      </c>
      <c r="AJ911" s="32">
        <v>1734.7146150666215</v>
      </c>
      <c r="AK911">
        <v>320</v>
      </c>
      <c r="AL911" s="7">
        <v>1.4056101184180143</v>
      </c>
    </row>
    <row r="912" spans="28:38" x14ac:dyDescent="0.3">
      <c r="AB912">
        <v>907</v>
      </c>
      <c r="AC912" s="7">
        <v>0.81252877852998728</v>
      </c>
      <c r="AD912">
        <v>2.5289901091291744</v>
      </c>
      <c r="AE912">
        <v>0.95897852546487194</v>
      </c>
      <c r="AF912" s="7">
        <v>4.1886596982502106E-2</v>
      </c>
      <c r="AG912" s="10">
        <v>126.62552304844915</v>
      </c>
      <c r="AH912" s="1">
        <v>2.0958987188202753</v>
      </c>
      <c r="AI912" s="10">
        <v>460.0760361525052</v>
      </c>
      <c r="AJ912" s="32">
        <v>1800.1017011625513</v>
      </c>
      <c r="AK912">
        <v>320</v>
      </c>
      <c r="AL912" s="7">
        <v>1.1990569681948304</v>
      </c>
    </row>
    <row r="913" spans="28:38" x14ac:dyDescent="0.3">
      <c r="AB913">
        <v>908</v>
      </c>
      <c r="AC913" s="7">
        <v>0.36036865478537278</v>
      </c>
      <c r="AD913">
        <v>0.73459444636379678</v>
      </c>
      <c r="AE913">
        <v>0.94166797546973191</v>
      </c>
      <c r="AF913" s="7">
        <v>6.0102534191309988E-2</v>
      </c>
      <c r="AG913" s="10">
        <v>115.56052502406153</v>
      </c>
      <c r="AH913" s="1">
        <v>0.32305683697919518</v>
      </c>
      <c r="AI913" s="10">
        <v>8.6084963268065451</v>
      </c>
      <c r="AJ913" s="32">
        <v>1789.6862439552517</v>
      </c>
      <c r="AK913">
        <v>320</v>
      </c>
      <c r="AL913" s="7">
        <v>0.16401692297220569</v>
      </c>
    </row>
    <row r="914" spans="28:38" x14ac:dyDescent="0.3">
      <c r="AB914">
        <v>909</v>
      </c>
      <c r="AC914" s="7">
        <v>0.6762287874473637</v>
      </c>
      <c r="AD914">
        <v>1.5812716549475323</v>
      </c>
      <c r="AE914">
        <v>0.95877906345682062</v>
      </c>
      <c r="AF914" s="7">
        <v>4.2094612854709092E-2</v>
      </c>
      <c r="AG914" s="10">
        <v>130.39904451621794</v>
      </c>
      <c r="AH914" s="1">
        <v>1.1105223503932353</v>
      </c>
      <c r="AI914" s="10">
        <v>145.03208586527114</v>
      </c>
      <c r="AJ914" s="32">
        <v>1814.8781879395767</v>
      </c>
      <c r="AK914">
        <v>320</v>
      </c>
      <c r="AL914" s="7">
        <v>0.67322007421717034</v>
      </c>
    </row>
    <row r="915" spans="28:38" x14ac:dyDescent="0.3">
      <c r="AB915">
        <v>910</v>
      </c>
      <c r="AC915" s="7">
        <v>0.18732302503117318</v>
      </c>
      <c r="AD915">
        <v>0.38139365381471052</v>
      </c>
      <c r="AE915">
        <v>0.95214144251608257</v>
      </c>
      <c r="AF915" s="7">
        <v>4.9041681155290701E-2</v>
      </c>
      <c r="AG915" s="10">
        <v>131.12212199868782</v>
      </c>
      <c r="AH915" s="1">
        <v>0.11930237044418104</v>
      </c>
      <c r="AI915" s="10">
        <v>1.9777024795912994</v>
      </c>
      <c r="AJ915" s="32">
        <v>1814.7070599818358</v>
      </c>
      <c r="AK915">
        <v>320</v>
      </c>
      <c r="AL915" s="7">
        <v>7.8615012871097401E-2</v>
      </c>
    </row>
    <row r="916" spans="28:38" x14ac:dyDescent="0.3">
      <c r="AB916">
        <v>911</v>
      </c>
      <c r="AC916" s="7">
        <v>0.39710827812076893</v>
      </c>
      <c r="AD916">
        <v>0.70296812679166787</v>
      </c>
      <c r="AE916">
        <v>0.95154412694814261</v>
      </c>
      <c r="AF916" s="7">
        <v>4.966921712774653E-2</v>
      </c>
      <c r="AG916" s="10">
        <v>123.06602540499661</v>
      </c>
      <c r="AH916" s="1">
        <v>0.32761033545587898</v>
      </c>
      <c r="AI916" s="10">
        <v>12.409157303488669</v>
      </c>
      <c r="AJ916" s="32">
        <v>1808.8532596174105</v>
      </c>
      <c r="AK916">
        <v>320</v>
      </c>
      <c r="AL916" s="7">
        <v>0.19692286960483307</v>
      </c>
    </row>
    <row r="917" spans="28:38" x14ac:dyDescent="0.3">
      <c r="AB917">
        <v>912</v>
      </c>
      <c r="AC917" s="7">
        <v>0.62144015847545697</v>
      </c>
      <c r="AD917">
        <v>1.3982864243529478</v>
      </c>
      <c r="AE917">
        <v>0.95404424054554737</v>
      </c>
      <c r="AF917" s="7">
        <v>4.7045234871608006E-2</v>
      </c>
      <c r="AG917" s="10">
        <v>123.13045083871249</v>
      </c>
      <c r="AH917" s="1">
        <v>0.91490709659842862</v>
      </c>
      <c r="AI917" s="10">
        <v>82.632617563598842</v>
      </c>
      <c r="AJ917" s="32">
        <v>1785.5520322001521</v>
      </c>
      <c r="AK917">
        <v>320</v>
      </c>
      <c r="AL917" s="7">
        <v>0.50816033875760747</v>
      </c>
    </row>
    <row r="918" spans="28:38" x14ac:dyDescent="0.3">
      <c r="AB918">
        <v>913</v>
      </c>
      <c r="AC918" s="7">
        <v>0.2279420154474944</v>
      </c>
      <c r="AD918">
        <v>0.48880893981664286</v>
      </c>
      <c r="AE918">
        <v>0.94334892781937607</v>
      </c>
      <c r="AF918" s="7">
        <v>5.8319045892314042E-2</v>
      </c>
      <c r="AG918" s="10">
        <v>118.01921834317689</v>
      </c>
      <c r="AH918" s="1">
        <v>0.1680711670911825</v>
      </c>
      <c r="AI918" s="10">
        <v>2.8231679374350085</v>
      </c>
      <c r="AJ918" s="32">
        <v>1806.7635694305268</v>
      </c>
      <c r="AK918">
        <v>320</v>
      </c>
      <c r="AL918" s="7">
        <v>9.392763067641173E-2</v>
      </c>
    </row>
    <row r="919" spans="28:38" x14ac:dyDescent="0.3">
      <c r="AB919">
        <v>914</v>
      </c>
      <c r="AC919" s="7">
        <v>0.63116626248480989</v>
      </c>
      <c r="AD919">
        <v>1.4189945155889288</v>
      </c>
      <c r="AE919">
        <v>0.95459772346435823</v>
      </c>
      <c r="AF919" s="7">
        <v>4.6465259219010804E-2</v>
      </c>
      <c r="AG919" s="10">
        <v>121.85899967564379</v>
      </c>
      <c r="AH919" s="1">
        <v>0.94102374142634926</v>
      </c>
      <c r="AI919" s="10">
        <v>85.261502392361848</v>
      </c>
      <c r="AJ919" s="32">
        <v>1767.9060238728773</v>
      </c>
      <c r="AK919">
        <v>320</v>
      </c>
      <c r="AL919" s="7">
        <v>0.51618038995697113</v>
      </c>
    </row>
    <row r="920" spans="28:38" x14ac:dyDescent="0.3">
      <c r="AB920">
        <v>915</v>
      </c>
      <c r="AC920" s="7">
        <v>0.73219884882521113</v>
      </c>
      <c r="AD920">
        <v>1.9772589868371957</v>
      </c>
      <c r="AE920">
        <v>0.95529321964707015</v>
      </c>
      <c r="AF920" s="7">
        <v>4.57369493477447E-2</v>
      </c>
      <c r="AG920" s="10">
        <v>120.43601514673436</v>
      </c>
      <c r="AH920" s="1">
        <v>1.4924535343444276</v>
      </c>
      <c r="AI920" s="10">
        <v>227.75256343757286</v>
      </c>
      <c r="AJ920" s="32">
        <v>1798.1942689414041</v>
      </c>
      <c r="AK920">
        <v>320</v>
      </c>
      <c r="AL920" s="7">
        <v>0.84363899906441919</v>
      </c>
    </row>
    <row r="921" spans="28:38" x14ac:dyDescent="0.3">
      <c r="AB921">
        <v>916</v>
      </c>
      <c r="AC921" s="7">
        <v>0.50871712927559098</v>
      </c>
      <c r="AD921">
        <v>0.9615228816345941</v>
      </c>
      <c r="AE921">
        <v>0.95345852161581035</v>
      </c>
      <c r="AF921" s="7">
        <v>4.7659356077368945E-2</v>
      </c>
      <c r="AG921" s="10">
        <v>121.83557322653675</v>
      </c>
      <c r="AH921" s="1">
        <v>0.53568463846213421</v>
      </c>
      <c r="AI921" s="10">
        <v>30.273966166872668</v>
      </c>
      <c r="AJ921" s="32">
        <v>1780.434875038248</v>
      </c>
      <c r="AK921">
        <v>320</v>
      </c>
      <c r="AL921" s="7">
        <v>0.30758111819726042</v>
      </c>
    </row>
    <row r="922" spans="28:38" x14ac:dyDescent="0.3">
      <c r="AB922">
        <v>917</v>
      </c>
      <c r="AC922" s="7">
        <v>0.36003501547671285</v>
      </c>
      <c r="AD922">
        <v>0.67417131583813372</v>
      </c>
      <c r="AE922">
        <v>0.94800226861249481</v>
      </c>
      <c r="AF922" s="7">
        <v>5.339838367882372E-2</v>
      </c>
      <c r="AG922" s="10">
        <v>123.78174370940562</v>
      </c>
      <c r="AH922" s="1">
        <v>0.29472301151924352</v>
      </c>
      <c r="AI922" s="10">
        <v>7.4892703129938143</v>
      </c>
      <c r="AJ922" s="32">
        <v>1751.7018229072598</v>
      </c>
      <c r="AK922">
        <v>320</v>
      </c>
      <c r="AL922" s="7">
        <v>0.152983560319747</v>
      </c>
    </row>
    <row r="923" spans="28:38" x14ac:dyDescent="0.3">
      <c r="AB923">
        <v>918</v>
      </c>
      <c r="AC923" s="7">
        <v>0.6017184001786321</v>
      </c>
      <c r="AD923">
        <v>1.3378092178859318</v>
      </c>
      <c r="AE923">
        <v>0.95303849409906238</v>
      </c>
      <c r="AF923" s="7">
        <v>4.809998359483323E-2</v>
      </c>
      <c r="AG923" s="10">
        <v>123.53569617218318</v>
      </c>
      <c r="AH923" s="1">
        <v>0.85194592823148751</v>
      </c>
      <c r="AI923" s="10">
        <v>65.067366463160113</v>
      </c>
      <c r="AJ923" s="32">
        <v>1764.4275611669293</v>
      </c>
      <c r="AK923">
        <v>320</v>
      </c>
      <c r="AL923" s="7">
        <v>0.4509274001403944</v>
      </c>
    </row>
    <row r="924" spans="28:38" x14ac:dyDescent="0.3">
      <c r="AB924">
        <v>919</v>
      </c>
      <c r="AC924" s="7">
        <v>1.3900247046073331</v>
      </c>
      <c r="AD924">
        <v>16.471396604787476</v>
      </c>
      <c r="AE924">
        <v>0.97877893254449722</v>
      </c>
      <c r="AF924" s="7">
        <v>2.144947140445766E-2</v>
      </c>
      <c r="AG924" s="10">
        <v>152.14398383907078</v>
      </c>
      <c r="AH924" s="1">
        <v>22.916869267495443</v>
      </c>
      <c r="AI924" s="10">
        <v>79294.938684338005</v>
      </c>
      <c r="AJ924" s="32">
        <v>1835.4891117460249</v>
      </c>
      <c r="AK924">
        <v>320</v>
      </c>
      <c r="AL924" s="7">
        <v>15.741559115556383</v>
      </c>
    </row>
    <row r="925" spans="28:38" x14ac:dyDescent="0.3">
      <c r="AB925">
        <v>920</v>
      </c>
      <c r="AC925" s="7">
        <v>0.44807821233820738</v>
      </c>
      <c r="AD925">
        <v>0.9276316434361046</v>
      </c>
      <c r="AE925">
        <v>0.94438828061973101</v>
      </c>
      <c r="AF925" s="7">
        <v>5.7217883187323536E-2</v>
      </c>
      <c r="AG925" s="10">
        <v>117.83764077106298</v>
      </c>
      <c r="AH925" s="1">
        <v>0.47126324787947216</v>
      </c>
      <c r="AI925" s="10">
        <v>17.875014273988764</v>
      </c>
      <c r="AJ925" s="32">
        <v>1778.5994287548006</v>
      </c>
      <c r="AK925">
        <v>320</v>
      </c>
      <c r="AL925" s="7">
        <v>0.23634597438123395</v>
      </c>
    </row>
    <row r="926" spans="28:38" x14ac:dyDescent="0.3">
      <c r="AB926">
        <v>921</v>
      </c>
      <c r="AC926" s="7">
        <v>0.39983211741525188</v>
      </c>
      <c r="AD926">
        <v>0.87452630703076806</v>
      </c>
      <c r="AE926">
        <v>0.93741716586286838</v>
      </c>
      <c r="AF926" s="7">
        <v>6.4626881454169366E-2</v>
      </c>
      <c r="AG926" s="10">
        <v>111.58707043574405</v>
      </c>
      <c r="AH926" s="1">
        <v>0.41224653921258431</v>
      </c>
      <c r="AI926" s="10">
        <v>12.110315872483064</v>
      </c>
      <c r="AJ926" s="32">
        <v>1784.5761850918338</v>
      </c>
      <c r="AK926">
        <v>320</v>
      </c>
      <c r="AL926" s="7">
        <v>0.19453723834142803</v>
      </c>
    </row>
    <row r="927" spans="28:38" x14ac:dyDescent="0.3">
      <c r="AB927">
        <v>922</v>
      </c>
      <c r="AC927" s="7">
        <v>0.33319028209804058</v>
      </c>
      <c r="AD927">
        <v>0.5935954997367151</v>
      </c>
      <c r="AE927">
        <v>0.95032259475985503</v>
      </c>
      <c r="AF927" s="7">
        <v>5.095377859813309E-2</v>
      </c>
      <c r="AG927" s="10">
        <v>123.85802950573826</v>
      </c>
      <c r="AH927" s="1">
        <v>0.24745765724954844</v>
      </c>
      <c r="AI927" s="10">
        <v>7.1766335949640458</v>
      </c>
      <c r="AJ927" s="32">
        <v>1813.6101646629947</v>
      </c>
      <c r="AK927">
        <v>320</v>
      </c>
      <c r="AL927" s="7">
        <v>0.1497564021478302</v>
      </c>
    </row>
    <row r="928" spans="28:38" x14ac:dyDescent="0.3">
      <c r="AB928">
        <v>923</v>
      </c>
      <c r="AC928" s="7">
        <v>0.35405780869100234</v>
      </c>
      <c r="AD928">
        <v>0.67986412440773869</v>
      </c>
      <c r="AE928">
        <v>0.94613449729494026</v>
      </c>
      <c r="AF928" s="7">
        <v>5.5370545305747081E-2</v>
      </c>
      <c r="AG928" s="10">
        <v>121.36351521515535</v>
      </c>
      <c r="AH928" s="1">
        <v>0.2945767048004907</v>
      </c>
      <c r="AI928" s="10">
        <v>8.1545069569427131</v>
      </c>
      <c r="AJ928" s="32">
        <v>1794.0641981910649</v>
      </c>
      <c r="AK928">
        <v>320</v>
      </c>
      <c r="AL928" s="7">
        <v>0.15963343710027036</v>
      </c>
    </row>
    <row r="929" spans="28:38" x14ac:dyDescent="0.3">
      <c r="AB929">
        <v>924</v>
      </c>
      <c r="AC929" s="7">
        <v>0.88824633542248965</v>
      </c>
      <c r="AD929">
        <v>4.0180299451797712</v>
      </c>
      <c r="AE929">
        <v>0.94665759642110825</v>
      </c>
      <c r="AF929" s="7">
        <v>5.4817817786203628E-2</v>
      </c>
      <c r="AG929" s="10">
        <v>115.45092982474677</v>
      </c>
      <c r="AH929" s="1">
        <v>3.6223427780026505</v>
      </c>
      <c r="AI929" s="10">
        <v>820.29979070206889</v>
      </c>
      <c r="AJ929" s="32">
        <v>1764.1454485483475</v>
      </c>
      <c r="AK929">
        <v>320</v>
      </c>
      <c r="AL929" s="7">
        <v>1.6010736541283681</v>
      </c>
    </row>
    <row r="930" spans="28:38" x14ac:dyDescent="0.3">
      <c r="AB930">
        <v>925</v>
      </c>
      <c r="AC930" s="7">
        <v>0.37481972424040982</v>
      </c>
      <c r="AD930">
        <v>0.64039228338192788</v>
      </c>
      <c r="AE930">
        <v>0.95257373249333999</v>
      </c>
      <c r="AF930" s="7">
        <v>4.8587765535410499E-2</v>
      </c>
      <c r="AG930" s="10">
        <v>122.4102918800108</v>
      </c>
      <c r="AH930" s="1">
        <v>0.2874579265695606</v>
      </c>
      <c r="AI930" s="10">
        <v>8.2234534970482329</v>
      </c>
      <c r="AJ930" s="32">
        <v>1739.4437344808296</v>
      </c>
      <c r="AK930">
        <v>320</v>
      </c>
      <c r="AL930" s="7">
        <v>0.16030686878070985</v>
      </c>
    </row>
    <row r="931" spans="28:38" x14ac:dyDescent="0.3">
      <c r="AB931">
        <v>926</v>
      </c>
      <c r="AC931" s="7">
        <v>0.70997211187172604</v>
      </c>
      <c r="AD931">
        <v>1.9367362324592652</v>
      </c>
      <c r="AE931">
        <v>0.95206989020535782</v>
      </c>
      <c r="AF931" s="7">
        <v>4.9116832804195307E-2</v>
      </c>
      <c r="AG931" s="10">
        <v>118.61601077068276</v>
      </c>
      <c r="AH931" s="1">
        <v>1.422958822892237</v>
      </c>
      <c r="AI931" s="10">
        <v>163.28566385858724</v>
      </c>
      <c r="AJ931" s="32">
        <v>1752.5591329472004</v>
      </c>
      <c r="AK931">
        <v>320</v>
      </c>
      <c r="AL931" s="7">
        <v>0.7143302454453998</v>
      </c>
    </row>
    <row r="932" spans="28:38" x14ac:dyDescent="0.3">
      <c r="AB932">
        <v>927</v>
      </c>
      <c r="AC932" s="7">
        <v>0.37207337591162426</v>
      </c>
      <c r="AD932">
        <v>0.79708283615827968</v>
      </c>
      <c r="AE932">
        <v>0.93748826284923481</v>
      </c>
      <c r="AF932" s="7">
        <v>6.4551040843425236E-2</v>
      </c>
      <c r="AG932" s="10">
        <v>109.78772991733436</v>
      </c>
      <c r="AH932" s="1">
        <v>0.35908503888138837</v>
      </c>
      <c r="AI932" s="10">
        <v>9.0971736130954</v>
      </c>
      <c r="AJ932" s="32">
        <v>1769.5976692805771</v>
      </c>
      <c r="AK932">
        <v>320</v>
      </c>
      <c r="AL932" s="7">
        <v>0.16860802928960153</v>
      </c>
    </row>
    <row r="933" spans="28:38" x14ac:dyDescent="0.3">
      <c r="AB933">
        <v>928</v>
      </c>
      <c r="AC933" s="7">
        <v>0.37432235081879994</v>
      </c>
      <c r="AD933">
        <v>0.74081297801252666</v>
      </c>
      <c r="AE933">
        <v>0.94362124416218129</v>
      </c>
      <c r="AF933" s="7">
        <v>5.803041775315302E-2</v>
      </c>
      <c r="AG933" s="10">
        <v>115.6039539064038</v>
      </c>
      <c r="AH933" s="1">
        <v>0.33368161128454366</v>
      </c>
      <c r="AI933" s="10">
        <v>10.696874279127785</v>
      </c>
      <c r="AJ933" s="32">
        <v>1820.1735668003621</v>
      </c>
      <c r="AK933">
        <v>320</v>
      </c>
      <c r="AL933" s="7">
        <v>0.18283252479324988</v>
      </c>
    </row>
    <row r="934" spans="28:38" x14ac:dyDescent="0.3">
      <c r="AB934">
        <v>929</v>
      </c>
      <c r="AC934" s="7">
        <v>0.4036445132723967</v>
      </c>
      <c r="AD934">
        <v>0.71909101447667823</v>
      </c>
      <c r="AE934">
        <v>0.95110667910215141</v>
      </c>
      <c r="AF934" s="7">
        <v>5.0129047015930017E-2</v>
      </c>
      <c r="AG934" s="10">
        <v>121.30269868136912</v>
      </c>
      <c r="AH934" s="1">
        <v>0.33915046343484134</v>
      </c>
      <c r="AI934" s="10">
        <v>11.770830247803666</v>
      </c>
      <c r="AJ934" s="32">
        <v>1772.5140246381077</v>
      </c>
      <c r="AK934">
        <v>320</v>
      </c>
      <c r="AL934" s="7">
        <v>0.19179114819090701</v>
      </c>
    </row>
    <row r="935" spans="28:38" x14ac:dyDescent="0.3">
      <c r="AB935">
        <v>930</v>
      </c>
      <c r="AC935" s="7">
        <v>0.42493741452199851</v>
      </c>
      <c r="AD935">
        <v>0.70063495695133537</v>
      </c>
      <c r="AE935">
        <v>0.95759523724754592</v>
      </c>
      <c r="AF935" s="7">
        <v>4.3330098385301621E-2</v>
      </c>
      <c r="AG935" s="10">
        <v>134.25064436384181</v>
      </c>
      <c r="AH935" s="1">
        <v>0.34013076988308627</v>
      </c>
      <c r="AI935" s="10">
        <v>13.91588115869054</v>
      </c>
      <c r="AJ935" s="32">
        <v>1772.7216320068624</v>
      </c>
      <c r="AK935">
        <v>320</v>
      </c>
      <c r="AL935" s="7">
        <v>0.20853567709365209</v>
      </c>
    </row>
    <row r="936" spans="28:38" x14ac:dyDescent="0.3">
      <c r="AB936">
        <v>931</v>
      </c>
      <c r="AC936" s="7">
        <v>0.41112390963700141</v>
      </c>
      <c r="AD936">
        <v>0.80950713596148649</v>
      </c>
      <c r="AE936">
        <v>0.94556018338554104</v>
      </c>
      <c r="AF936" s="7">
        <v>5.5977740465631698E-2</v>
      </c>
      <c r="AG936" s="10">
        <v>118.17976490170052</v>
      </c>
      <c r="AH936" s="1">
        <v>0.38724755522999693</v>
      </c>
      <c r="AI936" s="10">
        <v>13.117505425764502</v>
      </c>
      <c r="AJ936" s="32">
        <v>1783.7856165752532</v>
      </c>
      <c r="AK936">
        <v>320</v>
      </c>
      <c r="AL936" s="7">
        <v>0.20246531667303927</v>
      </c>
    </row>
    <row r="937" spans="28:38" x14ac:dyDescent="0.3">
      <c r="AB937">
        <v>932</v>
      </c>
      <c r="AC937" s="7">
        <v>0.38678213621880841</v>
      </c>
      <c r="AD937">
        <v>0.82173839090530976</v>
      </c>
      <c r="AE937">
        <v>0.93909310415069991</v>
      </c>
      <c r="AF937" s="7">
        <v>6.284065223899378E-2</v>
      </c>
      <c r="AG937" s="10">
        <v>112.71872780175791</v>
      </c>
      <c r="AH937" s="1">
        <v>0.37874062609666204</v>
      </c>
      <c r="AI937" s="10">
        <v>9.7239983381631827</v>
      </c>
      <c r="AJ937" s="32">
        <v>1751.9185267972448</v>
      </c>
      <c r="AK937">
        <v>320</v>
      </c>
      <c r="AL937" s="7">
        <v>0.17432009295190254</v>
      </c>
    </row>
    <row r="938" spans="28:38" x14ac:dyDescent="0.3">
      <c r="AB938">
        <v>933</v>
      </c>
      <c r="AC938" s="7">
        <v>0.10899918774524542</v>
      </c>
      <c r="AD938">
        <v>0.39616431161034193</v>
      </c>
      <c r="AE938">
        <v>0.93636069095839947</v>
      </c>
      <c r="AF938" s="7">
        <v>6.575452314613614E-2</v>
      </c>
      <c r="AG938" s="10">
        <v>115.77115988980177</v>
      </c>
      <c r="AH938" s="1">
        <v>0.10682089722078211</v>
      </c>
      <c r="AI938" s="10">
        <v>0.88643216155817006</v>
      </c>
      <c r="AJ938" s="32">
        <v>1768.3079936569377</v>
      </c>
      <c r="AK938">
        <v>320</v>
      </c>
      <c r="AL938" s="7">
        <v>5.2631744269682736E-2</v>
      </c>
    </row>
    <row r="939" spans="28:38" x14ac:dyDescent="0.3">
      <c r="AB939">
        <v>934</v>
      </c>
      <c r="AC939" s="7">
        <v>0.75261373188594305</v>
      </c>
      <c r="AD939">
        <v>2.2717174175824795</v>
      </c>
      <c r="AE939">
        <v>0.95362281869431509</v>
      </c>
      <c r="AF939" s="7">
        <v>4.748705395743473E-2</v>
      </c>
      <c r="AG939" s="10">
        <v>125.03149383499867</v>
      </c>
      <c r="AH939" s="1">
        <v>1.7561029047427321</v>
      </c>
      <c r="AI939" s="10">
        <v>272.11221965806226</v>
      </c>
      <c r="AJ939" s="32">
        <v>1798.1661658300088</v>
      </c>
      <c r="AK939">
        <v>320</v>
      </c>
      <c r="AL939" s="7">
        <v>0.92214461253723345</v>
      </c>
    </row>
    <row r="940" spans="28:38" x14ac:dyDescent="0.3">
      <c r="AB940">
        <v>935</v>
      </c>
      <c r="AC940" s="7">
        <v>0.70089902076922761</v>
      </c>
      <c r="AD940">
        <v>1.702024492971665</v>
      </c>
      <c r="AE940">
        <v>0.95976559024887809</v>
      </c>
      <c r="AF940" s="7">
        <v>4.1066201160354851E-2</v>
      </c>
      <c r="AG940" s="10">
        <v>132.05258928324898</v>
      </c>
      <c r="AH940" s="1">
        <v>1.2331817102002032</v>
      </c>
      <c r="AI940" s="10">
        <v>166.79069317199696</v>
      </c>
      <c r="AJ940" s="32">
        <v>1790.8942235915642</v>
      </c>
      <c r="AK940">
        <v>320</v>
      </c>
      <c r="AL940" s="7">
        <v>0.72195631181013342</v>
      </c>
    </row>
    <row r="941" spans="28:38" x14ac:dyDescent="0.3">
      <c r="AB941">
        <v>936</v>
      </c>
      <c r="AC941" s="7">
        <v>0.2153981477490601</v>
      </c>
      <c r="AD941">
        <v>0.44364399129994647</v>
      </c>
      <c r="AE941">
        <v>0.94696235597174638</v>
      </c>
      <c r="AF941" s="7">
        <v>5.4495937407953186E-2</v>
      </c>
      <c r="AG941" s="10">
        <v>119.45756502217027</v>
      </c>
      <c r="AH941" s="1">
        <v>0.14859773801426224</v>
      </c>
      <c r="AI941" s="10">
        <v>2.3707977550653814</v>
      </c>
      <c r="AJ941" s="32">
        <v>1787.1330472840643</v>
      </c>
      <c r="AK941">
        <v>320</v>
      </c>
      <c r="AL941" s="7">
        <v>8.6074055234892449E-2</v>
      </c>
    </row>
    <row r="942" spans="28:38" x14ac:dyDescent="0.3">
      <c r="AB942">
        <v>937</v>
      </c>
      <c r="AC942" s="7">
        <v>0.33615051837443211</v>
      </c>
      <c r="AD942">
        <v>0.64488400629488329</v>
      </c>
      <c r="AE942">
        <v>0.94597435914709704</v>
      </c>
      <c r="AF942" s="7">
        <v>5.5539814793261345E-2</v>
      </c>
      <c r="AG942" s="10">
        <v>120.93813432654453</v>
      </c>
      <c r="AH942" s="1">
        <v>0.27080373386030854</v>
      </c>
      <c r="AI942" s="10">
        <v>7.16885426538804</v>
      </c>
      <c r="AJ942" s="32">
        <v>1803.0021041425894</v>
      </c>
      <c r="AK942">
        <v>320</v>
      </c>
      <c r="AL942" s="7">
        <v>0.14967521364386832</v>
      </c>
    </row>
    <row r="943" spans="28:38" x14ac:dyDescent="0.3">
      <c r="AB943">
        <v>938</v>
      </c>
      <c r="AC943" s="7">
        <v>1.3411993613020845</v>
      </c>
      <c r="AD943">
        <v>17.69126444903911</v>
      </c>
      <c r="AE943">
        <v>0.96491218402462209</v>
      </c>
      <c r="AF943" s="7">
        <v>3.5718182794748636E-2</v>
      </c>
      <c r="AG943" s="10">
        <v>129.00355610803325</v>
      </c>
      <c r="AH943" s="1">
        <v>23.762600395652907</v>
      </c>
      <c r="AI943" s="10">
        <v>49176.851997844024</v>
      </c>
      <c r="AJ943" s="32">
        <v>1809.5787722081654</v>
      </c>
      <c r="AK943">
        <v>320</v>
      </c>
      <c r="AL943" s="7">
        <v>12.396679494657533</v>
      </c>
    </row>
    <row r="944" spans="28:38" x14ac:dyDescent="0.3">
      <c r="AB944">
        <v>939</v>
      </c>
      <c r="AC944" s="7">
        <v>1.033886458368662</v>
      </c>
      <c r="AD944">
        <v>6.2993570924461908</v>
      </c>
      <c r="AE944">
        <v>0.95308486100311229</v>
      </c>
      <c r="AF944" s="7">
        <v>4.8051333119054795E-2</v>
      </c>
      <c r="AG944" s="10">
        <v>118.91877038131157</v>
      </c>
      <c r="AH944" s="1">
        <v>6.5597351333055922</v>
      </c>
      <c r="AI944" s="10">
        <v>3004.0842947257315</v>
      </c>
      <c r="AJ944" s="32">
        <v>1773.2356180502218</v>
      </c>
      <c r="AK944">
        <v>320</v>
      </c>
      <c r="AL944" s="7">
        <v>3.0639457274922335</v>
      </c>
    </row>
    <row r="945" spans="28:38" x14ac:dyDescent="0.3">
      <c r="AB945">
        <v>940</v>
      </c>
      <c r="AC945" s="7">
        <v>0.40695204629078624</v>
      </c>
      <c r="AD945">
        <v>0.78913619363722909</v>
      </c>
      <c r="AE945">
        <v>0.94627002190919196</v>
      </c>
      <c r="AF945" s="7">
        <v>5.5227315237219882E-2</v>
      </c>
      <c r="AG945" s="10">
        <v>118.33969661310354</v>
      </c>
      <c r="AH945" s="1">
        <v>0.37487056689360054</v>
      </c>
      <c r="AI945" s="10">
        <v>12.754850299146286</v>
      </c>
      <c r="AJ945" s="32">
        <v>1786.7477279609782</v>
      </c>
      <c r="AK945">
        <v>320</v>
      </c>
      <c r="AL945" s="7">
        <v>0.1996469563625555</v>
      </c>
    </row>
    <row r="946" spans="28:38" x14ac:dyDescent="0.3">
      <c r="AB946">
        <v>941</v>
      </c>
      <c r="AC946" s="7">
        <v>0.74088299803008584</v>
      </c>
      <c r="AD946">
        <v>2.1847536847290883</v>
      </c>
      <c r="AE946">
        <v>0.95459819734411888</v>
      </c>
      <c r="AF946" s="7">
        <v>4.6464762800853307E-2</v>
      </c>
      <c r="AG946" s="10">
        <v>129.15761440193907</v>
      </c>
      <c r="AH946" s="1">
        <v>1.6640486625552451</v>
      </c>
      <c r="AI946" s="10">
        <v>232.52013573921835</v>
      </c>
      <c r="AJ946" s="32">
        <v>1782.2177851877013</v>
      </c>
      <c r="AK946">
        <v>320</v>
      </c>
      <c r="AL946" s="7">
        <v>0.85242326586330186</v>
      </c>
    </row>
    <row r="947" spans="28:38" x14ac:dyDescent="0.3">
      <c r="AB947">
        <v>942</v>
      </c>
      <c r="AC947" s="7">
        <v>0.29777668660737627</v>
      </c>
      <c r="AD947">
        <v>0.58735132126250889</v>
      </c>
      <c r="AE947">
        <v>0.94448081131534212</v>
      </c>
      <c r="AF947" s="7">
        <v>5.7119908482691863E-2</v>
      </c>
      <c r="AG947" s="10">
        <v>119.02314451600029</v>
      </c>
      <c r="AH947" s="1">
        <v>0.23041871900467237</v>
      </c>
      <c r="AI947" s="10">
        <v>5.2292441659654347</v>
      </c>
      <c r="AJ947" s="32">
        <v>1808.3606913054882</v>
      </c>
      <c r="AK947">
        <v>320</v>
      </c>
      <c r="AL947" s="7">
        <v>0.12783343857786969</v>
      </c>
    </row>
    <row r="948" spans="28:38" x14ac:dyDescent="0.3">
      <c r="AB948">
        <v>943</v>
      </c>
      <c r="AC948" s="7">
        <v>0.32183988145359071</v>
      </c>
      <c r="AD948">
        <v>0.71644095242838768</v>
      </c>
      <c r="AE948">
        <v>0.93548850284920904</v>
      </c>
      <c r="AF948" s="7">
        <v>6.6686423189361688E-2</v>
      </c>
      <c r="AG948" s="10">
        <v>112.64160022437174</v>
      </c>
      <c r="AH948" s="1">
        <v>0.29509076834884085</v>
      </c>
      <c r="AI948" s="10">
        <v>6.3937129703768925</v>
      </c>
      <c r="AJ948" s="32">
        <v>1799.5416154402023</v>
      </c>
      <c r="AK948">
        <v>320</v>
      </c>
      <c r="AL948" s="7">
        <v>0.14135187664982657</v>
      </c>
    </row>
    <row r="949" spans="28:38" x14ac:dyDescent="0.3">
      <c r="AB949">
        <v>944</v>
      </c>
      <c r="AC949" s="7">
        <v>0.6848404911592938</v>
      </c>
      <c r="AD949">
        <v>1.8683329628501668</v>
      </c>
      <c r="AE949">
        <v>0.94915453164028207</v>
      </c>
      <c r="AF949" s="7">
        <v>5.218365733746929E-2</v>
      </c>
      <c r="AG949" s="10">
        <v>117.52754629529507</v>
      </c>
      <c r="AH949" s="1">
        <v>1.3303555322871248</v>
      </c>
      <c r="AI949" s="10">
        <v>146.35607086109599</v>
      </c>
      <c r="AJ949" s="32">
        <v>1786.7153045079485</v>
      </c>
      <c r="AK949">
        <v>320</v>
      </c>
      <c r="AL949" s="7">
        <v>0.67628597607885155</v>
      </c>
    </row>
    <row r="950" spans="28:38" x14ac:dyDescent="0.3">
      <c r="AB950">
        <v>945</v>
      </c>
      <c r="AC950" s="7">
        <v>0.55037376597390164</v>
      </c>
      <c r="AD950">
        <v>1.0588275350046867</v>
      </c>
      <c r="AE950">
        <v>0.9552790682946054</v>
      </c>
      <c r="AF950" s="7">
        <v>4.5751763079268301E-2</v>
      </c>
      <c r="AG950" s="10">
        <v>121.39192583110199</v>
      </c>
      <c r="AH950" s="1">
        <v>0.62747182966278725</v>
      </c>
      <c r="AI950" s="10">
        <v>43.672956924222397</v>
      </c>
      <c r="AJ950" s="32">
        <v>1780.755713457477</v>
      </c>
      <c r="AK950">
        <v>320</v>
      </c>
      <c r="AL950" s="7">
        <v>0.36942927657157193</v>
      </c>
    </row>
    <row r="951" spans="28:38" x14ac:dyDescent="0.3">
      <c r="AB951">
        <v>946</v>
      </c>
      <c r="AC951" s="7">
        <v>0.33981960342943024</v>
      </c>
      <c r="AD951">
        <v>0.60737829990668957</v>
      </c>
      <c r="AE951">
        <v>0.94944328818823498</v>
      </c>
      <c r="AF951" s="7">
        <v>5.1879478593383918E-2</v>
      </c>
      <c r="AG951" s="10">
        <v>119.62087783729061</v>
      </c>
      <c r="AH951" s="1">
        <v>0.25695576481769777</v>
      </c>
      <c r="AI951" s="10">
        <v>6.8326294524920224</v>
      </c>
      <c r="AJ951" s="32">
        <v>1776.71723285848</v>
      </c>
      <c r="AK951">
        <v>320</v>
      </c>
      <c r="AL951" s="7">
        <v>0.14612312287601018</v>
      </c>
    </row>
    <row r="952" spans="28:38" x14ac:dyDescent="0.3">
      <c r="AB952">
        <v>947</v>
      </c>
      <c r="AC952" s="7">
        <v>0.49000059917885513</v>
      </c>
      <c r="AD952">
        <v>0.9986936485283654</v>
      </c>
      <c r="AE952">
        <v>0.94834715648540346</v>
      </c>
      <c r="AF952" s="7">
        <v>5.3034644937274653E-2</v>
      </c>
      <c r="AG952" s="10">
        <v>120.74306923419977</v>
      </c>
      <c r="AH952" s="1">
        <v>0.54101332968961247</v>
      </c>
      <c r="AI952" s="10">
        <v>24.968044356187288</v>
      </c>
      <c r="AJ952" s="32">
        <v>1769.8688311820176</v>
      </c>
      <c r="AK952">
        <v>320</v>
      </c>
      <c r="AL952" s="7">
        <v>0.27932980258662926</v>
      </c>
    </row>
    <row r="953" spans="28:38" x14ac:dyDescent="0.3">
      <c r="AB953">
        <v>948</v>
      </c>
      <c r="AC953" s="7">
        <v>0.68575351452706212</v>
      </c>
      <c r="AD953">
        <v>1.7329133203333249</v>
      </c>
      <c r="AE953">
        <v>0.95436559919126018</v>
      </c>
      <c r="AF953" s="7">
        <v>4.670845328302161E-2</v>
      </c>
      <c r="AG953" s="10">
        <v>122.52926842905222</v>
      </c>
      <c r="AH953" s="1">
        <v>1.2339858005980782</v>
      </c>
      <c r="AI953" s="10">
        <v>198.97846432334089</v>
      </c>
      <c r="AJ953" s="32">
        <v>1885.7044170315758</v>
      </c>
      <c r="AK953">
        <v>320</v>
      </c>
      <c r="AL953" s="7">
        <v>0.78854784319687299</v>
      </c>
    </row>
    <row r="954" spans="28:38" x14ac:dyDescent="0.3">
      <c r="AB954">
        <v>949</v>
      </c>
      <c r="AC954" s="7">
        <v>0.43064783341286783</v>
      </c>
      <c r="AD954">
        <v>0.74808469778635733</v>
      </c>
      <c r="AE954">
        <v>0.95401430261756048</v>
      </c>
      <c r="AF954" s="7">
        <v>4.7076615384639559E-2</v>
      </c>
      <c r="AG954" s="10">
        <v>125.24649054626352</v>
      </c>
      <c r="AH954" s="1">
        <v>0.36814675169345429</v>
      </c>
      <c r="AI954" s="10">
        <v>17.825652264473103</v>
      </c>
      <c r="AJ954" s="32">
        <v>1831.7992927455971</v>
      </c>
      <c r="AK954">
        <v>320</v>
      </c>
      <c r="AL954" s="7">
        <v>0.23601941302884058</v>
      </c>
    </row>
    <row r="955" spans="28:38" x14ac:dyDescent="0.3">
      <c r="AB955">
        <v>950</v>
      </c>
      <c r="AC955" s="7">
        <v>0.38824871236462394</v>
      </c>
      <c r="AD955">
        <v>0.77027585538029397</v>
      </c>
      <c r="AE955">
        <v>0.94404944554170056</v>
      </c>
      <c r="AF955" s="7">
        <v>5.7576735456553847E-2</v>
      </c>
      <c r="AG955" s="10">
        <v>116.62912868350482</v>
      </c>
      <c r="AH955" s="1">
        <v>0.35500916347525785</v>
      </c>
      <c r="AI955" s="10">
        <v>10.78508851363503</v>
      </c>
      <c r="AJ955" s="32">
        <v>1784.3298050752815</v>
      </c>
      <c r="AK955">
        <v>320</v>
      </c>
      <c r="AL955" s="7">
        <v>0.18358486213495237</v>
      </c>
    </row>
    <row r="956" spans="28:38" x14ac:dyDescent="0.3">
      <c r="AB956">
        <v>951</v>
      </c>
      <c r="AC956" s="7">
        <v>0.98536187002394471</v>
      </c>
      <c r="AD956">
        <v>5.1529123117250215</v>
      </c>
      <c r="AE956">
        <v>0.95408704601951233</v>
      </c>
      <c r="AF956" s="7">
        <v>4.700036848922276E-2</v>
      </c>
      <c r="AG956" s="10">
        <v>119.68544838628823</v>
      </c>
      <c r="AH956" s="1">
        <v>5.1233962655312633</v>
      </c>
      <c r="AI956" s="10">
        <v>1825.1238517669588</v>
      </c>
      <c r="AJ956" s="32">
        <v>1751.1316539867705</v>
      </c>
      <c r="AK956">
        <v>320</v>
      </c>
      <c r="AL956" s="7">
        <v>2.3882026791651807</v>
      </c>
    </row>
    <row r="957" spans="28:38" x14ac:dyDescent="0.3">
      <c r="AB957">
        <v>952</v>
      </c>
      <c r="AC957" s="7">
        <v>0.58895060314455683</v>
      </c>
      <c r="AD957">
        <v>1.3122099966507468</v>
      </c>
      <c r="AE957">
        <v>0.95108463695316736</v>
      </c>
      <c r="AF957" s="7">
        <v>5.0152222549115333E-2</v>
      </c>
      <c r="AG957" s="10">
        <v>120.35486718898116</v>
      </c>
      <c r="AH957" s="1">
        <v>0.8217422320266069</v>
      </c>
      <c r="AI957" s="10">
        <v>57.854402978723108</v>
      </c>
      <c r="AJ957" s="32">
        <v>1761.0651205921856</v>
      </c>
      <c r="AK957">
        <v>320</v>
      </c>
      <c r="AL957" s="7">
        <v>0.42519996390934667</v>
      </c>
    </row>
    <row r="958" spans="28:38" x14ac:dyDescent="0.3">
      <c r="AB958">
        <v>953</v>
      </c>
      <c r="AC958" s="7">
        <v>0.61855543381118072</v>
      </c>
      <c r="AD958">
        <v>1.5175871269672776</v>
      </c>
      <c r="AE958">
        <v>0.94828235278977224</v>
      </c>
      <c r="AF958" s="7">
        <v>5.3102980577250228E-2</v>
      </c>
      <c r="AG958" s="10">
        <v>118.26864554050634</v>
      </c>
      <c r="AH958" s="1">
        <v>0.99042941087773551</v>
      </c>
      <c r="AI958" s="10">
        <v>74.331824686514636</v>
      </c>
      <c r="AJ958" s="32">
        <v>1756.2993029490112</v>
      </c>
      <c r="AK958">
        <v>320</v>
      </c>
      <c r="AL958" s="7">
        <v>0.48196156708326676</v>
      </c>
    </row>
    <row r="959" spans="28:38" x14ac:dyDescent="0.3">
      <c r="AB959">
        <v>954</v>
      </c>
      <c r="AC959" s="7">
        <v>0.1548585942724518</v>
      </c>
      <c r="AD959">
        <v>0.37296558202141805</v>
      </c>
      <c r="AE959">
        <v>0.94790393033082876</v>
      </c>
      <c r="AF959" s="7">
        <v>5.3502121175762182E-2</v>
      </c>
      <c r="AG959" s="10">
        <v>123.67335796870124</v>
      </c>
      <c r="AH959" s="1">
        <v>0.10985299541301485</v>
      </c>
      <c r="AI959" s="10">
        <v>1.3398730730494861</v>
      </c>
      <c r="AJ959" s="32">
        <v>1777.3763993916516</v>
      </c>
      <c r="AK959">
        <v>320</v>
      </c>
      <c r="AL959" s="7">
        <v>6.4707830695207552E-2</v>
      </c>
    </row>
    <row r="960" spans="28:38" x14ac:dyDescent="0.3">
      <c r="AB960">
        <v>955</v>
      </c>
      <c r="AC960" s="7">
        <v>0.76529397988311854</v>
      </c>
      <c r="AD960">
        <v>2.5440829007007113</v>
      </c>
      <c r="AE960">
        <v>0.94767184863852227</v>
      </c>
      <c r="AF960" s="7">
        <v>5.374698787646702E-2</v>
      </c>
      <c r="AG960" s="10">
        <v>116.77923248914755</v>
      </c>
      <c r="AH960" s="1">
        <v>1.9992994795913137</v>
      </c>
      <c r="AI960" s="10">
        <v>294.79909223185859</v>
      </c>
      <c r="AJ960" s="32">
        <v>1783.6257346854272</v>
      </c>
      <c r="AK960">
        <v>320</v>
      </c>
      <c r="AL960" s="7">
        <v>0.95981621325364064</v>
      </c>
    </row>
    <row r="961" spans="28:38" x14ac:dyDescent="0.3">
      <c r="AB961">
        <v>956</v>
      </c>
      <c r="AC961" s="7">
        <v>0.52003870101292871</v>
      </c>
      <c r="AD961">
        <v>1.0895838949714891</v>
      </c>
      <c r="AE961">
        <v>0.94929073091980842</v>
      </c>
      <c r="AF961" s="7">
        <v>5.2040172263186607E-2</v>
      </c>
      <c r="AG961" s="10">
        <v>122.24101681642162</v>
      </c>
      <c r="AH961" s="1">
        <v>0.61733506246577208</v>
      </c>
      <c r="AI961" s="10">
        <v>36.634695468149978</v>
      </c>
      <c r="AJ961" s="32">
        <v>1808.9836976685453</v>
      </c>
      <c r="AK961">
        <v>320</v>
      </c>
      <c r="AL961" s="7">
        <v>0.33835399116601045</v>
      </c>
    </row>
    <row r="962" spans="28:38" x14ac:dyDescent="0.3">
      <c r="AB962">
        <v>957</v>
      </c>
      <c r="AC962" s="7">
        <v>0.66020769428741455</v>
      </c>
      <c r="AD962">
        <v>1.5145436074127574</v>
      </c>
      <c r="AE962">
        <v>0.95801711557868185</v>
      </c>
      <c r="AF962" s="7">
        <v>4.288963522235098E-2</v>
      </c>
      <c r="AG962" s="10">
        <v>129.5973400599938</v>
      </c>
      <c r="AH962" s="1">
        <v>1.0418962273690378</v>
      </c>
      <c r="AI962" s="10">
        <v>113.51886228034357</v>
      </c>
      <c r="AJ962" s="32">
        <v>1781.0854242320561</v>
      </c>
      <c r="AK962">
        <v>320</v>
      </c>
      <c r="AL962" s="7">
        <v>0.59560594744014572</v>
      </c>
    </row>
    <row r="963" spans="28:38" x14ac:dyDescent="0.3">
      <c r="AB963">
        <v>958</v>
      </c>
      <c r="AC963" s="7">
        <v>0.41352483277950636</v>
      </c>
      <c r="AD963">
        <v>0.83303302089631437</v>
      </c>
      <c r="AE963">
        <v>0.9442194617247337</v>
      </c>
      <c r="AF963" s="7">
        <v>5.7396659215465176E-2</v>
      </c>
      <c r="AG963" s="10">
        <v>117.4004887612974</v>
      </c>
      <c r="AH963" s="1">
        <v>0.40026037894122174</v>
      </c>
      <c r="AI963" s="10">
        <v>13.911671882415101</v>
      </c>
      <c r="AJ963" s="32">
        <v>1795.3611109915444</v>
      </c>
      <c r="AK963">
        <v>320</v>
      </c>
      <c r="AL963" s="7">
        <v>0.20850413576844751</v>
      </c>
    </row>
    <row r="964" spans="28:38" x14ac:dyDescent="0.3">
      <c r="AB964">
        <v>959</v>
      </c>
      <c r="AC964" s="7">
        <v>0.42315501081370344</v>
      </c>
      <c r="AD964">
        <v>0.91801017251943307</v>
      </c>
      <c r="AE964">
        <v>0.93899371642783958</v>
      </c>
      <c r="AF964" s="7">
        <v>6.2946491566403029E-2</v>
      </c>
      <c r="AG964" s="10">
        <v>112.11357231922226</v>
      </c>
      <c r="AH964" s="1">
        <v>0.44946688805171087</v>
      </c>
      <c r="AI964" s="10">
        <v>15.137855060620025</v>
      </c>
      <c r="AJ964" s="32">
        <v>1791.0370464581745</v>
      </c>
      <c r="AK964">
        <v>320</v>
      </c>
      <c r="AL964" s="7">
        <v>0.21749895876632969</v>
      </c>
    </row>
    <row r="965" spans="28:38" x14ac:dyDescent="0.3">
      <c r="AB965">
        <v>960</v>
      </c>
      <c r="AC965" s="7">
        <v>0.51043404858700403</v>
      </c>
      <c r="AD965">
        <v>1.1009001762419266</v>
      </c>
      <c r="AE965">
        <v>0.94505439257176815</v>
      </c>
      <c r="AF965" s="7">
        <v>5.6512794867805027E-2</v>
      </c>
      <c r="AG965" s="10">
        <v>114.18282605785051</v>
      </c>
      <c r="AH965" s="1">
        <v>0.61688254147754473</v>
      </c>
      <c r="AI965" s="10">
        <v>30.606457497050833</v>
      </c>
      <c r="AJ965" s="32">
        <v>1773.668037933488</v>
      </c>
      <c r="AK965">
        <v>320</v>
      </c>
      <c r="AL965" s="7">
        <v>0.30926554880601209</v>
      </c>
    </row>
    <row r="966" spans="28:38" x14ac:dyDescent="0.3">
      <c r="AB966">
        <v>961</v>
      </c>
      <c r="AC966" s="7">
        <v>0.62409007751358569</v>
      </c>
      <c r="AD966">
        <v>1.4843822469984298</v>
      </c>
      <c r="AE966">
        <v>0.95050544877790277</v>
      </c>
      <c r="AF966" s="7">
        <v>5.0761384531522569E-2</v>
      </c>
      <c r="AG966" s="10">
        <v>118.78593619282267</v>
      </c>
      <c r="AH966" s="1">
        <v>0.97588278281113783</v>
      </c>
      <c r="AI966" s="10">
        <v>76.345645193759637</v>
      </c>
      <c r="AJ966" s="32">
        <v>1750.1973514319361</v>
      </c>
      <c r="AK966">
        <v>320</v>
      </c>
      <c r="AL966" s="7">
        <v>0.48844666160236866</v>
      </c>
    </row>
    <row r="967" spans="28:38" x14ac:dyDescent="0.3">
      <c r="AB967">
        <v>962</v>
      </c>
      <c r="AC967" s="7">
        <v>0.37819879886428009</v>
      </c>
      <c r="AD967">
        <v>0.63281566675334222</v>
      </c>
      <c r="AE967">
        <v>0.95436476489456201</v>
      </c>
      <c r="AF967" s="7">
        <v>4.6709327473230838E-2</v>
      </c>
      <c r="AG967" s="10">
        <v>126.87305443358586</v>
      </c>
      <c r="AH967" s="1">
        <v>0.28496536017405055</v>
      </c>
      <c r="AI967" s="10">
        <v>9.2326471624437616</v>
      </c>
      <c r="AJ967" s="32">
        <v>1769.2898228501897</v>
      </c>
      <c r="AK967">
        <v>320</v>
      </c>
      <c r="AL967" s="7">
        <v>0.16985883074670199</v>
      </c>
    </row>
    <row r="968" spans="28:38" x14ac:dyDescent="0.3">
      <c r="AB968">
        <v>963</v>
      </c>
      <c r="AC968" s="7">
        <v>0.84915766606116272</v>
      </c>
      <c r="AD968">
        <v>3.1651100853063316</v>
      </c>
      <c r="AE968">
        <v>0.95184358327266361</v>
      </c>
      <c r="AF968" s="7">
        <v>4.9354560975052364E-2</v>
      </c>
      <c r="AG968" s="10">
        <v>116.43654108580377</v>
      </c>
      <c r="AH968" s="1">
        <v>2.7358339095927087</v>
      </c>
      <c r="AI968" s="10">
        <v>558.38048947201003</v>
      </c>
      <c r="AJ968" s="32">
        <v>1753.9651016543157</v>
      </c>
      <c r="AK968">
        <v>320</v>
      </c>
      <c r="AL968" s="7">
        <v>1.3209614035239756</v>
      </c>
    </row>
    <row r="969" spans="28:38" x14ac:dyDescent="0.3">
      <c r="AB969">
        <v>964</v>
      </c>
      <c r="AC969" s="7">
        <v>0.49266107729529168</v>
      </c>
      <c r="AD969">
        <v>0.96940972798803726</v>
      </c>
      <c r="AE969">
        <v>0.95047603839249672</v>
      </c>
      <c r="AF969" s="7">
        <v>5.0792326848012111E-2</v>
      </c>
      <c r="AG969" s="10">
        <v>121.55674830322843</v>
      </c>
      <c r="AH969" s="1">
        <v>0.5271144025386254</v>
      </c>
      <c r="AI969" s="10">
        <v>27.993822164724598</v>
      </c>
      <c r="AJ969" s="32">
        <v>1799.805321329168</v>
      </c>
      <c r="AK969">
        <v>320</v>
      </c>
      <c r="AL969" s="7">
        <v>0.29577135470623989</v>
      </c>
    </row>
    <row r="970" spans="28:38" x14ac:dyDescent="0.3">
      <c r="AB970">
        <v>965</v>
      </c>
      <c r="AC970" s="7">
        <v>-7.5247930901405857E-2</v>
      </c>
      <c r="AD970">
        <v>0.27631494488980285</v>
      </c>
      <c r="AE970">
        <v>0.9304422912221586</v>
      </c>
      <c r="AF970" s="7">
        <v>7.2095223928782481E-2</v>
      </c>
      <c r="AG970" s="10">
        <v>112.11126735543006</v>
      </c>
      <c r="AH970" s="1">
        <v>4.8765580897747747E-2</v>
      </c>
      <c r="AI970" s="10">
        <v>0.1728881118080394</v>
      </c>
      <c r="AJ970" s="32">
        <v>1759.5089932133938</v>
      </c>
      <c r="AK970">
        <v>320</v>
      </c>
      <c r="AL970" s="7">
        <v>2.3243823897976062E-2</v>
      </c>
    </row>
    <row r="971" spans="28:38" x14ac:dyDescent="0.3">
      <c r="AB971">
        <v>966</v>
      </c>
      <c r="AC971" s="7">
        <v>1.0692474266951933E-2</v>
      </c>
      <c r="AD971">
        <v>0.27541213789215641</v>
      </c>
      <c r="AE971">
        <v>0.94360963933651265</v>
      </c>
      <c r="AF971" s="7">
        <v>5.8042716010637319E-2</v>
      </c>
      <c r="AG971" s="10">
        <v>116.83630679287523</v>
      </c>
      <c r="AH971" s="1">
        <v>5.9335197860705451E-2</v>
      </c>
      <c r="AI971" s="10">
        <v>0.3681501196012178</v>
      </c>
      <c r="AJ971" s="32">
        <v>1763.6323815163466</v>
      </c>
      <c r="AK971">
        <v>320</v>
      </c>
      <c r="AL971" s="7">
        <v>3.3918566062759871E-2</v>
      </c>
    </row>
    <row r="972" spans="28:38" x14ac:dyDescent="0.3">
      <c r="AB972">
        <v>967</v>
      </c>
      <c r="AC972" s="7">
        <v>0.55936234528649897</v>
      </c>
      <c r="AD972">
        <v>1.3798900422222409</v>
      </c>
      <c r="AE972">
        <v>0.94129334205835169</v>
      </c>
      <c r="AF972" s="7">
        <v>6.0500453588629648E-2</v>
      </c>
      <c r="AG972" s="10">
        <v>114.06160671827539</v>
      </c>
      <c r="AH972" s="1">
        <v>0.83056518819656711</v>
      </c>
      <c r="AI972" s="10">
        <v>48.490316223156547</v>
      </c>
      <c r="AJ972" s="32">
        <v>1782.2751731912613</v>
      </c>
      <c r="AK972">
        <v>320</v>
      </c>
      <c r="AL972" s="7">
        <v>0.38927141970271106</v>
      </c>
    </row>
    <row r="973" spans="28:38" x14ac:dyDescent="0.3">
      <c r="AB973">
        <v>968</v>
      </c>
      <c r="AC973" s="7">
        <v>0.61661223996620973</v>
      </c>
      <c r="AD973">
        <v>1.3736529439052065</v>
      </c>
      <c r="AE973">
        <v>0.95342247888009402</v>
      </c>
      <c r="AF973" s="7">
        <v>4.7697158893287982E-2</v>
      </c>
      <c r="AG973" s="10">
        <v>120.40969271892854</v>
      </c>
      <c r="AH973" s="1">
        <v>0.89358873979747366</v>
      </c>
      <c r="AI973" s="10">
        <v>77.347688374693675</v>
      </c>
      <c r="AJ973" s="32">
        <v>1776.8128855707369</v>
      </c>
      <c r="AK973">
        <v>320</v>
      </c>
      <c r="AL973" s="7">
        <v>0.49164166439686308</v>
      </c>
    </row>
    <row r="974" spans="28:38" x14ac:dyDescent="0.3">
      <c r="AB974">
        <v>969</v>
      </c>
      <c r="AC974" s="7">
        <v>0.74297203704339565</v>
      </c>
      <c r="AD974">
        <v>2.4758451677430404</v>
      </c>
      <c r="AE974">
        <v>0.94380190455811275</v>
      </c>
      <c r="AF974" s="7">
        <v>5.7838981723976758E-2</v>
      </c>
      <c r="AG974" s="10">
        <v>113.93679769569393</v>
      </c>
      <c r="AH974" s="1">
        <v>1.8956818231239816</v>
      </c>
      <c r="AI974" s="10">
        <v>233.82552605903538</v>
      </c>
      <c r="AJ974" s="32">
        <v>1769.858636801383</v>
      </c>
      <c r="AK974">
        <v>320</v>
      </c>
      <c r="AL974" s="7">
        <v>0.85481270985782931</v>
      </c>
    </row>
    <row r="975" spans="28:38" x14ac:dyDescent="0.3">
      <c r="AB975">
        <v>970</v>
      </c>
      <c r="AC975" s="7">
        <v>0.48457323391722718</v>
      </c>
      <c r="AD975">
        <v>1.138510975134589</v>
      </c>
      <c r="AE975">
        <v>0.93879593265098804</v>
      </c>
      <c r="AF975" s="7">
        <v>6.315714751253626E-2</v>
      </c>
      <c r="AG975" s="10">
        <v>116.12432353734722</v>
      </c>
      <c r="AH975" s="1">
        <v>0.61289601242023561</v>
      </c>
      <c r="AI975" s="10">
        <v>23.707220120389891</v>
      </c>
      <c r="AJ975" s="32">
        <v>1764.1071109349139</v>
      </c>
      <c r="AK975">
        <v>320</v>
      </c>
      <c r="AL975" s="7">
        <v>0.27218571394586161</v>
      </c>
    </row>
    <row r="976" spans="28:38" x14ac:dyDescent="0.3">
      <c r="AB976">
        <v>971</v>
      </c>
      <c r="AC976" s="7">
        <v>0.3514218348717732</v>
      </c>
      <c r="AD976">
        <v>0.66171679750370271</v>
      </c>
      <c r="AE976">
        <v>0.94607951361380993</v>
      </c>
      <c r="AF976" s="7">
        <v>5.5428661016579804E-2</v>
      </c>
      <c r="AG976" s="10">
        <v>115.86170224925264</v>
      </c>
      <c r="AH976" s="1">
        <v>0.2864622175304149</v>
      </c>
      <c r="AI976" s="10">
        <v>7.538236505560941</v>
      </c>
      <c r="AJ976" s="32">
        <v>1773.0653616589993</v>
      </c>
      <c r="AK976">
        <v>320</v>
      </c>
      <c r="AL976" s="7">
        <v>0.153482862495713</v>
      </c>
    </row>
    <row r="977" spans="28:38" x14ac:dyDescent="0.3">
      <c r="AB977">
        <v>972</v>
      </c>
      <c r="AC977" s="7">
        <v>0.86668159632019637</v>
      </c>
      <c r="AD977">
        <v>3.3317551371607492</v>
      </c>
      <c r="AE977">
        <v>0.95369214838603289</v>
      </c>
      <c r="AF977" s="7">
        <v>4.7414355223408165E-2</v>
      </c>
      <c r="AG977" s="10">
        <v>119.93606347546432</v>
      </c>
      <c r="AH977" s="1">
        <v>2.93387871243646</v>
      </c>
      <c r="AI977" s="10">
        <v>662.72890500531275</v>
      </c>
      <c r="AJ977" s="32">
        <v>1760.9174811146829</v>
      </c>
      <c r="AK977">
        <v>320</v>
      </c>
      <c r="AL977" s="7">
        <v>1.4391066076360022</v>
      </c>
    </row>
    <row r="978" spans="28:38" x14ac:dyDescent="0.3">
      <c r="AB978">
        <v>973</v>
      </c>
      <c r="AC978" s="7">
        <v>0.65483438009003747</v>
      </c>
      <c r="AD978">
        <v>1.5056541451264049</v>
      </c>
      <c r="AE978">
        <v>0.95462454131171037</v>
      </c>
      <c r="AF978" s="7">
        <v>4.6437166264252545E-2</v>
      </c>
      <c r="AG978" s="10">
        <v>117.93233177187076</v>
      </c>
      <c r="AH978" s="1">
        <v>1.0313295574421342</v>
      </c>
      <c r="AI978" s="10">
        <v>127.11125540186158</v>
      </c>
      <c r="AJ978" s="32">
        <v>1827.9862305011275</v>
      </c>
      <c r="AK978">
        <v>320</v>
      </c>
      <c r="AL978" s="7">
        <v>0.6302560377583204</v>
      </c>
    </row>
    <row r="979" spans="28:38" x14ac:dyDescent="0.3">
      <c r="AB979">
        <v>974</v>
      </c>
      <c r="AC979" s="7">
        <v>0.47233763899051451</v>
      </c>
      <c r="AD979">
        <v>0.91067164784669741</v>
      </c>
      <c r="AE979">
        <v>0.95051291453320175</v>
      </c>
      <c r="AF979" s="7">
        <v>5.0753530051583708E-2</v>
      </c>
      <c r="AG979" s="10">
        <v>122.5660797826777</v>
      </c>
      <c r="AH979" s="1">
        <v>0.47963158150630858</v>
      </c>
      <c r="AI979" s="10">
        <v>21.374918490441409</v>
      </c>
      <c r="AJ979" s="32">
        <v>1771.0890370777383</v>
      </c>
      <c r="AK979">
        <v>320</v>
      </c>
      <c r="AL979" s="7">
        <v>0.25845042132414758</v>
      </c>
    </row>
    <row r="980" spans="28:38" x14ac:dyDescent="0.3">
      <c r="AB980">
        <v>975</v>
      </c>
      <c r="AC980" s="7">
        <v>0.53548468377698399</v>
      </c>
      <c r="AD980">
        <v>1.0715588158676284</v>
      </c>
      <c r="AE980">
        <v>0.95360966141402359</v>
      </c>
      <c r="AF980" s="7">
        <v>4.7500851205991408E-2</v>
      </c>
      <c r="AG980" s="10">
        <v>126.75183181284685</v>
      </c>
      <c r="AH980" s="1">
        <v>0.62019367224929278</v>
      </c>
      <c r="AI980" s="10">
        <v>37.141614354494216</v>
      </c>
      <c r="AJ980" s="32">
        <v>1772.5533642548874</v>
      </c>
      <c r="AK980">
        <v>320</v>
      </c>
      <c r="AL980" s="7">
        <v>0.34068687215358684</v>
      </c>
    </row>
    <row r="981" spans="28:38" x14ac:dyDescent="0.3">
      <c r="AB981">
        <v>976</v>
      </c>
      <c r="AC981" s="7">
        <v>0.23878637401834066</v>
      </c>
      <c r="AD981">
        <v>0.4902919718297884</v>
      </c>
      <c r="AE981">
        <v>0.94528430514425243</v>
      </c>
      <c r="AF981" s="7">
        <v>5.626954473078382E-2</v>
      </c>
      <c r="AG981" s="10">
        <v>120.47266522656273</v>
      </c>
      <c r="AH981" s="1">
        <v>0.17179073701928516</v>
      </c>
      <c r="AI981" s="10">
        <v>2.5443328677375567</v>
      </c>
      <c r="AJ981" s="32">
        <v>1744.6515572243652</v>
      </c>
      <c r="AK981">
        <v>320</v>
      </c>
      <c r="AL981" s="7">
        <v>8.9168605527281092E-2</v>
      </c>
    </row>
    <row r="982" spans="28:38" x14ac:dyDescent="0.3">
      <c r="AB982">
        <v>977</v>
      </c>
      <c r="AC982" s="7">
        <v>0.46074242926970449</v>
      </c>
      <c r="AD982">
        <v>0.82188449647257256</v>
      </c>
      <c r="AE982">
        <v>0.95464596544715141</v>
      </c>
      <c r="AF982" s="7">
        <v>4.6414724043136055E-2</v>
      </c>
      <c r="AG982" s="10">
        <v>127.93651877523615</v>
      </c>
      <c r="AH982" s="1">
        <v>0.42403109403672956</v>
      </c>
      <c r="AI982" s="10">
        <v>21.081735130702178</v>
      </c>
      <c r="AJ982" s="32">
        <v>1802.1610905278355</v>
      </c>
      <c r="AK982">
        <v>320</v>
      </c>
      <c r="AL982" s="7">
        <v>0.25667181824938301</v>
      </c>
    </row>
    <row r="983" spans="28:38" x14ac:dyDescent="0.3">
      <c r="AB983">
        <v>978</v>
      </c>
      <c r="AC983" s="7">
        <v>0.19001563786740158</v>
      </c>
      <c r="AD983">
        <v>0.44116769618963259</v>
      </c>
      <c r="AE983">
        <v>0.94382426750881432</v>
      </c>
      <c r="AF983" s="7">
        <v>5.7815287466042066E-2</v>
      </c>
      <c r="AG983" s="10">
        <v>122.22527232724944</v>
      </c>
      <c r="AH983" s="1">
        <v>0.14000449368915074</v>
      </c>
      <c r="AI983" s="10">
        <v>1.7153774717905708</v>
      </c>
      <c r="AJ983" s="32">
        <v>1757.0237370860398</v>
      </c>
      <c r="AK983">
        <v>320</v>
      </c>
      <c r="AL983" s="7">
        <v>7.321580839781483E-2</v>
      </c>
    </row>
    <row r="984" spans="28:38" x14ac:dyDescent="0.3">
      <c r="AB984">
        <v>979</v>
      </c>
      <c r="AC984" s="7">
        <v>0.66498057343271855</v>
      </c>
      <c r="AD984">
        <v>1.5003987039597566</v>
      </c>
      <c r="AE984">
        <v>0.95942440541001639</v>
      </c>
      <c r="AF984" s="7">
        <v>4.1421752036743038E-2</v>
      </c>
      <c r="AG984" s="10">
        <v>131.05377541092128</v>
      </c>
      <c r="AH984" s="1">
        <v>1.0383115851268503</v>
      </c>
      <c r="AI984" s="10">
        <v>122.27620712590846</v>
      </c>
      <c r="AJ984" s="32">
        <v>1792.2577442007105</v>
      </c>
      <c r="AK984">
        <v>320</v>
      </c>
      <c r="AL984" s="7">
        <v>0.61815301282810542</v>
      </c>
    </row>
    <row r="985" spans="28:38" x14ac:dyDescent="0.3">
      <c r="AB985">
        <v>980</v>
      </c>
      <c r="AC985" s="7">
        <v>0.31420129289730508</v>
      </c>
      <c r="AD985">
        <v>0.55073085180915815</v>
      </c>
      <c r="AE985">
        <v>0.95077200663694328</v>
      </c>
      <c r="AF985" s="7">
        <v>5.0480985834291059E-2</v>
      </c>
      <c r="AG985" s="10">
        <v>121.22332089216782</v>
      </c>
      <c r="AH985" s="1">
        <v>0.22226833903992835</v>
      </c>
      <c r="AI985" s="10">
        <v>6.0610694619130214</v>
      </c>
      <c r="AJ985" s="32">
        <v>1811.2580472515317</v>
      </c>
      <c r="AK985">
        <v>320</v>
      </c>
      <c r="AL985" s="7">
        <v>0.13762573185446897</v>
      </c>
    </row>
    <row r="986" spans="28:38" x14ac:dyDescent="0.3">
      <c r="AB986">
        <v>981</v>
      </c>
      <c r="AC986" s="7">
        <v>0.48457955209089221</v>
      </c>
      <c r="AD986">
        <v>0.80608683565276129</v>
      </c>
      <c r="AE986">
        <v>0.96050083832338828</v>
      </c>
      <c r="AF986" s="7">
        <v>4.030042397495992E-2</v>
      </c>
      <c r="AG986" s="10">
        <v>138.03436148745587</v>
      </c>
      <c r="AH986" s="1">
        <v>0.43011235944359144</v>
      </c>
      <c r="AI986" s="10">
        <v>26.521966408780294</v>
      </c>
      <c r="AJ986" s="32">
        <v>1812.8204257892967</v>
      </c>
      <c r="AK986">
        <v>320</v>
      </c>
      <c r="AL986" s="7">
        <v>0.28789085610251397</v>
      </c>
    </row>
    <row r="987" spans="28:38" x14ac:dyDescent="0.3">
      <c r="AB987">
        <v>982</v>
      </c>
      <c r="AC987" s="7">
        <v>0.10055499331638409</v>
      </c>
      <c r="AD987">
        <v>0.40053610533979944</v>
      </c>
      <c r="AE987">
        <v>0.93380256897385405</v>
      </c>
      <c r="AF987" s="7">
        <v>6.8490245352646403E-2</v>
      </c>
      <c r="AG987" s="10">
        <v>112.87699819297443</v>
      </c>
      <c r="AH987" s="1">
        <v>0.10647333642156</v>
      </c>
      <c r="AI987" s="10">
        <v>0.88373378616507459</v>
      </c>
      <c r="AJ987" s="32">
        <v>1788.4144838707657</v>
      </c>
      <c r="AK987">
        <v>320</v>
      </c>
      <c r="AL987" s="7">
        <v>5.2551575445136355E-2</v>
      </c>
    </row>
    <row r="988" spans="28:38" x14ac:dyDescent="0.3">
      <c r="AB988">
        <v>983</v>
      </c>
      <c r="AC988" s="7">
        <v>0.58398994579711738</v>
      </c>
      <c r="AD988">
        <v>1.3861761185022488</v>
      </c>
      <c r="AE988">
        <v>0.94677029849066785</v>
      </c>
      <c r="AF988" s="7">
        <v>5.469877224980315E-2</v>
      </c>
      <c r="AG988" s="10">
        <v>117.89255606807151</v>
      </c>
      <c r="AH988" s="1">
        <v>0.86274261781871897</v>
      </c>
      <c r="AI988" s="10">
        <v>64.322048970343829</v>
      </c>
      <c r="AJ988" s="32">
        <v>1806.6761117280889</v>
      </c>
      <c r="AK988">
        <v>320</v>
      </c>
      <c r="AL988" s="7">
        <v>0.44833737634991405</v>
      </c>
    </row>
    <row r="989" spans="28:38" x14ac:dyDescent="0.3">
      <c r="AB989">
        <v>984</v>
      </c>
      <c r="AC989" s="7">
        <v>0.85954287185613076</v>
      </c>
      <c r="AD989">
        <v>3.2030164731079349</v>
      </c>
      <c r="AE989">
        <v>0.95681948558352714</v>
      </c>
      <c r="AF989" s="7">
        <v>4.4140530625742275E-2</v>
      </c>
      <c r="AG989" s="10">
        <v>128.02066831726179</v>
      </c>
      <c r="AH989" s="1">
        <v>2.7963104923141624</v>
      </c>
      <c r="AI989" s="10">
        <v>613.34970599339829</v>
      </c>
      <c r="AJ989" s="32">
        <v>1758.8547445258812</v>
      </c>
      <c r="AK989">
        <v>320</v>
      </c>
      <c r="AL989" s="7">
        <v>1.3844557888316151</v>
      </c>
    </row>
    <row r="990" spans="28:38" x14ac:dyDescent="0.3">
      <c r="AB990">
        <v>985</v>
      </c>
      <c r="AC990" s="7">
        <v>0.51630864895263384</v>
      </c>
      <c r="AD990">
        <v>0.88249108699963841</v>
      </c>
      <c r="AE990">
        <v>0.95972234227327802</v>
      </c>
      <c r="AF990" s="7">
        <v>4.1111263153060962E-2</v>
      </c>
      <c r="AG990" s="10">
        <v>129.36162301455963</v>
      </c>
      <c r="AH990" s="1">
        <v>0.49591543856824655</v>
      </c>
      <c r="AI990" s="10">
        <v>36.839748360707411</v>
      </c>
      <c r="AJ990" s="32">
        <v>1825.7132574770581</v>
      </c>
      <c r="AK990">
        <v>320</v>
      </c>
      <c r="AL990" s="7">
        <v>0.33929959273068788</v>
      </c>
    </row>
    <row r="991" spans="28:38" x14ac:dyDescent="0.3">
      <c r="AB991">
        <v>986</v>
      </c>
      <c r="AC991" s="7">
        <v>0.37317010680987045</v>
      </c>
      <c r="AD991">
        <v>0.67886296028891435</v>
      </c>
      <c r="AE991">
        <v>0.94967949724035972</v>
      </c>
      <c r="AF991" s="7">
        <v>5.1630722635996495E-2</v>
      </c>
      <c r="AG991" s="10">
        <v>123.56357095309866</v>
      </c>
      <c r="AH991" s="1">
        <v>0.30365186615991929</v>
      </c>
      <c r="AI991" s="10">
        <v>7.9944160215169706</v>
      </c>
      <c r="AJ991" s="32">
        <v>1735.5796476506387</v>
      </c>
      <c r="AK991">
        <v>320</v>
      </c>
      <c r="AL991" s="7">
        <v>0.15805869184337992</v>
      </c>
    </row>
    <row r="992" spans="28:38" x14ac:dyDescent="0.3">
      <c r="AB992">
        <v>987</v>
      </c>
      <c r="AC992" s="7">
        <v>0.69572334536802183</v>
      </c>
      <c r="AD992">
        <v>1.5931914514143499</v>
      </c>
      <c r="AE992">
        <v>0.96202446072522341</v>
      </c>
      <c r="AF992" s="7">
        <v>3.8715401690393274E-2</v>
      </c>
      <c r="AG992" s="10">
        <v>133.97971439062462</v>
      </c>
      <c r="AH992" s="1">
        <v>1.1463960256645023</v>
      </c>
      <c r="AI992" s="10">
        <v>145.82381582252276</v>
      </c>
      <c r="AJ992" s="32">
        <v>1763.6071887174762</v>
      </c>
      <c r="AK992">
        <v>320</v>
      </c>
      <c r="AL992" s="7">
        <v>0.67505512696770453</v>
      </c>
    </row>
    <row r="993" spans="28:38" x14ac:dyDescent="0.3">
      <c r="AB993">
        <v>988</v>
      </c>
      <c r="AC993" s="7">
        <v>0.64636708726814385</v>
      </c>
      <c r="AD993">
        <v>1.9023633594032068</v>
      </c>
      <c r="AE993">
        <v>0.93829052786954259</v>
      </c>
      <c r="AF993" s="7">
        <v>6.3695646728516395E-2</v>
      </c>
      <c r="AG993" s="10">
        <v>110.470406489505</v>
      </c>
      <c r="AH993" s="1">
        <v>1.2913345356735493</v>
      </c>
      <c r="AI993" s="10">
        <v>100.63699692726456</v>
      </c>
      <c r="AJ993" s="32">
        <v>1768.4744631369995</v>
      </c>
      <c r="AK993">
        <v>320</v>
      </c>
      <c r="AL993" s="7">
        <v>0.56079462853856021</v>
      </c>
    </row>
    <row r="994" spans="28:38" x14ac:dyDescent="0.3">
      <c r="AB994">
        <v>989</v>
      </c>
      <c r="AC994" s="7">
        <v>0.51662902208670969</v>
      </c>
      <c r="AD994">
        <v>1.0955491299218614</v>
      </c>
      <c r="AE994">
        <v>0.94813094471071702</v>
      </c>
      <c r="AF994" s="7">
        <v>5.3262658933836832E-2</v>
      </c>
      <c r="AG994" s="10">
        <v>120.97597647757874</v>
      </c>
      <c r="AH994" s="1">
        <v>0.61786153092875984</v>
      </c>
      <c r="AI994" s="10">
        <v>34.453398004793733</v>
      </c>
      <c r="AJ994" s="32">
        <v>1797.9781387504672</v>
      </c>
      <c r="AK994">
        <v>320</v>
      </c>
      <c r="AL994" s="7">
        <v>0.32812630002025195</v>
      </c>
    </row>
    <row r="995" spans="28:38" x14ac:dyDescent="0.3">
      <c r="AB995">
        <v>990</v>
      </c>
      <c r="AC995" s="7">
        <v>0.64970542965916644</v>
      </c>
      <c r="AD995">
        <v>1.6852204880747037</v>
      </c>
      <c r="AE995">
        <v>0.94703883630965657</v>
      </c>
      <c r="AF995" s="7">
        <v>5.4415176806256169E-2</v>
      </c>
      <c r="AG995" s="10">
        <v>113.8176983457339</v>
      </c>
      <c r="AH995" s="1">
        <v>1.1478580649653489</v>
      </c>
      <c r="AI995" s="10">
        <v>102.17471164890806</v>
      </c>
      <c r="AJ995" s="32">
        <v>1768.4285872705059</v>
      </c>
      <c r="AK995">
        <v>320</v>
      </c>
      <c r="AL995" s="7">
        <v>0.56506280527286323</v>
      </c>
    </row>
    <row r="996" spans="28:38" x14ac:dyDescent="0.3">
      <c r="AB996">
        <v>991</v>
      </c>
      <c r="AC996" s="7">
        <v>0.29166782669794933</v>
      </c>
      <c r="AD996">
        <v>0.58840222822672461</v>
      </c>
      <c r="AE996">
        <v>0.94258466295080501</v>
      </c>
      <c r="AF996" s="7">
        <v>5.912953562975562E-2</v>
      </c>
      <c r="AG996" s="10">
        <v>114.8471432740027</v>
      </c>
      <c r="AH996" s="1">
        <v>0.22903333618031455</v>
      </c>
      <c r="AI996" s="10">
        <v>4.9168047535712907</v>
      </c>
      <c r="AJ996" s="32">
        <v>1802.9867365586163</v>
      </c>
      <c r="AK996">
        <v>320</v>
      </c>
      <c r="AL996" s="7">
        <v>0.12395569714583628</v>
      </c>
    </row>
    <row r="997" spans="28:38" x14ac:dyDescent="0.3">
      <c r="AB997">
        <v>992</v>
      </c>
      <c r="AC997" s="7">
        <v>0.5349754019718892</v>
      </c>
      <c r="AD997">
        <v>0.97559891471027604</v>
      </c>
      <c r="AE997">
        <v>0.95774629263065059</v>
      </c>
      <c r="AF997" s="7">
        <v>4.317236632440128E-2</v>
      </c>
      <c r="AG997" s="10">
        <v>127.03601385796638</v>
      </c>
      <c r="AH997" s="1">
        <v>0.56417512892981814</v>
      </c>
      <c r="AI997" s="10">
        <v>39.486600360320743</v>
      </c>
      <c r="AJ997" s="32">
        <v>1794.2885550233946</v>
      </c>
      <c r="AK997">
        <v>320</v>
      </c>
      <c r="AL997" s="7">
        <v>0.35127713578598069</v>
      </c>
    </row>
    <row r="998" spans="28:38" x14ac:dyDescent="0.3">
      <c r="AB998">
        <v>993</v>
      </c>
      <c r="AC998" s="7">
        <v>0.53421830736684039</v>
      </c>
      <c r="AD998">
        <v>1.0766101794672203</v>
      </c>
      <c r="AE998">
        <v>0.95158263443120972</v>
      </c>
      <c r="AF998" s="7">
        <v>4.9628749531101052E-2</v>
      </c>
      <c r="AG998" s="10">
        <v>119.55702254234455</v>
      </c>
      <c r="AH998" s="1">
        <v>0.62356223333767891</v>
      </c>
      <c r="AI998" s="10">
        <v>36.643501651741381</v>
      </c>
      <c r="AJ998" s="32">
        <v>1768.5213310135773</v>
      </c>
      <c r="AK998">
        <v>320</v>
      </c>
      <c r="AL998" s="7">
        <v>0.33839465519078726</v>
      </c>
    </row>
    <row r="999" spans="28:38" x14ac:dyDescent="0.3">
      <c r="AB999">
        <v>994</v>
      </c>
      <c r="AC999" s="7">
        <v>0.22995717207197153</v>
      </c>
      <c r="AD999">
        <v>0.55065139450427414</v>
      </c>
      <c r="AE999">
        <v>0.93533465757627143</v>
      </c>
      <c r="AF999" s="7">
        <v>6.6850891190975911E-2</v>
      </c>
      <c r="AG999" s="10">
        <v>111.76685545679986</v>
      </c>
      <c r="AH999" s="1">
        <v>0.19129157990141901</v>
      </c>
      <c r="AI999" s="10">
        <v>2.5414432779413532</v>
      </c>
      <c r="AJ999" s="32">
        <v>1762.0461878633278</v>
      </c>
      <c r="AK999">
        <v>320</v>
      </c>
      <c r="AL999" s="7">
        <v>8.9117956908620441E-2</v>
      </c>
    </row>
    <row r="1000" spans="28:38" x14ac:dyDescent="0.3">
      <c r="AB1000">
        <v>995</v>
      </c>
      <c r="AC1000" s="7">
        <v>0.64536308107302665</v>
      </c>
      <c r="AD1000">
        <v>1.3804612139400867</v>
      </c>
      <c r="AE1000">
        <v>0.95923270631275181</v>
      </c>
      <c r="AF1000" s="7">
        <v>4.1621578359780337E-2</v>
      </c>
      <c r="AG1000" s="10">
        <v>127.55907085404013</v>
      </c>
      <c r="AH1000" s="1">
        <v>0.93166599601743316</v>
      </c>
      <c r="AI1000" s="10">
        <v>111.24954030823797</v>
      </c>
      <c r="AJ1000" s="32">
        <v>1816.1435232774049</v>
      </c>
      <c r="AK1000">
        <v>320</v>
      </c>
      <c r="AL1000" s="7">
        <v>0.58962260257154631</v>
      </c>
    </row>
    <row r="1001" spans="28:38" x14ac:dyDescent="0.3">
      <c r="AB1001">
        <v>996</v>
      </c>
      <c r="AC1001" s="7">
        <v>0.79498794616258384</v>
      </c>
      <c r="AD1001">
        <v>2.3420620060742672</v>
      </c>
      <c r="AE1001">
        <v>0.95995930800819307</v>
      </c>
      <c r="AF1001" s="7">
        <v>4.0864382910095788E-2</v>
      </c>
      <c r="AG1001" s="10">
        <v>128.55411066432609</v>
      </c>
      <c r="AH1001" s="1">
        <v>1.9019517559862096</v>
      </c>
      <c r="AI1001" s="10">
        <v>351.36537702746983</v>
      </c>
      <c r="AJ1001" s="32">
        <v>1763.9198332904145</v>
      </c>
      <c r="AK1001">
        <v>320</v>
      </c>
      <c r="AL1001" s="7">
        <v>1.047862969672487</v>
      </c>
    </row>
    <row r="1002" spans="28:38" x14ac:dyDescent="0.3">
      <c r="AB1002">
        <v>997</v>
      </c>
      <c r="AC1002" s="7">
        <v>0.1080634864929611</v>
      </c>
      <c r="AD1002">
        <v>0.39766516938950447</v>
      </c>
      <c r="AE1002">
        <v>0.93588299770807581</v>
      </c>
      <c r="AF1002" s="7">
        <v>6.6264812766639175E-2</v>
      </c>
      <c r="AG1002" s="10">
        <v>115.22042396784191</v>
      </c>
      <c r="AH1002" s="1">
        <v>0.10709008695296798</v>
      </c>
      <c r="AI1002" s="10">
        <v>0.76306408962942851</v>
      </c>
      <c r="AJ1002" s="32">
        <v>1722.6772137308415</v>
      </c>
      <c r="AK1002">
        <v>320</v>
      </c>
      <c r="AL1002" s="7">
        <v>4.8832113205266515E-2</v>
      </c>
    </row>
    <row r="1003" spans="28:38" x14ac:dyDescent="0.3">
      <c r="AB1003">
        <v>998</v>
      </c>
      <c r="AC1003" s="7">
        <v>0.34819299250835528</v>
      </c>
      <c r="AD1003">
        <v>0.69622845321157945</v>
      </c>
      <c r="AE1003">
        <v>0.94301017853472946</v>
      </c>
      <c r="AF1003" s="7">
        <v>5.8678202626731076E-2</v>
      </c>
      <c r="AG1003" s="10">
        <v>117.2661758433227</v>
      </c>
      <c r="AH1003" s="1">
        <v>0.29941169005847379</v>
      </c>
      <c r="AI1003" s="10">
        <v>7.6023603589048001</v>
      </c>
      <c r="AJ1003" s="32">
        <v>1785.2767327673105</v>
      </c>
      <c r="AK1003">
        <v>320</v>
      </c>
      <c r="AL1003" s="7">
        <v>0.15413427951490058</v>
      </c>
    </row>
    <row r="1004" spans="28:38" x14ac:dyDescent="0.3">
      <c r="AB1004">
        <v>999</v>
      </c>
      <c r="AC1004" s="7">
        <v>0.56729168826553422</v>
      </c>
      <c r="AD1004">
        <v>1.4304295215432681</v>
      </c>
      <c r="AE1004">
        <v>0.94078016455741731</v>
      </c>
      <c r="AF1004" s="7">
        <v>6.104578565121719E-2</v>
      </c>
      <c r="AG1004" s="10">
        <v>114.24626402855219</v>
      </c>
      <c r="AH1004" s="1">
        <v>0.87069061366372358</v>
      </c>
      <c r="AI1004" s="10">
        <v>48.269584523260299</v>
      </c>
      <c r="AJ1004" s="32">
        <v>1758.3598737032053</v>
      </c>
      <c r="AK1004">
        <v>320</v>
      </c>
      <c r="AL1004" s="7">
        <v>0.38838441219388353</v>
      </c>
    </row>
    <row r="1005" spans="28:38" x14ac:dyDescent="0.3">
      <c r="AB1005">
        <v>1000</v>
      </c>
      <c r="AC1005" s="7">
        <v>0.30657164556152122</v>
      </c>
      <c r="AD1005">
        <v>0.61529395455944114</v>
      </c>
      <c r="AE1005">
        <v>0.94252860801925142</v>
      </c>
      <c r="AF1005" s="7">
        <v>5.918900678454863E-2</v>
      </c>
      <c r="AG1005" s="10">
        <v>114.92556229209748</v>
      </c>
      <c r="AH1005" s="1">
        <v>0.2461030721340923</v>
      </c>
      <c r="AI1005" s="10">
        <v>4.6550444891080476</v>
      </c>
      <c r="AJ1005" s="32">
        <v>1743.8084966750268</v>
      </c>
      <c r="AK1005">
        <v>320</v>
      </c>
      <c r="AL1005" s="7">
        <v>0.12061100293282802</v>
      </c>
    </row>
    <row r="1006" spans="28:38" x14ac:dyDescent="0.3">
      <c r="AB1006">
        <v>1001</v>
      </c>
    </row>
    <row r="1007" spans="28:38" x14ac:dyDescent="0.3">
      <c r="AB1007">
        <v>1002</v>
      </c>
    </row>
    <row r="1008" spans="28:38" x14ac:dyDescent="0.3">
      <c r="AB1008">
        <v>1003</v>
      </c>
    </row>
    <row r="1009" spans="28:28" x14ac:dyDescent="0.3">
      <c r="AB1009">
        <v>1004</v>
      </c>
    </row>
    <row r="1010" spans="28:28" x14ac:dyDescent="0.3">
      <c r="AB1010">
        <v>1005</v>
      </c>
    </row>
    <row r="1011" spans="28:28" x14ac:dyDescent="0.3">
      <c r="AB1011">
        <v>1006</v>
      </c>
    </row>
    <row r="1012" spans="28:28" x14ac:dyDescent="0.3">
      <c r="AB1012">
        <v>1007</v>
      </c>
    </row>
    <row r="1013" spans="28:28" x14ac:dyDescent="0.3">
      <c r="AB1013">
        <v>1008</v>
      </c>
    </row>
    <row r="1014" spans="28:28" x14ac:dyDescent="0.3">
      <c r="AB1014">
        <v>1009</v>
      </c>
    </row>
    <row r="1015" spans="28:28" x14ac:dyDescent="0.3">
      <c r="AB1015">
        <v>1010</v>
      </c>
    </row>
    <row r="1016" spans="28:28" x14ac:dyDescent="0.3">
      <c r="AB1016">
        <v>1011</v>
      </c>
    </row>
    <row r="1017" spans="28:28" x14ac:dyDescent="0.3">
      <c r="AB1017">
        <v>1012</v>
      </c>
    </row>
    <row r="1018" spans="28:28" x14ac:dyDescent="0.3">
      <c r="AB1018">
        <v>1013</v>
      </c>
    </row>
    <row r="1019" spans="28:28" x14ac:dyDescent="0.3">
      <c r="AB1019">
        <v>1014</v>
      </c>
    </row>
    <row r="1020" spans="28:28" x14ac:dyDescent="0.3">
      <c r="AB1020">
        <v>1015</v>
      </c>
    </row>
    <row r="1021" spans="28:28" x14ac:dyDescent="0.3">
      <c r="AB1021">
        <v>1016</v>
      </c>
    </row>
    <row r="1022" spans="28:28" x14ac:dyDescent="0.3">
      <c r="AB1022">
        <v>1017</v>
      </c>
    </row>
    <row r="1023" spans="28:28" x14ac:dyDescent="0.3">
      <c r="AB1023">
        <v>1018</v>
      </c>
    </row>
    <row r="1024" spans="28:28" x14ac:dyDescent="0.3">
      <c r="AB1024">
        <v>1019</v>
      </c>
    </row>
    <row r="1025" spans="28:28" x14ac:dyDescent="0.3">
      <c r="AB1025">
        <v>1020</v>
      </c>
    </row>
    <row r="1026" spans="28:28" x14ac:dyDescent="0.3">
      <c r="AB1026">
        <v>1021</v>
      </c>
    </row>
    <row r="1027" spans="28:28" x14ac:dyDescent="0.3">
      <c r="AB1027">
        <v>1022</v>
      </c>
    </row>
    <row r="1028" spans="28:28" x14ac:dyDescent="0.3">
      <c r="AB1028">
        <v>1023</v>
      </c>
    </row>
    <row r="1029" spans="28:28" x14ac:dyDescent="0.3">
      <c r="AB1029">
        <v>1024</v>
      </c>
    </row>
    <row r="1030" spans="28:28" x14ac:dyDescent="0.3">
      <c r="AB1030">
        <v>1025</v>
      </c>
    </row>
    <row r="1031" spans="28:28" x14ac:dyDescent="0.3">
      <c r="AB1031">
        <v>1026</v>
      </c>
    </row>
    <row r="1032" spans="28:28" x14ac:dyDescent="0.3">
      <c r="AB1032">
        <v>1027</v>
      </c>
    </row>
    <row r="1033" spans="28:28" x14ac:dyDescent="0.3">
      <c r="AB1033">
        <v>1028</v>
      </c>
    </row>
    <row r="1034" spans="28:28" x14ac:dyDescent="0.3">
      <c r="AB1034">
        <v>1029</v>
      </c>
    </row>
    <row r="1035" spans="28:28" x14ac:dyDescent="0.3">
      <c r="AB1035">
        <v>1030</v>
      </c>
    </row>
    <row r="1036" spans="28:28" x14ac:dyDescent="0.3">
      <c r="AB1036">
        <v>1031</v>
      </c>
    </row>
    <row r="1037" spans="28:28" x14ac:dyDescent="0.3">
      <c r="AB1037">
        <v>1032</v>
      </c>
    </row>
    <row r="1038" spans="28:28" x14ac:dyDescent="0.3">
      <c r="AB1038">
        <v>1033</v>
      </c>
    </row>
    <row r="1039" spans="28:28" x14ac:dyDescent="0.3">
      <c r="AB1039">
        <v>1034</v>
      </c>
    </row>
    <row r="1040" spans="28:28" x14ac:dyDescent="0.3">
      <c r="AB1040">
        <v>1035</v>
      </c>
    </row>
    <row r="1041" spans="28:28" x14ac:dyDescent="0.3">
      <c r="AB1041">
        <v>1036</v>
      </c>
    </row>
    <row r="1042" spans="28:28" x14ac:dyDescent="0.3">
      <c r="AB1042">
        <v>1037</v>
      </c>
    </row>
    <row r="1043" spans="28:28" x14ac:dyDescent="0.3">
      <c r="AB1043">
        <v>1038</v>
      </c>
    </row>
    <row r="1044" spans="28:28" x14ac:dyDescent="0.3">
      <c r="AB1044">
        <v>1039</v>
      </c>
    </row>
    <row r="1045" spans="28:28" x14ac:dyDescent="0.3">
      <c r="AB1045">
        <v>1040</v>
      </c>
    </row>
  </sheetData>
  <sortState ref="AP67:AP107">
    <sortCondition ref="AP67"/>
  </sortState>
  <pageMargins left="0.7" right="0.7" top="0.75" bottom="0.75" header="0.3" footer="0.3"/>
  <pageSetup scale="11" orientation="landscape" r:id="rId1"/>
  <drawing r:id="rId2"/>
  <legacyDrawing r:id="rId3"/>
  <oleObjects>
    <mc:AlternateContent xmlns:mc="http://schemas.openxmlformats.org/markup-compatibility/2006">
      <mc:Choice Requires="x14">
        <oleObject progId="Equation.3" shapeId="4097" r:id="rId4">
          <objectPr defaultSize="0" autoPict="0" r:id="rId5">
            <anchor moveWithCells="1" sizeWithCells="1">
              <from>
                <xdr:col>7</xdr:col>
                <xdr:colOff>723900</xdr:colOff>
                <xdr:row>1</xdr:row>
                <xdr:rowOff>7620</xdr:rowOff>
              </from>
              <to>
                <xdr:col>12</xdr:col>
                <xdr:colOff>365760</xdr:colOff>
                <xdr:row>6</xdr:row>
                <xdr:rowOff>0</xdr:rowOff>
              </to>
            </anchor>
          </objectPr>
        </oleObject>
      </mc:Choice>
      <mc:Fallback>
        <oleObject progId="Equation.3" shapeId="4097" r:id="rId4"/>
      </mc:Fallback>
    </mc:AlternateContent>
    <mc:AlternateContent xmlns:mc="http://schemas.openxmlformats.org/markup-compatibility/2006">
      <mc:Choice Requires="x14">
        <oleObject progId="Equation.3" shapeId="4098" r:id="rId6">
          <objectPr defaultSize="0" autoPict="0" r:id="rId7">
            <anchor moveWithCells="1" sizeWithCells="1">
              <from>
                <xdr:col>12</xdr:col>
                <xdr:colOff>762000</xdr:colOff>
                <xdr:row>1</xdr:row>
                <xdr:rowOff>0</xdr:rowOff>
              </from>
              <to>
                <xdr:col>14</xdr:col>
                <xdr:colOff>525780</xdr:colOff>
                <xdr:row>2</xdr:row>
                <xdr:rowOff>45720</xdr:rowOff>
              </to>
            </anchor>
          </objectPr>
        </oleObject>
      </mc:Choice>
      <mc:Fallback>
        <oleObject progId="Equation.3" shapeId="4098" r:id="rId6"/>
      </mc:Fallback>
    </mc:AlternateContent>
    <mc:AlternateContent xmlns:mc="http://schemas.openxmlformats.org/markup-compatibility/2006">
      <mc:Choice Requires="x14">
        <oleObject progId="Equation.3" shapeId="4099" r:id="rId8">
          <objectPr defaultSize="0" autoPict="0" r:id="rId9">
            <anchor moveWithCells="1" sizeWithCells="1">
              <from>
                <xdr:col>15</xdr:col>
                <xdr:colOff>0</xdr:colOff>
                <xdr:row>1</xdr:row>
                <xdr:rowOff>0</xdr:rowOff>
              </from>
              <to>
                <xdr:col>21</xdr:col>
                <xdr:colOff>45720</xdr:colOff>
                <xdr:row>3</xdr:row>
                <xdr:rowOff>68580</xdr:rowOff>
              </to>
            </anchor>
          </objectPr>
        </oleObject>
      </mc:Choice>
      <mc:Fallback>
        <oleObject progId="Equation.3" shapeId="4099" r:id="rId8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36</vt:i4>
      </vt:variant>
    </vt:vector>
  </HeadingPairs>
  <TitlesOfParts>
    <vt:vector size="39" baseType="lpstr">
      <vt:lpstr>CF+BC (0.5)(sig=0.2)</vt:lpstr>
      <vt:lpstr>Stochastic</vt:lpstr>
      <vt:lpstr>CF+BC (0.5)(sig=0.2) (2)</vt:lpstr>
      <vt:lpstr>'CF+BC (0.5)(sig=0.2)'!alpha</vt:lpstr>
      <vt:lpstr>'CF+BC (0.5)(sig=0.2) (2)'!alpha</vt:lpstr>
      <vt:lpstr>alpha</vt:lpstr>
      <vt:lpstr>'CF+BC (0.5)(sig=0.2)'!alpha_T</vt:lpstr>
      <vt:lpstr>'CF+BC (0.5)(sig=0.2) (2)'!alpha_T</vt:lpstr>
      <vt:lpstr>'CF+BC (0.5)(sig=0.2)'!alphatilde</vt:lpstr>
      <vt:lpstr>'CF+BC (0.5)(sig=0.2) (2)'!alphatilde</vt:lpstr>
      <vt:lpstr>'CF+BC (0.5)(sig=0.2)'!alphatilde_T</vt:lpstr>
      <vt:lpstr>'CF+BC (0.5)(sig=0.2) (2)'!alphatilde_T</vt:lpstr>
      <vt:lpstr>'CF+BC (0.5)(sig=0.2)'!gamma</vt:lpstr>
      <vt:lpstr>'CF+BC (0.5)(sig=0.2) (2)'!gamma</vt:lpstr>
      <vt:lpstr>gamma</vt:lpstr>
      <vt:lpstr>'CF+BC (0.5)(sig=0.2)'!gamma_T</vt:lpstr>
      <vt:lpstr>'CF+BC (0.5)(sig=0.2) (2)'!gamma_T</vt:lpstr>
      <vt:lpstr>'CF+BC (0.5)(sig=0.2)'!kappa</vt:lpstr>
      <vt:lpstr>'CF+BC (0.5)(sig=0.2) (2)'!kappa</vt:lpstr>
      <vt:lpstr>'CF+BC (0.5)(sig=0.2)'!kappa_T</vt:lpstr>
      <vt:lpstr>'CF+BC (0.5)(sig=0.2) (2)'!kappa_T</vt:lpstr>
      <vt:lpstr>'CF+BC (0.5)(sig=0.2)'!n</vt:lpstr>
      <vt:lpstr>'CF+BC (0.5)(sig=0.2) (2)'!n</vt:lpstr>
      <vt:lpstr>Stochastic!Print_Area</vt:lpstr>
      <vt:lpstr>'CF+BC (0.5)(sig=0.2)'!rho</vt:lpstr>
      <vt:lpstr>'CF+BC (0.5)(sig=0.2) (2)'!rho</vt:lpstr>
      <vt:lpstr>rho</vt:lpstr>
      <vt:lpstr>'CF+BC (0.5)(sig=0.2)'!rho_T</vt:lpstr>
      <vt:lpstr>'CF+BC (0.5)(sig=0.2) (2)'!rho_T</vt:lpstr>
      <vt:lpstr>'CF+BC (0.5)(sig=0.2)'!sig_eps</vt:lpstr>
      <vt:lpstr>'CF+BC (0.5)(sig=0.2) (2)'!sig_eps</vt:lpstr>
      <vt:lpstr>'CF+BC (0.5)(sig=0.2)'!sigma_eps_T</vt:lpstr>
      <vt:lpstr>'CF+BC (0.5)(sig=0.2) (2)'!sigma_eps_T</vt:lpstr>
      <vt:lpstr>xinf</vt:lpstr>
      <vt:lpstr>'CF+BC (0.5)(sig=0.2)'!Y_inf</vt:lpstr>
      <vt:lpstr>'CF+BC (0.5)(sig=0.2) (2)'!Y_inf</vt:lpstr>
      <vt:lpstr>'CF+BC (0.5)(sig=0.2)'!Y_inf_T</vt:lpstr>
      <vt:lpstr>'CF+BC (0.5)(sig=0.2) (2)'!Y_inf_T</vt:lpstr>
      <vt:lpstr>Yinf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Phil Ganz</cp:lastModifiedBy>
  <dcterms:created xsi:type="dcterms:W3CDTF">2016-07-02T02:54:58Z</dcterms:created>
  <dcterms:modified xsi:type="dcterms:W3CDTF">2016-07-05T15:59:49Z</dcterms:modified>
</cp:coreProperties>
</file>